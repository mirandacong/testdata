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75" yWindow="135" windowWidth="28740" windowHeight="12750"/>
  </bookViews>
  <sheets>
    <sheet name="ImportantDisclosures" sheetId="59" r:id="rId1"/>
    <sheet name="Model" sheetId="1" r:id="rId2"/>
    <sheet name="IndexInformation" sheetId="60" r:id="rId3"/>
    <sheet name="ModPubIndex" sheetId="61" r:id="rId4"/>
    <sheet name="MW-Cache" sheetId="54" state="veryHidden" r:id="rId5"/>
    <sheet name="__FDSCACHE__" sheetId="15" state="veryHidden" r:id="rId6"/>
  </sheets>
  <externalReferences>
    <externalReference r:id="rId7"/>
  </externalReferences>
  <definedNames>
    <definedName name="__FDS_HYPERLINK_TOGGLE_STATE__" hidden="1">"ON"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nscount">1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">Model!$B$254:$N$298</definedName>
    <definedName name="Linking_10">Model!$B$254:$Q$298</definedName>
    <definedName name="Linking_2">Model!$B$8:$O$50</definedName>
    <definedName name="Linking_3">Model!$B$229:$O$251</definedName>
    <definedName name="Linking_4">Model!$B$254:$O$298</definedName>
    <definedName name="Linking_5">Model!$B$8:$P$56</definedName>
    <definedName name="Linking_6">Model!$B$229:$P$251</definedName>
    <definedName name="Linking_7">Model!$B$254:$P$298</definedName>
    <definedName name="Linking_8">Model!$B$8:$Q$66</definedName>
    <definedName name="Linking_9">Model!$B$229:$Q$251</definedName>
    <definedName name="Linking_Range_10">Model!$B$229:$M$251</definedName>
    <definedName name="Linking_Range_11">Model!$B$254:$M$340</definedName>
    <definedName name="Linking_Range_12">Model!$B$8:$N$50</definedName>
    <definedName name="Linking_Range_13">Model!$B$229:$N$251</definedName>
    <definedName name="Linking_Range_14">Model!$B$254:$N$340</definedName>
    <definedName name="Linking_Range_15">Model!$B$8:$N$46</definedName>
    <definedName name="Linking_Range_2">Model!$B$7:$K$218</definedName>
    <definedName name="Linking_Range_3">Model!$B$253:$K$370</definedName>
    <definedName name="Linking_Range_4">Model!$B$228:$K$251</definedName>
    <definedName name="Linking_Range_6">Model!$B$7:$L$46</definedName>
    <definedName name="Linking_Range_7">Model!$B$253:$L$340</definedName>
    <definedName name="Linking_Range_8">Model!$B$228:$L$251</definedName>
    <definedName name="Linking_Range_9">Model!$B$8:$M$46</definedName>
    <definedName name="MacroVersion" localSheetId="2">IndexInformation!$B$1</definedName>
    <definedName name="Model">Model!$B$8:$CF$381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_xlnm.Print_Area" localSheetId="1">Model!$B$7:$R$46,Model!$BP$7:$CA$46,Model!$B$228:$R$251,Model!$BP$228:$CA$251,Model!$B$253:$Q$298,Model!$BP$253:$CA$298</definedName>
    <definedName name="PRODUCT" localSheetId="3">ModPubIndex!$A$6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 calcMode="manual"/>
</workbook>
</file>

<file path=xl/calcChain.xml><?xml version="1.0" encoding="utf-8"?>
<calcChain xmlns="http://schemas.openxmlformats.org/spreadsheetml/2006/main">
  <c r="CN9" i="1" l="1"/>
  <c r="CN10" i="1" s="1"/>
  <c r="CN11" i="1" s="1"/>
  <c r="CN12" i="1" s="1"/>
  <c r="BQ379" i="1"/>
  <c r="BO379" i="1"/>
  <c r="BK379" i="1"/>
  <c r="BH379" i="1"/>
  <c r="BD379" i="1"/>
  <c r="AZ379" i="1"/>
  <c r="AV379" i="1"/>
  <c r="AR379" i="1"/>
  <c r="AN379" i="1"/>
  <c r="AM379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Z379" i="1"/>
  <c r="Y379" i="1"/>
  <c r="X379" i="1"/>
  <c r="W379" i="1"/>
  <c r="I380" i="1"/>
  <c r="H380" i="1"/>
  <c r="G380" i="1"/>
  <c r="F380" i="1"/>
  <c r="E380" i="1"/>
  <c r="D380" i="1"/>
  <c r="C380" i="1"/>
  <c r="BS373" i="1"/>
  <c r="BR373" i="1"/>
  <c r="BQ373" i="1"/>
  <c r="BP373" i="1"/>
  <c r="BO373" i="1"/>
  <c r="BN373" i="1"/>
  <c r="BM373" i="1"/>
  <c r="BL373" i="1"/>
  <c r="BK373" i="1"/>
  <c r="BJ373" i="1"/>
  <c r="BI373" i="1"/>
  <c r="BH373" i="1"/>
  <c r="BG373" i="1"/>
  <c r="BF373" i="1"/>
  <c r="BE373" i="1"/>
  <c r="BD373" i="1"/>
  <c r="BC373" i="1"/>
  <c r="BB373" i="1"/>
  <c r="BA373" i="1"/>
  <c r="AZ373" i="1"/>
  <c r="AY373" i="1"/>
  <c r="AX373" i="1"/>
  <c r="AW373" i="1"/>
  <c r="AV373" i="1"/>
  <c r="AU373" i="1"/>
  <c r="AT373" i="1"/>
  <c r="AS373" i="1"/>
  <c r="AR373" i="1"/>
  <c r="AQ373" i="1"/>
  <c r="AP373" i="1"/>
  <c r="AO373" i="1"/>
  <c r="AN373" i="1"/>
  <c r="BS368" i="1"/>
  <c r="BR368" i="1"/>
  <c r="BQ368" i="1"/>
  <c r="BP368" i="1"/>
  <c r="BO368" i="1"/>
  <c r="BN368" i="1"/>
  <c r="BM368" i="1"/>
  <c r="BL368" i="1"/>
  <c r="BK368" i="1"/>
  <c r="BJ368" i="1"/>
  <c r="BI368" i="1"/>
  <c r="BH368" i="1"/>
  <c r="BG368" i="1"/>
  <c r="BF368" i="1"/>
  <c r="BE368" i="1"/>
  <c r="BD368" i="1"/>
  <c r="BL367" i="1"/>
  <c r="BK367" i="1"/>
  <c r="BJ367" i="1"/>
  <c r="BI367" i="1"/>
  <c r="BH367" i="1"/>
  <c r="BG367" i="1"/>
  <c r="BF367" i="1"/>
  <c r="BE367" i="1"/>
  <c r="BD367" i="1"/>
  <c r="BM365" i="1"/>
  <c r="BN365" i="1" s="1"/>
  <c r="BN367" i="1" s="1"/>
  <c r="BS362" i="1"/>
  <c r="BR362" i="1"/>
  <c r="BQ362" i="1"/>
  <c r="BP362" i="1"/>
  <c r="BO362" i="1"/>
  <c r="BN362" i="1"/>
  <c r="BM362" i="1"/>
  <c r="BL362" i="1"/>
  <c r="BK362" i="1"/>
  <c r="BJ362" i="1"/>
  <c r="BI362" i="1"/>
  <c r="BH362" i="1"/>
  <c r="BG362" i="1"/>
  <c r="BF362" i="1"/>
  <c r="BE362" i="1"/>
  <c r="BD362" i="1"/>
  <c r="BC362" i="1"/>
  <c r="BB362" i="1"/>
  <c r="BA362" i="1"/>
  <c r="AZ362" i="1"/>
  <c r="AY362" i="1"/>
  <c r="AX362" i="1"/>
  <c r="AW362" i="1"/>
  <c r="AV362" i="1"/>
  <c r="AU362" i="1"/>
  <c r="AT362" i="1"/>
  <c r="AS362" i="1"/>
  <c r="AR362" i="1"/>
  <c r="AQ362" i="1"/>
  <c r="AP362" i="1"/>
  <c r="AO362" i="1"/>
  <c r="AN362" i="1"/>
  <c r="AM362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Z362" i="1"/>
  <c r="Y362" i="1"/>
  <c r="X362" i="1"/>
  <c r="W362" i="1"/>
  <c r="BS358" i="1"/>
  <c r="BR358" i="1"/>
  <c r="BQ358" i="1"/>
  <c r="BP358" i="1"/>
  <c r="BO358" i="1"/>
  <c r="BN358" i="1"/>
  <c r="BM358" i="1"/>
  <c r="BL358" i="1"/>
  <c r="BK358" i="1"/>
  <c r="BJ358" i="1"/>
  <c r="BI358" i="1"/>
  <c r="BH358" i="1"/>
  <c r="BG358" i="1"/>
  <c r="BF358" i="1"/>
  <c r="BE358" i="1"/>
  <c r="BD358" i="1"/>
  <c r="BC358" i="1"/>
  <c r="BB358" i="1"/>
  <c r="BA358" i="1"/>
  <c r="AZ358" i="1"/>
  <c r="AY358" i="1"/>
  <c r="AX358" i="1"/>
  <c r="AW358" i="1"/>
  <c r="AV358" i="1"/>
  <c r="AU358" i="1"/>
  <c r="AT358" i="1"/>
  <c r="AS358" i="1"/>
  <c r="AR358" i="1"/>
  <c r="AQ358" i="1"/>
  <c r="AP358" i="1"/>
  <c r="AO358" i="1"/>
  <c r="AN358" i="1"/>
  <c r="AM358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1" i="1"/>
  <c r="U351" i="1"/>
  <c r="T351" i="1"/>
  <c r="BS343" i="1"/>
  <c r="BR343" i="1"/>
  <c r="BQ343" i="1"/>
  <c r="BP343" i="1"/>
  <c r="BO343" i="1"/>
  <c r="BN343" i="1"/>
  <c r="BM343" i="1"/>
  <c r="BL343" i="1"/>
  <c r="BK343" i="1"/>
  <c r="BJ343" i="1"/>
  <c r="BI343" i="1"/>
  <c r="BH343" i="1"/>
  <c r="BG343" i="1"/>
  <c r="BF343" i="1"/>
  <c r="BE343" i="1"/>
  <c r="BC343" i="1"/>
  <c r="BB343" i="1"/>
  <c r="BA343" i="1"/>
  <c r="AZ343" i="1"/>
  <c r="AX343" i="1"/>
  <c r="AW343" i="1"/>
  <c r="AV343" i="1"/>
  <c r="AU343" i="1"/>
  <c r="AS343" i="1"/>
  <c r="AN343" i="1"/>
  <c r="AM343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Z342" i="1"/>
  <c r="Z357" i="1" s="1"/>
  <c r="Y342" i="1"/>
  <c r="Y357" i="1" s="1"/>
  <c r="X342" i="1"/>
  <c r="X357" i="1" s="1"/>
  <c r="X359" i="1" s="1"/>
  <c r="W342" i="1"/>
  <c r="W357" i="1" s="1"/>
  <c r="AU333" i="1"/>
  <c r="AT333" i="1"/>
  <c r="AT326" i="1" s="1"/>
  <c r="AS333" i="1"/>
  <c r="AS327" i="1" s="1"/>
  <c r="AR333" i="1"/>
  <c r="AQ333" i="1"/>
  <c r="AP333" i="1"/>
  <c r="AP326" i="1" s="1"/>
  <c r="AO333" i="1"/>
  <c r="AO327" i="1" s="1"/>
  <c r="AN333" i="1"/>
  <c r="AM333" i="1"/>
  <c r="AL333" i="1"/>
  <c r="AL326" i="1" s="1"/>
  <c r="AK333" i="1"/>
  <c r="AK327" i="1" s="1"/>
  <c r="AJ333" i="1"/>
  <c r="AI333" i="1"/>
  <c r="AH333" i="1"/>
  <c r="AH326" i="1" s="1"/>
  <c r="AG333" i="1"/>
  <c r="AG327" i="1" s="1"/>
  <c r="AF333" i="1"/>
  <c r="AE333" i="1"/>
  <c r="AD333" i="1"/>
  <c r="AD326" i="1" s="1"/>
  <c r="AC333" i="1"/>
  <c r="AC327" i="1" s="1"/>
  <c r="AB333" i="1"/>
  <c r="AA333" i="1"/>
  <c r="Z333" i="1"/>
  <c r="Z326" i="1" s="1"/>
  <c r="Y333" i="1"/>
  <c r="Y327" i="1" s="1"/>
  <c r="X333" i="1"/>
  <c r="W333" i="1"/>
  <c r="F330" i="1"/>
  <c r="E330" i="1"/>
  <c r="D330" i="1"/>
  <c r="C330" i="1"/>
  <c r="BK329" i="1"/>
  <c r="BJ329" i="1"/>
  <c r="BI329" i="1"/>
  <c r="BH329" i="1"/>
  <c r="BG329" i="1"/>
  <c r="BF329" i="1"/>
  <c r="BE329" i="1"/>
  <c r="BD329" i="1"/>
  <c r="BC329" i="1"/>
  <c r="BB329" i="1"/>
  <c r="BA329" i="1"/>
  <c r="AZ329" i="1"/>
  <c r="AY329" i="1"/>
  <c r="AX329" i="1"/>
  <c r="AW329" i="1"/>
  <c r="AV329" i="1"/>
  <c r="AU328" i="1"/>
  <c r="H328" i="1" s="1"/>
  <c r="AT328" i="1"/>
  <c r="AR328" i="1"/>
  <c r="AQ328" i="1"/>
  <c r="G328" i="1" s="1"/>
  <c r="AP328" i="1"/>
  <c r="AN328" i="1"/>
  <c r="AM328" i="1"/>
  <c r="F328" i="1" s="1"/>
  <c r="AL328" i="1"/>
  <c r="AJ328" i="1"/>
  <c r="AI328" i="1"/>
  <c r="E328" i="1" s="1"/>
  <c r="AH328" i="1"/>
  <c r="AF328" i="1"/>
  <c r="AE328" i="1"/>
  <c r="D328" i="1" s="1"/>
  <c r="AD328" i="1"/>
  <c r="AB328" i="1"/>
  <c r="AA328" i="1"/>
  <c r="C328" i="1" s="1"/>
  <c r="Z328" i="1"/>
  <c r="X328" i="1"/>
  <c r="W328" i="1"/>
  <c r="AU327" i="1"/>
  <c r="AR327" i="1"/>
  <c r="AQ327" i="1"/>
  <c r="AN327" i="1"/>
  <c r="AN37" i="1" s="1"/>
  <c r="AM327" i="1"/>
  <c r="AJ327" i="1"/>
  <c r="AI327" i="1"/>
  <c r="AF327" i="1"/>
  <c r="AF37" i="1" s="1"/>
  <c r="AE327" i="1"/>
  <c r="AB327" i="1"/>
  <c r="AA327" i="1"/>
  <c r="X327" i="1"/>
  <c r="X37" i="1" s="1"/>
  <c r="W327" i="1"/>
  <c r="AU326" i="1"/>
  <c r="AS326" i="1"/>
  <c r="AR326" i="1"/>
  <c r="AQ326" i="1"/>
  <c r="AO326" i="1"/>
  <c r="AN326" i="1"/>
  <c r="AM326" i="1"/>
  <c r="AK326" i="1"/>
  <c r="AJ326" i="1"/>
  <c r="AI326" i="1"/>
  <c r="AG326" i="1"/>
  <c r="AF326" i="1"/>
  <c r="AE326" i="1"/>
  <c r="AC326" i="1"/>
  <c r="AB326" i="1"/>
  <c r="AA326" i="1"/>
  <c r="Y326" i="1"/>
  <c r="X326" i="1"/>
  <c r="W326" i="1"/>
  <c r="N328" i="1"/>
  <c r="M328" i="1"/>
  <c r="L328" i="1"/>
  <c r="K328" i="1"/>
  <c r="J328" i="1"/>
  <c r="I328" i="1"/>
  <c r="BT328" i="1"/>
  <c r="BU328" i="1" s="1"/>
  <c r="BV328" i="1" s="1"/>
  <c r="BS327" i="1"/>
  <c r="BS329" i="1" s="1"/>
  <c r="BR327" i="1"/>
  <c r="BR329" i="1" s="1"/>
  <c r="BQ327" i="1"/>
  <c r="BQ329" i="1" s="1"/>
  <c r="BP327" i="1"/>
  <c r="BP329" i="1" s="1"/>
  <c r="BO327" i="1"/>
  <c r="BO329" i="1" s="1"/>
  <c r="BN327" i="1"/>
  <c r="BN329" i="1" s="1"/>
  <c r="BM327" i="1"/>
  <c r="BM329" i="1" s="1"/>
  <c r="BL327" i="1"/>
  <c r="BL329" i="1" s="1"/>
  <c r="BS323" i="1"/>
  <c r="BR323" i="1"/>
  <c r="BQ323" i="1"/>
  <c r="BP323" i="1"/>
  <c r="BO323" i="1"/>
  <c r="BN323" i="1"/>
  <c r="BM323" i="1"/>
  <c r="BL323" i="1"/>
  <c r="BK323" i="1"/>
  <c r="BJ323" i="1"/>
  <c r="BI323" i="1"/>
  <c r="BH323" i="1"/>
  <c r="BG323" i="1"/>
  <c r="BF323" i="1"/>
  <c r="BE323" i="1"/>
  <c r="BD323" i="1"/>
  <c r="BC323" i="1"/>
  <c r="BB323" i="1"/>
  <c r="BA323" i="1"/>
  <c r="AZ323" i="1"/>
  <c r="AY323" i="1"/>
  <c r="AX323" i="1"/>
  <c r="AW323" i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BP319" i="1"/>
  <c r="BL319" i="1"/>
  <c r="BH319" i="1"/>
  <c r="BD319" i="1"/>
  <c r="AZ319" i="1"/>
  <c r="AY319" i="1"/>
  <c r="AX319" i="1"/>
  <c r="AV319" i="1"/>
  <c r="AR319" i="1"/>
  <c r="AQ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T319" i="1"/>
  <c r="BP318" i="1"/>
  <c r="BL318" i="1"/>
  <c r="BH318" i="1"/>
  <c r="BH298" i="1" s="1"/>
  <c r="BD318" i="1"/>
  <c r="BD298" i="1" s="1"/>
  <c r="AZ318" i="1"/>
  <c r="AZ298" i="1" s="1"/>
  <c r="AY318" i="1"/>
  <c r="AY298" i="1" s="1"/>
  <c r="AX318" i="1"/>
  <c r="AX298" i="1" s="1"/>
  <c r="AV318" i="1"/>
  <c r="AV298" i="1" s="1"/>
  <c r="AR318" i="1"/>
  <c r="AR298" i="1" s="1"/>
  <c r="AQ318" i="1"/>
  <c r="AQ298" i="1" s="1"/>
  <c r="AO318" i="1"/>
  <c r="AO298" i="1" s="1"/>
  <c r="AN318" i="1"/>
  <c r="AN298" i="1" s="1"/>
  <c r="AM318" i="1"/>
  <c r="AM298" i="1" s="1"/>
  <c r="AL318" i="1"/>
  <c r="AL298" i="1" s="1"/>
  <c r="AK318" i="1"/>
  <c r="AK298" i="1" s="1"/>
  <c r="AJ318" i="1"/>
  <c r="AJ298" i="1" s="1"/>
  <c r="AI318" i="1"/>
  <c r="AH318" i="1"/>
  <c r="AH298" i="1" s="1"/>
  <c r="AG318" i="1"/>
  <c r="AG298" i="1" s="1"/>
  <c r="AF318" i="1"/>
  <c r="AF298" i="1" s="1"/>
  <c r="AE318" i="1"/>
  <c r="AE298" i="1" s="1"/>
  <c r="AD318" i="1"/>
  <c r="AD298" i="1" s="1"/>
  <c r="AC318" i="1"/>
  <c r="AC298" i="1" s="1"/>
  <c r="AB318" i="1"/>
  <c r="AB298" i="1" s="1"/>
  <c r="AA318" i="1"/>
  <c r="AA298" i="1" s="1"/>
  <c r="Z318" i="1"/>
  <c r="Z298" i="1" s="1"/>
  <c r="Y318" i="1"/>
  <c r="Y298" i="1" s="1"/>
  <c r="X318" i="1"/>
  <c r="W318" i="1"/>
  <c r="W298" i="1" s="1"/>
  <c r="BS315" i="1"/>
  <c r="BS321" i="1" s="1"/>
  <c r="BR315" i="1"/>
  <c r="BR322" i="1" s="1"/>
  <c r="BQ315" i="1"/>
  <c r="BQ322" i="1" s="1"/>
  <c r="BP315" i="1"/>
  <c r="BP322" i="1" s="1"/>
  <c r="BO315" i="1"/>
  <c r="BN315" i="1"/>
  <c r="BM315" i="1"/>
  <c r="BL315" i="1"/>
  <c r="BK315" i="1"/>
  <c r="BK322" i="1" s="1"/>
  <c r="BJ315" i="1"/>
  <c r="BI315" i="1"/>
  <c r="BI322" i="1" s="1"/>
  <c r="BH315" i="1"/>
  <c r="BH322" i="1" s="1"/>
  <c r="BG315" i="1"/>
  <c r="BG321" i="1" s="1"/>
  <c r="BF315" i="1"/>
  <c r="BF322" i="1" s="1"/>
  <c r="BE315" i="1"/>
  <c r="BE322" i="1" s="1"/>
  <c r="BD315" i="1"/>
  <c r="BC315" i="1"/>
  <c r="BC321" i="1" s="1"/>
  <c r="BB315" i="1"/>
  <c r="BA315" i="1"/>
  <c r="AZ315" i="1"/>
  <c r="AY315" i="1"/>
  <c r="AX315" i="1"/>
  <c r="AW315" i="1"/>
  <c r="AV315" i="1"/>
  <c r="AU315" i="1"/>
  <c r="AU321" i="1" s="1"/>
  <c r="AT315" i="1"/>
  <c r="AS315" i="1"/>
  <c r="AR315" i="1"/>
  <c r="AQ315" i="1"/>
  <c r="AQ321" i="1" s="1"/>
  <c r="AP315" i="1"/>
  <c r="AO315" i="1"/>
  <c r="AN315" i="1"/>
  <c r="AM315" i="1"/>
  <c r="AM321" i="1" s="1"/>
  <c r="AL315" i="1"/>
  <c r="AK315" i="1"/>
  <c r="AJ315" i="1"/>
  <c r="AI315" i="1"/>
  <c r="AH315" i="1"/>
  <c r="AG315" i="1"/>
  <c r="AF315" i="1"/>
  <c r="AE315" i="1"/>
  <c r="AE321" i="1" s="1"/>
  <c r="AD315" i="1"/>
  <c r="AC315" i="1"/>
  <c r="AB315" i="1"/>
  <c r="AA315" i="1"/>
  <c r="AA321" i="1" s="1"/>
  <c r="Z315" i="1"/>
  <c r="Y315" i="1"/>
  <c r="X315" i="1"/>
  <c r="W315" i="1"/>
  <c r="W321" i="1" s="1"/>
  <c r="Z312" i="1"/>
  <c r="Y312" i="1"/>
  <c r="X312" i="1"/>
  <c r="W312" i="1"/>
  <c r="BU304" i="1"/>
  <c r="BU303" i="1" s="1"/>
  <c r="BT303" i="1"/>
  <c r="BP298" i="1"/>
  <c r="BL298" i="1"/>
  <c r="AI298" i="1"/>
  <c r="X298" i="1"/>
  <c r="BS286" i="1"/>
  <c r="BS287" i="1" s="1"/>
  <c r="BR286" i="1"/>
  <c r="BR287" i="1" s="1"/>
  <c r="BQ286" i="1"/>
  <c r="BQ287" i="1" s="1"/>
  <c r="BP286" i="1"/>
  <c r="BP287" i="1" s="1"/>
  <c r="BO286" i="1"/>
  <c r="BO287" i="1" s="1"/>
  <c r="BN286" i="1"/>
  <c r="BM286" i="1"/>
  <c r="BM287" i="1" s="1"/>
  <c r="BL286" i="1"/>
  <c r="BL287" i="1" s="1"/>
  <c r="BK286" i="1"/>
  <c r="BJ286" i="1"/>
  <c r="BJ287" i="1" s="1"/>
  <c r="BI286" i="1"/>
  <c r="BI287" i="1" s="1"/>
  <c r="BH286" i="1"/>
  <c r="BH287" i="1" s="1"/>
  <c r="BG286" i="1"/>
  <c r="BF286" i="1"/>
  <c r="BE286" i="1"/>
  <c r="BE287" i="1" s="1"/>
  <c r="BD286" i="1"/>
  <c r="BD287" i="1" s="1"/>
  <c r="BC286" i="1"/>
  <c r="BC287" i="1" s="1"/>
  <c r="BB286" i="1"/>
  <c r="BB287" i="1" s="1"/>
  <c r="BA286" i="1"/>
  <c r="BA287" i="1" s="1"/>
  <c r="AZ286" i="1"/>
  <c r="AZ287" i="1" s="1"/>
  <c r="AY286" i="1"/>
  <c r="AY287" i="1" s="1"/>
  <c r="AX286" i="1"/>
  <c r="AW286" i="1"/>
  <c r="AW287" i="1" s="1"/>
  <c r="AV286" i="1"/>
  <c r="AV287" i="1" s="1"/>
  <c r="AU286" i="1"/>
  <c r="AT286" i="1"/>
  <c r="AS286" i="1"/>
  <c r="AS287" i="1" s="1"/>
  <c r="AR286" i="1"/>
  <c r="AR287" i="1" s="1"/>
  <c r="AQ286" i="1"/>
  <c r="AP286" i="1"/>
  <c r="AO286" i="1"/>
  <c r="AO287" i="1" s="1"/>
  <c r="AN286" i="1"/>
  <c r="AN287" i="1" s="1"/>
  <c r="AM286" i="1"/>
  <c r="AL286" i="1"/>
  <c r="AL287" i="1" s="1"/>
  <c r="AK286" i="1"/>
  <c r="AK287" i="1" s="1"/>
  <c r="AJ286" i="1"/>
  <c r="AJ287" i="1" s="1"/>
  <c r="AI286" i="1"/>
  <c r="AI287" i="1" s="1"/>
  <c r="AH286" i="1"/>
  <c r="AG286" i="1"/>
  <c r="AG287" i="1" s="1"/>
  <c r="AF286" i="1"/>
  <c r="AF287" i="1" s="1"/>
  <c r="AE286" i="1"/>
  <c r="AD286" i="1"/>
  <c r="AD287" i="1" s="1"/>
  <c r="AC286" i="1"/>
  <c r="AC287" i="1" s="1"/>
  <c r="AB286" i="1"/>
  <c r="AB287" i="1" s="1"/>
  <c r="AA286" i="1"/>
  <c r="Z286" i="1"/>
  <c r="Y286" i="1"/>
  <c r="Y287" i="1" s="1"/>
  <c r="X286" i="1"/>
  <c r="X287" i="1" s="1"/>
  <c r="W286" i="1"/>
  <c r="CE283" i="1"/>
  <c r="CD283" i="1"/>
  <c r="CC283" i="1"/>
  <c r="CB283" i="1"/>
  <c r="CA283" i="1"/>
  <c r="BZ283" i="1"/>
  <c r="BY283" i="1"/>
  <c r="BX283" i="1"/>
  <c r="BW283" i="1"/>
  <c r="BV283" i="1"/>
  <c r="BU283" i="1"/>
  <c r="BT283" i="1"/>
  <c r="BS283" i="1"/>
  <c r="BR283" i="1"/>
  <c r="BQ283" i="1"/>
  <c r="BP283" i="1"/>
  <c r="BO283" i="1"/>
  <c r="BN283" i="1"/>
  <c r="BM283" i="1"/>
  <c r="BL283" i="1"/>
  <c r="BK283" i="1"/>
  <c r="BJ283" i="1"/>
  <c r="BI283" i="1"/>
  <c r="BH283" i="1"/>
  <c r="BG283" i="1"/>
  <c r="BF283" i="1"/>
  <c r="BE283" i="1"/>
  <c r="BD283" i="1"/>
  <c r="BC283" i="1"/>
  <c r="BB283" i="1"/>
  <c r="BA283" i="1"/>
  <c r="AZ283" i="1"/>
  <c r="AY283" i="1"/>
  <c r="AX283" i="1"/>
  <c r="AW283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BS280" i="1"/>
  <c r="BS281" i="1" s="1"/>
  <c r="BR280" i="1"/>
  <c r="BR281" i="1" s="1"/>
  <c r="BQ280" i="1"/>
  <c r="BQ281" i="1" s="1"/>
  <c r="BP280" i="1"/>
  <c r="BP285" i="1" s="1"/>
  <c r="BO280" i="1"/>
  <c r="BO285" i="1" s="1"/>
  <c r="BN280" i="1"/>
  <c r="BN281" i="1" s="1"/>
  <c r="BM280" i="1"/>
  <c r="BM285" i="1" s="1"/>
  <c r="BL280" i="1"/>
  <c r="BK280" i="1"/>
  <c r="BK281" i="1" s="1"/>
  <c r="BJ280" i="1"/>
  <c r="BJ281" i="1" s="1"/>
  <c r="BI280" i="1"/>
  <c r="BI281" i="1" s="1"/>
  <c r="BH280" i="1"/>
  <c r="BG280" i="1"/>
  <c r="BG281" i="1" s="1"/>
  <c r="BF280" i="1"/>
  <c r="BF281" i="1" s="1"/>
  <c r="BE280" i="1"/>
  <c r="BD280" i="1"/>
  <c r="BD285" i="1" s="1"/>
  <c r="BC280" i="1"/>
  <c r="BC281" i="1" s="1"/>
  <c r="BB280" i="1"/>
  <c r="BB281" i="1" s="1"/>
  <c r="BA280" i="1"/>
  <c r="BA281" i="1" s="1"/>
  <c r="AZ280" i="1"/>
  <c r="AZ285" i="1" s="1"/>
  <c r="AY280" i="1"/>
  <c r="AY285" i="1" s="1"/>
  <c r="AX280" i="1"/>
  <c r="AW280" i="1"/>
  <c r="AW285" i="1" s="1"/>
  <c r="AV280" i="1"/>
  <c r="AU280" i="1"/>
  <c r="AT280" i="1"/>
  <c r="AS280" i="1"/>
  <c r="AS285" i="1" s="1"/>
  <c r="AR280" i="1"/>
  <c r="AQ280" i="1"/>
  <c r="AN280" i="1"/>
  <c r="AN285" i="1" s="1"/>
  <c r="AN288" i="1" s="1"/>
  <c r="AM280" i="1"/>
  <c r="AL280" i="1"/>
  <c r="AK280" i="1"/>
  <c r="AJ280" i="1"/>
  <c r="AI280" i="1"/>
  <c r="AH280" i="1"/>
  <c r="AG280" i="1"/>
  <c r="AG285" i="1" s="1"/>
  <c r="AF280" i="1"/>
  <c r="AE280" i="1"/>
  <c r="AD280" i="1"/>
  <c r="AD281" i="1" s="1"/>
  <c r="AC280" i="1"/>
  <c r="AB280" i="1"/>
  <c r="AB290" i="1" s="1"/>
  <c r="AA280" i="1"/>
  <c r="Z280" i="1"/>
  <c r="Y280" i="1"/>
  <c r="X280" i="1"/>
  <c r="W280" i="1"/>
  <c r="BD277" i="1"/>
  <c r="BD276" i="1"/>
  <c r="AY277" i="1"/>
  <c r="AY276" i="1"/>
  <c r="AR277" i="1"/>
  <c r="AQ277" i="1"/>
  <c r="AP277" i="1"/>
  <c r="AO277" i="1"/>
  <c r="BS276" i="1"/>
  <c r="BR276" i="1"/>
  <c r="BQ276" i="1"/>
  <c r="BP276" i="1"/>
  <c r="BO276" i="1"/>
  <c r="BN276" i="1"/>
  <c r="BM276" i="1"/>
  <c r="BL276" i="1"/>
  <c r="BK276" i="1"/>
  <c r="BJ276" i="1"/>
  <c r="BI276" i="1"/>
  <c r="BH276" i="1"/>
  <c r="BG276" i="1"/>
  <c r="BF276" i="1"/>
  <c r="BE276" i="1"/>
  <c r="BC276" i="1"/>
  <c r="BB276" i="1"/>
  <c r="BA276" i="1"/>
  <c r="AZ276" i="1"/>
  <c r="AX276" i="1"/>
  <c r="AW276" i="1"/>
  <c r="AV276" i="1"/>
  <c r="AU276" i="1"/>
  <c r="AT276" i="1"/>
  <c r="AS276" i="1"/>
  <c r="AR276" i="1"/>
  <c r="AQ276" i="1"/>
  <c r="AP276" i="1"/>
  <c r="AO276" i="1"/>
  <c r="AT273" i="1"/>
  <c r="AT271" i="1"/>
  <c r="AR272" i="1"/>
  <c r="AQ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BS271" i="1"/>
  <c r="BT271" i="1" s="1"/>
  <c r="BR271" i="1"/>
  <c r="BQ271" i="1"/>
  <c r="BP271" i="1"/>
  <c r="BO271" i="1"/>
  <c r="BN271" i="1"/>
  <c r="BM271" i="1"/>
  <c r="BL271" i="1"/>
  <c r="BK271" i="1"/>
  <c r="BJ271" i="1"/>
  <c r="BI271" i="1"/>
  <c r="BH271" i="1"/>
  <c r="BG271" i="1"/>
  <c r="BF271" i="1"/>
  <c r="BE271" i="1"/>
  <c r="BD271" i="1"/>
  <c r="BC271" i="1"/>
  <c r="BB271" i="1"/>
  <c r="BA271" i="1"/>
  <c r="AZ271" i="1"/>
  <c r="AY271" i="1"/>
  <c r="AX271" i="1"/>
  <c r="AW271" i="1"/>
  <c r="AV271" i="1"/>
  <c r="AU271" i="1"/>
  <c r="AS271" i="1"/>
  <c r="AR271" i="1"/>
  <c r="AQ271" i="1"/>
  <c r="AP271" i="1"/>
  <c r="AO271" i="1"/>
  <c r="BT279" i="1"/>
  <c r="BU279" i="1" s="1"/>
  <c r="BV279" i="1" s="1"/>
  <c r="BW279" i="1" s="1"/>
  <c r="BX279" i="1" s="1"/>
  <c r="BY279" i="1" s="1"/>
  <c r="BZ279" i="1" s="1"/>
  <c r="CA279" i="1" s="1"/>
  <c r="CB279" i="1" s="1"/>
  <c r="CC279" i="1" s="1"/>
  <c r="CD279" i="1" s="1"/>
  <c r="CE279" i="1" s="1"/>
  <c r="BT276" i="1"/>
  <c r="BU276" i="1" s="1"/>
  <c r="BV276" i="1" s="1"/>
  <c r="BW276" i="1" s="1"/>
  <c r="BX276" i="1" s="1"/>
  <c r="BY276" i="1" s="1"/>
  <c r="BZ276" i="1" s="1"/>
  <c r="CA276" i="1" s="1"/>
  <c r="CB276" i="1" s="1"/>
  <c r="CC276" i="1" s="1"/>
  <c r="CD276" i="1" s="1"/>
  <c r="CE276" i="1" s="1"/>
  <c r="BT275" i="1"/>
  <c r="BU275" i="1" s="1"/>
  <c r="BV275" i="1" s="1"/>
  <c r="BW275" i="1" s="1"/>
  <c r="BX275" i="1" s="1"/>
  <c r="BY275" i="1" s="1"/>
  <c r="BZ275" i="1" s="1"/>
  <c r="CA275" i="1" s="1"/>
  <c r="CB275" i="1" s="1"/>
  <c r="CC275" i="1" s="1"/>
  <c r="CD275" i="1" s="1"/>
  <c r="CE275" i="1" s="1"/>
  <c r="BT274" i="1"/>
  <c r="BT362" i="1" s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D263" i="1"/>
  <c r="BD261" i="1"/>
  <c r="BD267" i="1" s="1"/>
  <c r="BD260" i="1"/>
  <c r="BR262" i="1"/>
  <c r="BQ262" i="1"/>
  <c r="BQ321" i="1" s="1"/>
  <c r="BP262" i="1"/>
  <c r="BP321" i="1" s="1"/>
  <c r="BL263" i="1"/>
  <c r="BJ262" i="1"/>
  <c r="BI262" i="1"/>
  <c r="BI321" i="1" s="1"/>
  <c r="BH262" i="1"/>
  <c r="BH321" i="1" s="1"/>
  <c r="BF262" i="1"/>
  <c r="BE262" i="1"/>
  <c r="AZ263" i="1"/>
  <c r="AV263" i="1"/>
  <c r="AV322" i="1" s="1"/>
  <c r="AR263" i="1"/>
  <c r="AN263" i="1"/>
  <c r="AJ263" i="1"/>
  <c r="AF263" i="1"/>
  <c r="AF322" i="1" s="1"/>
  <c r="AB263" i="1"/>
  <c r="X263" i="1"/>
  <c r="BC261" i="1"/>
  <c r="AZ261" i="1"/>
  <c r="AY261" i="1"/>
  <c r="AV261" i="1"/>
  <c r="AV267" i="1" s="1"/>
  <c r="AU261" i="1"/>
  <c r="AR261" i="1"/>
  <c r="AR267" i="1" s="1"/>
  <c r="AQ261" i="1"/>
  <c r="AN261" i="1"/>
  <c r="AM261" i="1"/>
  <c r="AJ261" i="1"/>
  <c r="AJ267" i="1" s="1"/>
  <c r="AI261" i="1"/>
  <c r="AF261" i="1"/>
  <c r="AF267" i="1" s="1"/>
  <c r="AE261" i="1"/>
  <c r="AB261" i="1"/>
  <c r="AB267" i="1" s="1"/>
  <c r="AA261" i="1"/>
  <c r="Z261" i="1"/>
  <c r="Y261" i="1"/>
  <c r="X261" i="1"/>
  <c r="W261" i="1"/>
  <c r="BQ261" i="1"/>
  <c r="BQ267" i="1" s="1"/>
  <c r="BP261" i="1"/>
  <c r="BO261" i="1"/>
  <c r="BM261" i="1"/>
  <c r="BM267" i="1" s="1"/>
  <c r="BL261" i="1"/>
  <c r="BL267" i="1" s="1"/>
  <c r="BK261" i="1"/>
  <c r="BI261" i="1"/>
  <c r="BI267" i="1" s="1"/>
  <c r="BH261" i="1"/>
  <c r="BG261" i="1"/>
  <c r="BE261" i="1"/>
  <c r="BE267" i="1" s="1"/>
  <c r="BS260" i="1"/>
  <c r="BR260" i="1"/>
  <c r="BR261" i="1" s="1"/>
  <c r="BQ260" i="1"/>
  <c r="BP260" i="1"/>
  <c r="BO260" i="1"/>
  <c r="BN260" i="1"/>
  <c r="BN261" i="1" s="1"/>
  <c r="BM260" i="1"/>
  <c r="BL260" i="1"/>
  <c r="BK260" i="1"/>
  <c r="BJ260" i="1"/>
  <c r="BJ261" i="1" s="1"/>
  <c r="BI260" i="1"/>
  <c r="BH260" i="1"/>
  <c r="BG260" i="1"/>
  <c r="BF260" i="1"/>
  <c r="BF261" i="1" s="1"/>
  <c r="BE260" i="1"/>
  <c r="BC260" i="1"/>
  <c r="BB260" i="1"/>
  <c r="BB261" i="1" s="1"/>
  <c r="BA260" i="1"/>
  <c r="BA261" i="1" s="1"/>
  <c r="AZ260" i="1"/>
  <c r="AY260" i="1"/>
  <c r="AX260" i="1"/>
  <c r="AX261" i="1" s="1"/>
  <c r="AW260" i="1"/>
  <c r="AW261" i="1" s="1"/>
  <c r="AV260" i="1"/>
  <c r="AU260" i="1"/>
  <c r="AT260" i="1"/>
  <c r="AT261" i="1" s="1"/>
  <c r="AS260" i="1"/>
  <c r="AS261" i="1" s="1"/>
  <c r="AR260" i="1"/>
  <c r="AQ260" i="1"/>
  <c r="AP260" i="1"/>
  <c r="AP261" i="1" s="1"/>
  <c r="AO260" i="1"/>
  <c r="AO261" i="1" s="1"/>
  <c r="AN260" i="1"/>
  <c r="AM260" i="1"/>
  <c r="AL260" i="1"/>
  <c r="AL261" i="1" s="1"/>
  <c r="AK260" i="1"/>
  <c r="AK261" i="1" s="1"/>
  <c r="AJ260" i="1"/>
  <c r="AI260" i="1"/>
  <c r="AH260" i="1"/>
  <c r="AH261" i="1" s="1"/>
  <c r="AG260" i="1"/>
  <c r="AG261" i="1" s="1"/>
  <c r="AF260" i="1"/>
  <c r="AE260" i="1"/>
  <c r="AD260" i="1"/>
  <c r="AD261" i="1" s="1"/>
  <c r="AC260" i="1"/>
  <c r="AC261" i="1" s="1"/>
  <c r="AB260" i="1"/>
  <c r="AA260" i="1"/>
  <c r="BT266" i="1"/>
  <c r="BU266" i="1" s="1"/>
  <c r="BT265" i="1"/>
  <c r="BU265" i="1" s="1"/>
  <c r="BT260" i="1"/>
  <c r="BU260" i="1" s="1"/>
  <c r="BV260" i="1" s="1"/>
  <c r="BW260" i="1" s="1"/>
  <c r="BX260" i="1" s="1"/>
  <c r="BY260" i="1" s="1"/>
  <c r="BZ260" i="1" s="1"/>
  <c r="CA260" i="1" s="1"/>
  <c r="CB260" i="1" s="1"/>
  <c r="CC260" i="1" s="1"/>
  <c r="CD260" i="1" s="1"/>
  <c r="CE260" i="1" s="1"/>
  <c r="N263" i="1"/>
  <c r="M263" i="1"/>
  <c r="L263" i="1"/>
  <c r="K263" i="1"/>
  <c r="J263" i="1"/>
  <c r="I263" i="1"/>
  <c r="H263" i="1"/>
  <c r="G263" i="1"/>
  <c r="F263" i="1"/>
  <c r="E263" i="1"/>
  <c r="D263" i="1"/>
  <c r="C263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CE254" i="1"/>
  <c r="CD254" i="1"/>
  <c r="CC254" i="1"/>
  <c r="CB254" i="1"/>
  <c r="CA254" i="1"/>
  <c r="BZ254" i="1"/>
  <c r="BY254" i="1"/>
  <c r="BX254" i="1"/>
  <c r="BW254" i="1"/>
  <c r="BV254" i="1"/>
  <c r="BU254" i="1"/>
  <c r="BT254" i="1"/>
  <c r="BS254" i="1"/>
  <c r="BR254" i="1"/>
  <c r="BQ254" i="1"/>
  <c r="BP254" i="1"/>
  <c r="BO254" i="1"/>
  <c r="BN254" i="1"/>
  <c r="BM254" i="1"/>
  <c r="BL254" i="1"/>
  <c r="BK254" i="1"/>
  <c r="BJ254" i="1"/>
  <c r="BI254" i="1"/>
  <c r="BH254" i="1"/>
  <c r="BG254" i="1"/>
  <c r="BF254" i="1"/>
  <c r="BE254" i="1"/>
  <c r="BD254" i="1"/>
  <c r="BC254" i="1"/>
  <c r="BB254" i="1"/>
  <c r="BA254" i="1"/>
  <c r="AZ254" i="1"/>
  <c r="AY254" i="1"/>
  <c r="AX254" i="1"/>
  <c r="AW254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A250" i="1"/>
  <c r="BB250" i="1" s="1"/>
  <c r="BC250" i="1" s="1"/>
  <c r="BQ249" i="1"/>
  <c r="BR249" i="1" s="1"/>
  <c r="BS249" i="1" s="1"/>
  <c r="BM250" i="1"/>
  <c r="BN250" i="1" s="1"/>
  <c r="BO250" i="1" s="1"/>
  <c r="BM249" i="1"/>
  <c r="BN249" i="1" s="1"/>
  <c r="BO249" i="1" s="1"/>
  <c r="BD249" i="1"/>
  <c r="BE249" i="1" s="1"/>
  <c r="BF249" i="1" s="1"/>
  <c r="BG249" i="1" s="1"/>
  <c r="BA249" i="1"/>
  <c r="BB249" i="1" s="1"/>
  <c r="BC249" i="1" s="1"/>
  <c r="AW249" i="1"/>
  <c r="AX249" i="1" s="1"/>
  <c r="AY249" i="1" s="1"/>
  <c r="AS249" i="1"/>
  <c r="AT249" i="1" s="1"/>
  <c r="AU249" i="1" s="1"/>
  <c r="AO249" i="1"/>
  <c r="AP249" i="1" s="1"/>
  <c r="AQ249" i="1" s="1"/>
  <c r="BI249" i="1"/>
  <c r="BJ249" i="1" s="1"/>
  <c r="BK249" i="1" s="1"/>
  <c r="BI248" i="1"/>
  <c r="BJ248" i="1" s="1"/>
  <c r="BK248" i="1" s="1"/>
  <c r="AW248" i="1"/>
  <c r="AW245" i="1"/>
  <c r="AX245" i="1" s="1"/>
  <c r="AS248" i="1"/>
  <c r="AR248" i="1"/>
  <c r="AO248" i="1"/>
  <c r="AP248" i="1" s="1"/>
  <c r="AQ248" i="1" s="1"/>
  <c r="BT247" i="1"/>
  <c r="BT379" i="1" s="1"/>
  <c r="BP247" i="1"/>
  <c r="BP246" i="1"/>
  <c r="BN247" i="1"/>
  <c r="BN379" i="1" s="1"/>
  <c r="BM247" i="1"/>
  <c r="BM379" i="1" s="1"/>
  <c r="BL247" i="1"/>
  <c r="BI247" i="1"/>
  <c r="BI379" i="1" s="1"/>
  <c r="BE250" i="1"/>
  <c r="BF250" i="1" s="1"/>
  <c r="BG250" i="1" s="1"/>
  <c r="BE248" i="1"/>
  <c r="BF248" i="1" s="1"/>
  <c r="BG248" i="1" s="1"/>
  <c r="BE247" i="1"/>
  <c r="BE379" i="1" s="1"/>
  <c r="BB247" i="1"/>
  <c r="BA247" i="1"/>
  <c r="BA379" i="1" s="1"/>
  <c r="AX247" i="1"/>
  <c r="AX379" i="1" s="1"/>
  <c r="AS247" i="1"/>
  <c r="AS379" i="1" s="1"/>
  <c r="AP247" i="1"/>
  <c r="AO247" i="1"/>
  <c r="AO379" i="1" s="1"/>
  <c r="BO246" i="1"/>
  <c r="BI246" i="1"/>
  <c r="BJ246" i="1" s="1"/>
  <c r="BK246" i="1" s="1"/>
  <c r="BH246" i="1"/>
  <c r="BE246" i="1"/>
  <c r="BF246" i="1" s="1"/>
  <c r="BG246" i="1" s="1"/>
  <c r="BD246" i="1"/>
  <c r="BA246" i="1"/>
  <c r="BB246" i="1" s="1"/>
  <c r="BC246" i="1" s="1"/>
  <c r="AZ246" i="1"/>
  <c r="AV246" i="1"/>
  <c r="AU246" i="1"/>
  <c r="AS246" i="1"/>
  <c r="AT246" i="1" s="1"/>
  <c r="AR246" i="1"/>
  <c r="AO246" i="1"/>
  <c r="AP246" i="1" s="1"/>
  <c r="AQ246" i="1" s="1"/>
  <c r="BQ245" i="1"/>
  <c r="BM245" i="1"/>
  <c r="BI245" i="1"/>
  <c r="BJ245" i="1" s="1"/>
  <c r="BK245" i="1" s="1"/>
  <c r="BE245" i="1"/>
  <c r="BF245" i="1" s="1"/>
  <c r="BG245" i="1" s="1"/>
  <c r="BD245" i="1"/>
  <c r="BA245" i="1"/>
  <c r="AS245" i="1"/>
  <c r="AT245" i="1" s="1"/>
  <c r="AO245" i="1"/>
  <c r="BE244" i="1"/>
  <c r="BF244" i="1" s="1"/>
  <c r="BC244" i="1"/>
  <c r="BP243" i="1"/>
  <c r="BL243" i="1"/>
  <c r="BH243" i="1"/>
  <c r="BH251" i="1" s="1"/>
  <c r="BH252" i="1" s="1"/>
  <c r="BD243" i="1"/>
  <c r="AZ243" i="1"/>
  <c r="AW242" i="1"/>
  <c r="AW238" i="1"/>
  <c r="AX238" i="1" s="1"/>
  <c r="AY238" i="1" s="1"/>
  <c r="AW237" i="1"/>
  <c r="AX237" i="1" s="1"/>
  <c r="AY237" i="1" s="1"/>
  <c r="AS242" i="1"/>
  <c r="AS225" i="1" s="1"/>
  <c r="AP242" i="1"/>
  <c r="AP225" i="1" s="1"/>
  <c r="U242" i="1"/>
  <c r="U225" i="1" s="1"/>
  <c r="BM242" i="1"/>
  <c r="BN242" i="1" s="1"/>
  <c r="BM241" i="1"/>
  <c r="BN241" i="1" s="1"/>
  <c r="BO241" i="1" s="1"/>
  <c r="BI242" i="1"/>
  <c r="BI241" i="1"/>
  <c r="BE242" i="1"/>
  <c r="BF242" i="1" s="1"/>
  <c r="BF225" i="1" s="1"/>
  <c r="BE241" i="1"/>
  <c r="AV240" i="1"/>
  <c r="AW240" i="1" s="1"/>
  <c r="AX240" i="1" s="1"/>
  <c r="AY240" i="1" s="1"/>
  <c r="AS240" i="1"/>
  <c r="AT240" i="1" s="1"/>
  <c r="AU240" i="1" s="1"/>
  <c r="AR240" i="1"/>
  <c r="AO240" i="1"/>
  <c r="AP240" i="1" s="1"/>
  <c r="AQ240" i="1" s="1"/>
  <c r="AO239" i="1"/>
  <c r="AP239" i="1" s="1"/>
  <c r="AQ239" i="1" s="1"/>
  <c r="AO238" i="1"/>
  <c r="AP238" i="1" s="1"/>
  <c r="AQ238" i="1" s="1"/>
  <c r="AO237" i="1"/>
  <c r="AP237" i="1" s="1"/>
  <c r="AQ237" i="1" s="1"/>
  <c r="AV239" i="1"/>
  <c r="AW239" i="1" s="1"/>
  <c r="AX239" i="1" s="1"/>
  <c r="AY239" i="1" s="1"/>
  <c r="AS239" i="1"/>
  <c r="AT239" i="1" s="1"/>
  <c r="AU239" i="1" s="1"/>
  <c r="BD238" i="1"/>
  <c r="BQ242" i="1"/>
  <c r="BR242" i="1" s="1"/>
  <c r="BQ241" i="1"/>
  <c r="BQ239" i="1"/>
  <c r="BR239" i="1" s="1"/>
  <c r="BS239" i="1" s="1"/>
  <c r="BQ238" i="1"/>
  <c r="BR238" i="1" s="1"/>
  <c r="BS238" i="1" s="1"/>
  <c r="BQ237" i="1"/>
  <c r="BR237" i="1" s="1"/>
  <c r="BS237" i="1" s="1"/>
  <c r="BM239" i="1"/>
  <c r="BN239" i="1" s="1"/>
  <c r="BO239" i="1" s="1"/>
  <c r="BM237" i="1"/>
  <c r="BN237" i="1" s="1"/>
  <c r="BO237" i="1" s="1"/>
  <c r="BI239" i="1"/>
  <c r="BJ239" i="1" s="1"/>
  <c r="BK239" i="1" s="1"/>
  <c r="BI238" i="1"/>
  <c r="BJ238" i="1" s="1"/>
  <c r="BK238" i="1" s="1"/>
  <c r="BI237" i="1"/>
  <c r="BJ237" i="1" s="1"/>
  <c r="BK237" i="1" s="1"/>
  <c r="BE239" i="1"/>
  <c r="BF239" i="1" s="1"/>
  <c r="BG239" i="1" s="1"/>
  <c r="BE238" i="1"/>
  <c r="BF238" i="1" s="1"/>
  <c r="BG238" i="1" s="1"/>
  <c r="BE237" i="1"/>
  <c r="BF237" i="1" s="1"/>
  <c r="BG237" i="1" s="1"/>
  <c r="BA242" i="1"/>
  <c r="BB242" i="1" s="1"/>
  <c r="BB225" i="1" s="1"/>
  <c r="BA241" i="1"/>
  <c r="BA239" i="1"/>
  <c r="BB239" i="1" s="1"/>
  <c r="BC239" i="1" s="1"/>
  <c r="BA238" i="1"/>
  <c r="BB238" i="1" s="1"/>
  <c r="BC238" i="1" s="1"/>
  <c r="BA237" i="1"/>
  <c r="BB237" i="1" s="1"/>
  <c r="BC237" i="1" s="1"/>
  <c r="AS238" i="1"/>
  <c r="AT238" i="1" s="1"/>
  <c r="AU238" i="1" s="1"/>
  <c r="AS237" i="1"/>
  <c r="AT237" i="1" s="1"/>
  <c r="AU237" i="1" s="1"/>
  <c r="BQ235" i="1"/>
  <c r="BR235" i="1" s="1"/>
  <c r="BS235" i="1" s="1"/>
  <c r="BM235" i="1"/>
  <c r="BN235" i="1" s="1"/>
  <c r="BO235" i="1" s="1"/>
  <c r="BL235" i="1"/>
  <c r="BI235" i="1"/>
  <c r="BJ235" i="1" s="1"/>
  <c r="BK235" i="1" s="1"/>
  <c r="BH235" i="1"/>
  <c r="BE235" i="1"/>
  <c r="BF235" i="1" s="1"/>
  <c r="BG235" i="1" s="1"/>
  <c r="BD235" i="1"/>
  <c r="BA235" i="1"/>
  <c r="BB235" i="1" s="1"/>
  <c r="BC235" i="1" s="1"/>
  <c r="AZ235" i="1"/>
  <c r="AW235" i="1"/>
  <c r="AV235" i="1"/>
  <c r="AT235" i="1"/>
  <c r="AU235" i="1" s="1"/>
  <c r="AS235" i="1"/>
  <c r="AR235" i="1"/>
  <c r="AO235" i="1"/>
  <c r="AP235" i="1" s="1"/>
  <c r="AQ235" i="1" s="1"/>
  <c r="AI235" i="1"/>
  <c r="AG235" i="1"/>
  <c r="AF235" i="1"/>
  <c r="AD235" i="1"/>
  <c r="AC235" i="1"/>
  <c r="AA235" i="1"/>
  <c r="BM234" i="1"/>
  <c r="BN234" i="1" s="1"/>
  <c r="BO234" i="1" s="1"/>
  <c r="BM233" i="1"/>
  <c r="BN233" i="1" s="1"/>
  <c r="BO233" i="1" s="1"/>
  <c r="BI234" i="1"/>
  <c r="BJ234" i="1" s="1"/>
  <c r="BK234" i="1" s="1"/>
  <c r="BI233" i="1"/>
  <c r="BJ233" i="1" s="1"/>
  <c r="BK233" i="1" s="1"/>
  <c r="AW234" i="1"/>
  <c r="AX234" i="1" s="1"/>
  <c r="AY234" i="1" s="1"/>
  <c r="AW233" i="1"/>
  <c r="AX233" i="1" s="1"/>
  <c r="AY233" i="1" s="1"/>
  <c r="AS234" i="1"/>
  <c r="AT234" i="1" s="1"/>
  <c r="AU234" i="1" s="1"/>
  <c r="AS233" i="1"/>
  <c r="AT233" i="1" s="1"/>
  <c r="AU233" i="1" s="1"/>
  <c r="AO234" i="1"/>
  <c r="AP234" i="1" s="1"/>
  <c r="AQ234" i="1" s="1"/>
  <c r="AO233" i="1"/>
  <c r="AP233" i="1" s="1"/>
  <c r="BE234" i="1"/>
  <c r="BF234" i="1" s="1"/>
  <c r="BG234" i="1" s="1"/>
  <c r="BD234" i="1"/>
  <c r="BA234" i="1"/>
  <c r="BB234" i="1" s="1"/>
  <c r="BC234" i="1" s="1"/>
  <c r="BD233" i="1"/>
  <c r="BE233" i="1" s="1"/>
  <c r="BF233" i="1" s="1"/>
  <c r="BG233" i="1" s="1"/>
  <c r="BA233" i="1"/>
  <c r="BB233" i="1" s="1"/>
  <c r="BC233" i="1" s="1"/>
  <c r="BG232" i="1"/>
  <c r="BF232" i="1"/>
  <c r="BE232" i="1"/>
  <c r="BD232" i="1"/>
  <c r="BC232" i="1"/>
  <c r="BB232" i="1"/>
  <c r="BA232" i="1"/>
  <c r="AZ232" i="1"/>
  <c r="AY232" i="1"/>
  <c r="AX232" i="1"/>
  <c r="AW232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BQ234" i="1"/>
  <c r="BR234" i="1" s="1"/>
  <c r="BS234" i="1" s="1"/>
  <c r="BT234" i="1" s="1"/>
  <c r="BQ233" i="1"/>
  <c r="BR233" i="1" s="1"/>
  <c r="BS233" i="1" s="1"/>
  <c r="BS232" i="1"/>
  <c r="BR232" i="1"/>
  <c r="BQ232" i="1"/>
  <c r="BP232" i="1"/>
  <c r="BO232" i="1"/>
  <c r="BN232" i="1"/>
  <c r="BM232" i="1"/>
  <c r="BL232" i="1"/>
  <c r="BK232" i="1"/>
  <c r="BJ232" i="1"/>
  <c r="BI232" i="1"/>
  <c r="CE229" i="1"/>
  <c r="CD229" i="1"/>
  <c r="CC229" i="1"/>
  <c r="CB229" i="1"/>
  <c r="CA229" i="1"/>
  <c r="BZ229" i="1"/>
  <c r="BY229" i="1"/>
  <c r="BX229" i="1"/>
  <c r="BW229" i="1"/>
  <c r="BV229" i="1"/>
  <c r="BU229" i="1"/>
  <c r="BT229" i="1"/>
  <c r="BS229" i="1"/>
  <c r="BR229" i="1"/>
  <c r="BQ229" i="1"/>
  <c r="BP229" i="1"/>
  <c r="BO229" i="1"/>
  <c r="BN229" i="1"/>
  <c r="BM229" i="1"/>
  <c r="BL229" i="1"/>
  <c r="BK229" i="1"/>
  <c r="BJ229" i="1"/>
  <c r="BI229" i="1"/>
  <c r="BH229" i="1"/>
  <c r="BG229" i="1"/>
  <c r="BF229" i="1"/>
  <c r="BE229" i="1"/>
  <c r="BD229" i="1"/>
  <c r="BC229" i="1"/>
  <c r="BB229" i="1"/>
  <c r="BA229" i="1"/>
  <c r="AZ229" i="1"/>
  <c r="AY229" i="1"/>
  <c r="AX229" i="1"/>
  <c r="AW229" i="1"/>
  <c r="AV229" i="1"/>
  <c r="AU229" i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R225" i="1"/>
  <c r="BR224" i="1" s="1"/>
  <c r="BP225" i="1"/>
  <c r="BL225" i="1"/>
  <c r="BI225" i="1"/>
  <c r="BH225" i="1"/>
  <c r="BD225" i="1"/>
  <c r="AZ225" i="1"/>
  <c r="AY225" i="1"/>
  <c r="AX225" i="1"/>
  <c r="AW225" i="1"/>
  <c r="AV225" i="1"/>
  <c r="AR225" i="1"/>
  <c r="AQ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BT224" i="1"/>
  <c r="BT225" i="1" s="1"/>
  <c r="BT242" i="1" s="1"/>
  <c r="BQ223" i="1"/>
  <c r="BP223" i="1"/>
  <c r="BO223" i="1"/>
  <c r="BN223" i="1"/>
  <c r="BM223" i="1"/>
  <c r="BL223" i="1"/>
  <c r="BK223" i="1"/>
  <c r="BJ223" i="1"/>
  <c r="BG223" i="1"/>
  <c r="BF223" i="1"/>
  <c r="BE223" i="1"/>
  <c r="BD223" i="1"/>
  <c r="BC223" i="1"/>
  <c r="BB223" i="1"/>
  <c r="BA223" i="1"/>
  <c r="AZ223" i="1"/>
  <c r="AY223" i="1"/>
  <c r="AX223" i="1"/>
  <c r="AW223" i="1"/>
  <c r="AV223" i="1"/>
  <c r="AU223" i="1"/>
  <c r="AT223" i="1"/>
  <c r="AS223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BS210" i="1"/>
  <c r="BR210" i="1"/>
  <c r="BQ210" i="1"/>
  <c r="BP210" i="1"/>
  <c r="BO210" i="1"/>
  <c r="BN210" i="1"/>
  <c r="BM210" i="1"/>
  <c r="BL210" i="1"/>
  <c r="BK210" i="1"/>
  <c r="BJ210" i="1"/>
  <c r="BI210" i="1"/>
  <c r="BH210" i="1"/>
  <c r="BG210" i="1"/>
  <c r="BF210" i="1"/>
  <c r="BE210" i="1"/>
  <c r="BD210" i="1"/>
  <c r="BC210" i="1"/>
  <c r="BB210" i="1"/>
  <c r="BA210" i="1"/>
  <c r="AZ210" i="1"/>
  <c r="AY210" i="1"/>
  <c r="AX210" i="1"/>
  <c r="AW210" i="1"/>
  <c r="AV210" i="1"/>
  <c r="AU210" i="1"/>
  <c r="AT210" i="1"/>
  <c r="AS210" i="1"/>
  <c r="AR210" i="1"/>
  <c r="AQ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BO208" i="1"/>
  <c r="BL209" i="1"/>
  <c r="BL208" i="1"/>
  <c r="BS208" i="1"/>
  <c r="BR208" i="1"/>
  <c r="BQ208" i="1"/>
  <c r="BP208" i="1"/>
  <c r="BN208" i="1"/>
  <c r="BM208" i="1"/>
  <c r="BK208" i="1"/>
  <c r="BJ208" i="1"/>
  <c r="BI208" i="1"/>
  <c r="BH208" i="1"/>
  <c r="BG208" i="1"/>
  <c r="BF208" i="1"/>
  <c r="BE208" i="1"/>
  <c r="BD208" i="1"/>
  <c r="BC208" i="1"/>
  <c r="BB208" i="1"/>
  <c r="BA208" i="1"/>
  <c r="AZ208" i="1"/>
  <c r="AY208" i="1"/>
  <c r="AX208" i="1"/>
  <c r="AW208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AB202" i="1"/>
  <c r="AB201" i="1"/>
  <c r="C201" i="1"/>
  <c r="BP203" i="1"/>
  <c r="BL203" i="1"/>
  <c r="BH203" i="1"/>
  <c r="BD203" i="1"/>
  <c r="AZ203" i="1"/>
  <c r="AV203" i="1"/>
  <c r="AR203" i="1"/>
  <c r="AN203" i="1"/>
  <c r="AJ203" i="1"/>
  <c r="AF203" i="1"/>
  <c r="BI202" i="1"/>
  <c r="BH202" i="1"/>
  <c r="BF202" i="1"/>
  <c r="BE202" i="1"/>
  <c r="BD202" i="1"/>
  <c r="BC202" i="1"/>
  <c r="BB202" i="1"/>
  <c r="BA202" i="1"/>
  <c r="AZ202" i="1"/>
  <c r="AY202" i="1"/>
  <c r="AX202" i="1"/>
  <c r="AW202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BP201" i="1"/>
  <c r="BL201" i="1"/>
  <c r="BH201" i="1"/>
  <c r="BD201" i="1"/>
  <c r="AZ201" i="1"/>
  <c r="AV201" i="1"/>
  <c r="AR201" i="1"/>
  <c r="AN201" i="1"/>
  <c r="AJ201" i="1"/>
  <c r="AF201" i="1"/>
  <c r="BM198" i="1"/>
  <c r="BM197" i="1"/>
  <c r="BN197" i="1" s="1"/>
  <c r="BN203" i="1" s="1"/>
  <c r="BI198" i="1"/>
  <c r="BJ198" i="1" s="1"/>
  <c r="BI197" i="1"/>
  <c r="BJ197" i="1" s="1"/>
  <c r="BJ62" i="1" s="1"/>
  <c r="BJ17" i="1" s="1"/>
  <c r="BJ100" i="1" s="1"/>
  <c r="BE198" i="1"/>
  <c r="BF198" i="1" s="1"/>
  <c r="BE197" i="1"/>
  <c r="BF197" i="1" s="1"/>
  <c r="BG197" i="1" s="1"/>
  <c r="BG203" i="1" s="1"/>
  <c r="BA198" i="1"/>
  <c r="BB198" i="1" s="1"/>
  <c r="BC198" i="1" s="1"/>
  <c r="BA197" i="1"/>
  <c r="BA203" i="1" s="1"/>
  <c r="AW198" i="1"/>
  <c r="AW197" i="1"/>
  <c r="AX197" i="1" s="1"/>
  <c r="AX203" i="1" s="1"/>
  <c r="AS198" i="1"/>
  <c r="AT198" i="1" s="1"/>
  <c r="AS197" i="1"/>
  <c r="AT197" i="1" s="1"/>
  <c r="AO198" i="1"/>
  <c r="AP198" i="1" s="1"/>
  <c r="AO197" i="1"/>
  <c r="AP197" i="1" s="1"/>
  <c r="AQ197" i="1" s="1"/>
  <c r="AQ203" i="1" s="1"/>
  <c r="AK198" i="1"/>
  <c r="AK197" i="1"/>
  <c r="AK203" i="1" s="1"/>
  <c r="AG198" i="1"/>
  <c r="AG197" i="1"/>
  <c r="AH197" i="1" s="1"/>
  <c r="AH203" i="1" s="1"/>
  <c r="AC198" i="1"/>
  <c r="AD198" i="1" s="1"/>
  <c r="AC197" i="1"/>
  <c r="AD197" i="1" s="1"/>
  <c r="BQ198" i="1"/>
  <c r="BR198" i="1" s="1"/>
  <c r="BQ197" i="1"/>
  <c r="BR197" i="1" s="1"/>
  <c r="BR203" i="1" s="1"/>
  <c r="BS196" i="1"/>
  <c r="BS202" i="1" s="1"/>
  <c r="BR196" i="1"/>
  <c r="BR202" i="1" s="1"/>
  <c r="BQ196" i="1"/>
  <c r="BQ202" i="1" s="1"/>
  <c r="BP196" i="1"/>
  <c r="BP202" i="1" s="1"/>
  <c r="BO196" i="1"/>
  <c r="BO202" i="1" s="1"/>
  <c r="BN196" i="1"/>
  <c r="BN202" i="1" s="1"/>
  <c r="BM196" i="1"/>
  <c r="BM202" i="1" s="1"/>
  <c r="BK196" i="1"/>
  <c r="BK202" i="1" s="1"/>
  <c r="BJ196" i="1"/>
  <c r="BJ202" i="1" s="1"/>
  <c r="BG196" i="1"/>
  <c r="BG202" i="1" s="1"/>
  <c r="T196" i="1"/>
  <c r="N199" i="1"/>
  <c r="M199" i="1"/>
  <c r="L199" i="1"/>
  <c r="K199" i="1"/>
  <c r="J199" i="1"/>
  <c r="I199" i="1"/>
  <c r="H199" i="1"/>
  <c r="G199" i="1"/>
  <c r="F199" i="1"/>
  <c r="E199" i="1"/>
  <c r="D199" i="1"/>
  <c r="AB192" i="1"/>
  <c r="AB191" i="1"/>
  <c r="AB190" i="1"/>
  <c r="C191" i="1"/>
  <c r="BP193" i="1"/>
  <c r="BL193" i="1"/>
  <c r="BH193" i="1"/>
  <c r="BD193" i="1"/>
  <c r="AZ193" i="1"/>
  <c r="AV193" i="1"/>
  <c r="AR193" i="1"/>
  <c r="AN193" i="1"/>
  <c r="AJ193" i="1"/>
  <c r="AF193" i="1"/>
  <c r="BI192" i="1"/>
  <c r="BH192" i="1"/>
  <c r="BF192" i="1"/>
  <c r="BE192" i="1"/>
  <c r="BD192" i="1"/>
  <c r="BC192" i="1"/>
  <c r="BB192" i="1"/>
  <c r="BA192" i="1"/>
  <c r="AZ192" i="1"/>
  <c r="AY192" i="1"/>
  <c r="AX192" i="1"/>
  <c r="AW192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BP191" i="1"/>
  <c r="BL191" i="1"/>
  <c r="BH191" i="1"/>
  <c r="BD191" i="1"/>
  <c r="AZ191" i="1"/>
  <c r="AV191" i="1"/>
  <c r="AR191" i="1"/>
  <c r="AN191" i="1"/>
  <c r="AJ191" i="1"/>
  <c r="AF191" i="1"/>
  <c r="BI190" i="1"/>
  <c r="BH190" i="1"/>
  <c r="BF190" i="1"/>
  <c r="BE190" i="1"/>
  <c r="BD190" i="1"/>
  <c r="BC190" i="1"/>
  <c r="BB190" i="1"/>
  <c r="BA190" i="1"/>
  <c r="AZ190" i="1"/>
  <c r="AY190" i="1"/>
  <c r="AX190" i="1"/>
  <c r="AW190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BQ187" i="1"/>
  <c r="BM187" i="1"/>
  <c r="BI187" i="1"/>
  <c r="BJ187" i="1" s="1"/>
  <c r="BE187" i="1"/>
  <c r="BF187" i="1" s="1"/>
  <c r="BA187" i="1"/>
  <c r="BB187" i="1" s="1"/>
  <c r="AX187" i="1"/>
  <c r="AW187" i="1"/>
  <c r="AS187" i="1"/>
  <c r="AT187" i="1" s="1"/>
  <c r="AO187" i="1"/>
  <c r="AP187" i="1" s="1"/>
  <c r="AK187" i="1"/>
  <c r="AL187" i="1" s="1"/>
  <c r="AG187" i="1"/>
  <c r="AC187" i="1"/>
  <c r="AD187" i="1" s="1"/>
  <c r="N188" i="1"/>
  <c r="M188" i="1"/>
  <c r="L188" i="1"/>
  <c r="K188" i="1"/>
  <c r="J188" i="1"/>
  <c r="I188" i="1"/>
  <c r="H188" i="1"/>
  <c r="G188" i="1"/>
  <c r="F188" i="1"/>
  <c r="E188" i="1"/>
  <c r="D188" i="1"/>
  <c r="BI185" i="1"/>
  <c r="BH185" i="1"/>
  <c r="BF185" i="1"/>
  <c r="BE185" i="1"/>
  <c r="BD185" i="1"/>
  <c r="BC185" i="1"/>
  <c r="BB185" i="1"/>
  <c r="BA185" i="1"/>
  <c r="AZ185" i="1"/>
  <c r="AY185" i="1"/>
  <c r="AX185" i="1"/>
  <c r="AW185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BI181" i="1"/>
  <c r="BF181" i="1"/>
  <c r="BE181" i="1"/>
  <c r="BD181" i="1"/>
  <c r="BC181" i="1"/>
  <c r="BB181" i="1"/>
  <c r="BA181" i="1"/>
  <c r="AZ181" i="1"/>
  <c r="AY181" i="1"/>
  <c r="AX181" i="1"/>
  <c r="AW181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BS178" i="1"/>
  <c r="BS192" i="1" s="1"/>
  <c r="BR178" i="1"/>
  <c r="BQ178" i="1"/>
  <c r="BP178" i="1"/>
  <c r="BO178" i="1"/>
  <c r="BO192" i="1" s="1"/>
  <c r="BN178" i="1"/>
  <c r="BM178" i="1"/>
  <c r="BL178" i="1"/>
  <c r="BK178" i="1"/>
  <c r="BK192" i="1" s="1"/>
  <c r="BJ178" i="1"/>
  <c r="BJ192" i="1" s="1"/>
  <c r="BG178" i="1"/>
  <c r="BG192" i="1" s="1"/>
  <c r="BG172" i="1"/>
  <c r="BH181" i="1" s="1"/>
  <c r="BM177" i="1"/>
  <c r="BN177" i="1" s="1"/>
  <c r="BI177" i="1"/>
  <c r="BI193" i="1" s="1"/>
  <c r="BA177" i="1"/>
  <c r="BA193" i="1" s="1"/>
  <c r="AW177" i="1"/>
  <c r="AW176" i="1" s="1"/>
  <c r="AS177" i="1"/>
  <c r="AT177" i="1" s="1"/>
  <c r="AO177" i="1"/>
  <c r="AO193" i="1" s="1"/>
  <c r="AK177" i="1"/>
  <c r="AK193" i="1" s="1"/>
  <c r="AG177" i="1"/>
  <c r="AG176" i="1" s="1"/>
  <c r="AC177" i="1"/>
  <c r="AD177" i="1" s="1"/>
  <c r="BI176" i="1"/>
  <c r="BI184" i="1" s="1"/>
  <c r="BH176" i="1"/>
  <c r="BH184" i="1" s="1"/>
  <c r="BE177" i="1"/>
  <c r="BE176" i="1" s="1"/>
  <c r="BD176" i="1"/>
  <c r="BD184" i="1" s="1"/>
  <c r="AZ176" i="1"/>
  <c r="AZ184" i="1" s="1"/>
  <c r="AV176" i="1"/>
  <c r="AV184" i="1" s="1"/>
  <c r="AR176" i="1"/>
  <c r="AR184" i="1" s="1"/>
  <c r="AO176" i="1"/>
  <c r="AO184" i="1" s="1"/>
  <c r="AN176" i="1"/>
  <c r="AN184" i="1" s="1"/>
  <c r="AJ176" i="1"/>
  <c r="AJ184" i="1" s="1"/>
  <c r="AF176" i="1"/>
  <c r="AF184" i="1" s="1"/>
  <c r="AB176" i="1"/>
  <c r="BQ177" i="1"/>
  <c r="BQ193" i="1" s="1"/>
  <c r="BQ176" i="1"/>
  <c r="BS172" i="1"/>
  <c r="BS190" i="1" s="1"/>
  <c r="BR172" i="1"/>
  <c r="BQ172" i="1"/>
  <c r="BQ190" i="1" s="1"/>
  <c r="BP172" i="1"/>
  <c r="BO172" i="1"/>
  <c r="BO190" i="1" s="1"/>
  <c r="BN172" i="1"/>
  <c r="BM172" i="1"/>
  <c r="BM190" i="1" s="1"/>
  <c r="BL172" i="1"/>
  <c r="BL190" i="1" s="1"/>
  <c r="BK172" i="1"/>
  <c r="BK190" i="1" s="1"/>
  <c r="BJ172" i="1"/>
  <c r="T172" i="1"/>
  <c r="BP169" i="1"/>
  <c r="BL169" i="1"/>
  <c r="BH169" i="1"/>
  <c r="BD169" i="1"/>
  <c r="AZ169" i="1"/>
  <c r="AV169" i="1"/>
  <c r="AR169" i="1"/>
  <c r="AN169" i="1"/>
  <c r="AJ169" i="1"/>
  <c r="AF169" i="1"/>
  <c r="BI168" i="1"/>
  <c r="BH168" i="1"/>
  <c r="BF168" i="1"/>
  <c r="BE168" i="1"/>
  <c r="BD168" i="1"/>
  <c r="BC168" i="1"/>
  <c r="BB168" i="1"/>
  <c r="BA168" i="1"/>
  <c r="AZ168" i="1"/>
  <c r="AY168" i="1"/>
  <c r="AX168" i="1"/>
  <c r="AW168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BP167" i="1"/>
  <c r="BL167" i="1"/>
  <c r="BH167" i="1"/>
  <c r="BD167" i="1"/>
  <c r="AZ167" i="1"/>
  <c r="AV167" i="1"/>
  <c r="AR167" i="1"/>
  <c r="AN167" i="1"/>
  <c r="AJ167" i="1"/>
  <c r="AF167" i="1"/>
  <c r="AB167" i="1"/>
  <c r="BI166" i="1"/>
  <c r="BH166" i="1"/>
  <c r="BF166" i="1"/>
  <c r="BE166" i="1"/>
  <c r="BD166" i="1"/>
  <c r="BC166" i="1"/>
  <c r="BB166" i="1"/>
  <c r="BA166" i="1"/>
  <c r="AZ166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C167" i="1"/>
  <c r="BQ163" i="1"/>
  <c r="BM163" i="1"/>
  <c r="BI163" i="1"/>
  <c r="BJ163" i="1" s="1"/>
  <c r="BE163" i="1"/>
  <c r="BF163" i="1" s="1"/>
  <c r="BG163" i="1" s="1"/>
  <c r="BA163" i="1"/>
  <c r="AW163" i="1"/>
  <c r="AS163" i="1"/>
  <c r="AT163" i="1" s="1"/>
  <c r="AO163" i="1"/>
  <c r="AP163" i="1" s="1"/>
  <c r="AQ163" i="1" s="1"/>
  <c r="AK163" i="1"/>
  <c r="AG163" i="1"/>
  <c r="AC163" i="1"/>
  <c r="AD163" i="1" s="1"/>
  <c r="N164" i="1"/>
  <c r="M164" i="1"/>
  <c r="L164" i="1"/>
  <c r="K164" i="1"/>
  <c r="J164" i="1"/>
  <c r="I164" i="1"/>
  <c r="H164" i="1"/>
  <c r="G164" i="1"/>
  <c r="F164" i="1"/>
  <c r="E164" i="1"/>
  <c r="D164" i="1"/>
  <c r="BI161" i="1"/>
  <c r="BH161" i="1"/>
  <c r="BF161" i="1"/>
  <c r="BE161" i="1"/>
  <c r="BD161" i="1"/>
  <c r="BC161" i="1"/>
  <c r="BB161" i="1"/>
  <c r="BA161" i="1"/>
  <c r="AZ161" i="1"/>
  <c r="AY161" i="1"/>
  <c r="AX161" i="1"/>
  <c r="AW161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BI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BS154" i="1"/>
  <c r="BS108" i="1" s="1"/>
  <c r="BR154" i="1"/>
  <c r="BR168" i="1" s="1"/>
  <c r="BQ154" i="1"/>
  <c r="BP154" i="1"/>
  <c r="BP152" i="1" s="1"/>
  <c r="BO154" i="1"/>
  <c r="BO168" i="1" s="1"/>
  <c r="BN154" i="1"/>
  <c r="BN168" i="1" s="1"/>
  <c r="BM154" i="1"/>
  <c r="BL154" i="1"/>
  <c r="BL152" i="1" s="1"/>
  <c r="BK154" i="1"/>
  <c r="BK168" i="1" s="1"/>
  <c r="BJ154" i="1"/>
  <c r="BJ168" i="1" s="1"/>
  <c r="BG154" i="1"/>
  <c r="BG148" i="1"/>
  <c r="BG166" i="1" s="1"/>
  <c r="BM153" i="1"/>
  <c r="BI153" i="1"/>
  <c r="BJ153" i="1" s="1"/>
  <c r="BJ169" i="1" s="1"/>
  <c r="BA153" i="1"/>
  <c r="BB153" i="1" s="1"/>
  <c r="AW153" i="1"/>
  <c r="AW60" i="1" s="1"/>
  <c r="AW15" i="1" s="1"/>
  <c r="AS153" i="1"/>
  <c r="AO153" i="1"/>
  <c r="AP153" i="1" s="1"/>
  <c r="AQ153" i="1" s="1"/>
  <c r="AQ60" i="1" s="1"/>
  <c r="AQ15" i="1" s="1"/>
  <c r="AK153" i="1"/>
  <c r="AK169" i="1" s="1"/>
  <c r="AG153" i="1"/>
  <c r="AG60" i="1" s="1"/>
  <c r="AG15" i="1" s="1"/>
  <c r="AC153" i="1"/>
  <c r="AC60" i="1" s="1"/>
  <c r="AC15" i="1" s="1"/>
  <c r="BJ152" i="1"/>
  <c r="BH152" i="1"/>
  <c r="BH160" i="1" s="1"/>
  <c r="BE153" i="1"/>
  <c r="BF153" i="1" s="1"/>
  <c r="BF169" i="1" s="1"/>
  <c r="BD152" i="1"/>
  <c r="AZ152" i="1"/>
  <c r="AV152" i="1"/>
  <c r="AR152" i="1"/>
  <c r="AN152" i="1"/>
  <c r="AJ152" i="1"/>
  <c r="AF152" i="1"/>
  <c r="AB152" i="1"/>
  <c r="BQ153" i="1"/>
  <c r="BR153" i="1" s="1"/>
  <c r="BS148" i="1"/>
  <c r="BS166" i="1" s="1"/>
  <c r="BR148" i="1"/>
  <c r="BQ148" i="1"/>
  <c r="BP148" i="1"/>
  <c r="BO148" i="1"/>
  <c r="BO166" i="1" s="1"/>
  <c r="BN148" i="1"/>
  <c r="BN105" i="1" s="1"/>
  <c r="BM148" i="1"/>
  <c r="BM166" i="1" s="1"/>
  <c r="BL148" i="1"/>
  <c r="BK148" i="1"/>
  <c r="BK166" i="1" s="1"/>
  <c r="BJ148" i="1"/>
  <c r="G144" i="1"/>
  <c r="F144" i="1"/>
  <c r="BS126" i="1"/>
  <c r="BT126" i="1" s="1"/>
  <c r="BS125" i="1"/>
  <c r="BT125" i="1" s="1"/>
  <c r="BU125" i="1" s="1"/>
  <c r="BK125" i="1"/>
  <c r="BL125" i="1" s="1"/>
  <c r="BM125" i="1" s="1"/>
  <c r="BN124" i="1"/>
  <c r="BT124" i="1"/>
  <c r="BU124" i="1" s="1"/>
  <c r="BV124" i="1" s="1"/>
  <c r="BT123" i="1"/>
  <c r="BU123" i="1" s="1"/>
  <c r="BV123" i="1" s="1"/>
  <c r="BT122" i="1"/>
  <c r="BU122" i="1" s="1"/>
  <c r="BV122" i="1" s="1"/>
  <c r="BT121" i="1"/>
  <c r="BU121" i="1" s="1"/>
  <c r="BV121" i="1" s="1"/>
  <c r="BT120" i="1"/>
  <c r="BT100" i="1" s="1"/>
  <c r="BT112" i="1"/>
  <c r="BS112" i="1"/>
  <c r="BO112" i="1"/>
  <c r="BN112" i="1"/>
  <c r="BS111" i="1"/>
  <c r="BR111" i="1"/>
  <c r="BQ111" i="1"/>
  <c r="BP111" i="1"/>
  <c r="BO111" i="1"/>
  <c r="BN111" i="1"/>
  <c r="BM111" i="1"/>
  <c r="BL111" i="1"/>
  <c r="BK111" i="1"/>
  <c r="BJ111" i="1"/>
  <c r="BI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BQ105" i="1"/>
  <c r="CE96" i="1"/>
  <c r="CD96" i="1"/>
  <c r="CC96" i="1"/>
  <c r="CB96" i="1"/>
  <c r="CA96" i="1"/>
  <c r="BZ96" i="1"/>
  <c r="BY96" i="1"/>
  <c r="BX96" i="1"/>
  <c r="BW96" i="1"/>
  <c r="BV96" i="1"/>
  <c r="BU96" i="1"/>
  <c r="BT96" i="1"/>
  <c r="CC92" i="1"/>
  <c r="BM92" i="1"/>
  <c r="BA92" i="1"/>
  <c r="AW92" i="1"/>
  <c r="AS92" i="1"/>
  <c r="L92" i="1"/>
  <c r="I92" i="1"/>
  <c r="BQ86" i="1"/>
  <c r="BT79" i="1"/>
  <c r="BS79" i="1"/>
  <c r="BQ79" i="1"/>
  <c r="BP79" i="1"/>
  <c r="BO79" i="1"/>
  <c r="BN79" i="1"/>
  <c r="BS77" i="1"/>
  <c r="BQ77" i="1"/>
  <c r="BP77" i="1"/>
  <c r="BO77" i="1"/>
  <c r="BN77" i="1"/>
  <c r="BR76" i="1"/>
  <c r="BQ76" i="1"/>
  <c r="BQ112" i="1" s="1"/>
  <c r="BP76" i="1"/>
  <c r="BP112" i="1" s="1"/>
  <c r="BL76" i="1"/>
  <c r="BK76" i="1"/>
  <c r="BJ76" i="1"/>
  <c r="BI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BT75" i="1"/>
  <c r="BU75" i="1" s="1"/>
  <c r="BH75" i="1"/>
  <c r="BS65" i="1"/>
  <c r="BT65" i="1" s="1"/>
  <c r="BU65" i="1" s="1"/>
  <c r="BV65" i="1" s="1"/>
  <c r="BW65" i="1" s="1"/>
  <c r="BX65" i="1" s="1"/>
  <c r="BY65" i="1" s="1"/>
  <c r="BZ65" i="1" s="1"/>
  <c r="CA65" i="1" s="1"/>
  <c r="CB65" i="1" s="1"/>
  <c r="CC65" i="1" s="1"/>
  <c r="CD65" i="1" s="1"/>
  <c r="CE65" i="1" s="1"/>
  <c r="BR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BS64" i="1"/>
  <c r="BQ64" i="1"/>
  <c r="BP64" i="1"/>
  <c r="BO64" i="1"/>
  <c r="BM64" i="1"/>
  <c r="BL64" i="1"/>
  <c r="BK64" i="1"/>
  <c r="BI64" i="1"/>
  <c r="BH64" i="1"/>
  <c r="BG64" i="1"/>
  <c r="BD64" i="1"/>
  <c r="BC64" i="1"/>
  <c r="BA64" i="1"/>
  <c r="AZ64" i="1"/>
  <c r="AY64" i="1"/>
  <c r="AW64" i="1"/>
  <c r="AV64" i="1"/>
  <c r="AU64" i="1"/>
  <c r="AS64" i="1"/>
  <c r="AR64" i="1"/>
  <c r="AQ64" i="1"/>
  <c r="AN64" i="1"/>
  <c r="AM64" i="1"/>
  <c r="AK64" i="1"/>
  <c r="AJ64" i="1"/>
  <c r="AI64" i="1"/>
  <c r="AG64" i="1"/>
  <c r="AF64" i="1"/>
  <c r="AE64" i="1"/>
  <c r="AC64" i="1"/>
  <c r="AB64" i="1"/>
  <c r="AA64" i="1"/>
  <c r="C64" i="1" s="1"/>
  <c r="BS63" i="1"/>
  <c r="BT63" i="1" s="1"/>
  <c r="BR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BP62" i="1"/>
  <c r="BP17" i="1" s="1"/>
  <c r="BP100" i="1" s="1"/>
  <c r="BN62" i="1"/>
  <c r="BN17" i="1" s="1"/>
  <c r="BN100" i="1" s="1"/>
  <c r="BM62" i="1"/>
  <c r="BL62" i="1"/>
  <c r="BH62" i="1"/>
  <c r="BG62" i="1"/>
  <c r="BF62" i="1"/>
  <c r="BF17" i="1" s="1"/>
  <c r="BF100" i="1" s="1"/>
  <c r="BE62" i="1"/>
  <c r="BE17" i="1" s="1"/>
  <c r="BE100" i="1" s="1"/>
  <c r="BD62" i="1"/>
  <c r="AZ62" i="1"/>
  <c r="AZ17" i="1" s="1"/>
  <c r="AZ100" i="1" s="1"/>
  <c r="AW62" i="1"/>
  <c r="AV62" i="1"/>
  <c r="AV17" i="1" s="1"/>
  <c r="AV100" i="1" s="1"/>
  <c r="AT62" i="1"/>
  <c r="AT17" i="1" s="1"/>
  <c r="AT100" i="1" s="1"/>
  <c r="AS62" i="1"/>
  <c r="AR62" i="1"/>
  <c r="AQ62" i="1"/>
  <c r="AP62" i="1"/>
  <c r="AP17" i="1" s="1"/>
  <c r="AP100" i="1" s="1"/>
  <c r="AN62" i="1"/>
  <c r="AK62" i="1"/>
  <c r="AK17" i="1" s="1"/>
  <c r="AK100" i="1" s="1"/>
  <c r="AJ62" i="1"/>
  <c r="AF62" i="1"/>
  <c r="AF17" i="1" s="1"/>
  <c r="AF100" i="1" s="1"/>
  <c r="AD62" i="1"/>
  <c r="AD17" i="1" s="1"/>
  <c r="AD100" i="1" s="1"/>
  <c r="AC62" i="1"/>
  <c r="AB62" i="1"/>
  <c r="AB17" i="1" s="1"/>
  <c r="AB100" i="1" s="1"/>
  <c r="AA62" i="1"/>
  <c r="AA17" i="1" s="1"/>
  <c r="AA100" i="1" s="1"/>
  <c r="Z62" i="1"/>
  <c r="Y62" i="1"/>
  <c r="X62" i="1"/>
  <c r="BQ61" i="1"/>
  <c r="BQ16" i="1" s="1"/>
  <c r="BP61" i="1"/>
  <c r="BP16" i="1" s="1"/>
  <c r="BN61" i="1"/>
  <c r="BM61" i="1"/>
  <c r="BM16" i="1" s="1"/>
  <c r="BL61" i="1"/>
  <c r="BL16" i="1" s="1"/>
  <c r="BH61" i="1"/>
  <c r="BD61" i="1"/>
  <c r="BD16" i="1" s="1"/>
  <c r="BA61" i="1"/>
  <c r="AZ61" i="1"/>
  <c r="AZ16" i="1" s="1"/>
  <c r="AV61" i="1"/>
  <c r="AV16" i="1" s="1"/>
  <c r="AT61" i="1"/>
  <c r="AS61" i="1"/>
  <c r="AR61" i="1"/>
  <c r="AR16" i="1" s="1"/>
  <c r="AN61" i="1"/>
  <c r="AK61" i="1"/>
  <c r="AK16" i="1" s="1"/>
  <c r="AJ61" i="1"/>
  <c r="AJ16" i="1" s="1"/>
  <c r="AF61" i="1"/>
  <c r="AD61" i="1"/>
  <c r="AC61" i="1"/>
  <c r="AB61" i="1"/>
  <c r="AB16" i="1" s="1"/>
  <c r="AA61" i="1"/>
  <c r="Z61" i="1"/>
  <c r="Y61" i="1"/>
  <c r="Y16" i="1" s="1"/>
  <c r="X61" i="1"/>
  <c r="X16" i="1" s="1"/>
  <c r="BP60" i="1"/>
  <c r="BP15" i="1" s="1"/>
  <c r="BM60" i="1"/>
  <c r="BM15" i="1" s="1"/>
  <c r="BL60" i="1"/>
  <c r="BH60" i="1"/>
  <c r="BH15" i="1" s="1"/>
  <c r="BE60" i="1"/>
  <c r="BE15" i="1" s="1"/>
  <c r="BD60" i="1"/>
  <c r="BD15" i="1" s="1"/>
  <c r="BA60" i="1"/>
  <c r="AZ60" i="1"/>
  <c r="AZ15" i="1" s="1"/>
  <c r="AV60" i="1"/>
  <c r="AV15" i="1" s="1"/>
  <c r="AS60" i="1"/>
  <c r="AR60" i="1"/>
  <c r="AR15" i="1" s="1"/>
  <c r="AN60" i="1"/>
  <c r="AN15" i="1" s="1"/>
  <c r="AK60" i="1"/>
  <c r="AK15" i="1" s="1"/>
  <c r="AJ60" i="1"/>
  <c r="AJ15" i="1" s="1"/>
  <c r="AF60" i="1"/>
  <c r="AF15" i="1" s="1"/>
  <c r="AB60" i="1"/>
  <c r="AB15" i="1" s="1"/>
  <c r="AA60" i="1"/>
  <c r="Z60" i="1"/>
  <c r="Z15" i="1" s="1"/>
  <c r="Y60" i="1"/>
  <c r="Y15" i="1" s="1"/>
  <c r="X60" i="1"/>
  <c r="X15" i="1" s="1"/>
  <c r="W62" i="1"/>
  <c r="V62" i="1"/>
  <c r="V17" i="1" s="1"/>
  <c r="V100" i="1" s="1"/>
  <c r="U62" i="1"/>
  <c r="T62" i="1"/>
  <c r="T17" i="1" s="1"/>
  <c r="T100" i="1" s="1"/>
  <c r="W61" i="1"/>
  <c r="V61" i="1"/>
  <c r="V16" i="1" s="1"/>
  <c r="V46" i="1" s="1"/>
  <c r="U61" i="1"/>
  <c r="U16" i="1" s="1"/>
  <c r="T61" i="1"/>
  <c r="T16" i="1" s="1"/>
  <c r="T46" i="1" s="1"/>
  <c r="W60" i="1"/>
  <c r="V60" i="1"/>
  <c r="V15" i="1" s="1"/>
  <c r="U60" i="1"/>
  <c r="U15" i="1" s="1"/>
  <c r="T60" i="1"/>
  <c r="T15" i="1" s="1"/>
  <c r="T59" i="1"/>
  <c r="U59" i="1" s="1"/>
  <c r="T49" i="1"/>
  <c r="T48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BU46" i="1"/>
  <c r="BV46" i="1" s="1"/>
  <c r="BW46" i="1" s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U38" i="1"/>
  <c r="BU247" i="1" s="1"/>
  <c r="BU379" i="1" s="1"/>
  <c r="AV37" i="1"/>
  <c r="AU37" i="1"/>
  <c r="AS37" i="1"/>
  <c r="AR37" i="1"/>
  <c r="AQ37" i="1"/>
  <c r="AO37" i="1"/>
  <c r="AM37" i="1"/>
  <c r="AK37" i="1"/>
  <c r="AJ37" i="1"/>
  <c r="AI37" i="1"/>
  <c r="AG37" i="1"/>
  <c r="AE37" i="1"/>
  <c r="AC37" i="1"/>
  <c r="AB37" i="1"/>
  <c r="AA37" i="1"/>
  <c r="Y37" i="1"/>
  <c r="W37" i="1"/>
  <c r="BW38" i="1"/>
  <c r="BL32" i="1"/>
  <c r="BL30" i="1"/>
  <c r="AU32" i="1"/>
  <c r="AT32" i="1"/>
  <c r="V31" i="1"/>
  <c r="V350" i="1" s="1"/>
  <c r="U31" i="1"/>
  <c r="U350" i="1" s="1"/>
  <c r="T31" i="1"/>
  <c r="T350" i="1" s="1"/>
  <c r="AU30" i="1"/>
  <c r="AT30" i="1"/>
  <c r="AR30" i="1"/>
  <c r="BS30" i="1"/>
  <c r="BS25" i="1"/>
  <c r="BS29" i="1" s="1"/>
  <c r="BR25" i="1"/>
  <c r="BR29" i="1" s="1"/>
  <c r="BQ25" i="1"/>
  <c r="BQ29" i="1" s="1"/>
  <c r="BP25" i="1"/>
  <c r="BP29" i="1" s="1"/>
  <c r="BP66" i="1" s="1"/>
  <c r="BO25" i="1"/>
  <c r="BO29" i="1" s="1"/>
  <c r="BN25" i="1"/>
  <c r="BN29" i="1" s="1"/>
  <c r="BM25" i="1"/>
  <c r="BM29" i="1" s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O29" i="1" s="1"/>
  <c r="AO66" i="1" s="1"/>
  <c r="AN25" i="1"/>
  <c r="AN29" i="1" s="1"/>
  <c r="AN66" i="1" s="1"/>
  <c r="AM25" i="1"/>
  <c r="AL25" i="1"/>
  <c r="AK25" i="1"/>
  <c r="AK29" i="1" s="1"/>
  <c r="AK66" i="1" s="1"/>
  <c r="AJ25" i="1"/>
  <c r="AJ29" i="1" s="1"/>
  <c r="AJ66" i="1" s="1"/>
  <c r="AI25" i="1"/>
  <c r="AH25" i="1"/>
  <c r="AG25" i="1"/>
  <c r="AG29" i="1" s="1"/>
  <c r="AG66" i="1" s="1"/>
  <c r="AF25" i="1"/>
  <c r="AF29" i="1" s="1"/>
  <c r="AF66" i="1" s="1"/>
  <c r="AE25" i="1"/>
  <c r="AD25" i="1"/>
  <c r="AC25" i="1"/>
  <c r="AC29" i="1" s="1"/>
  <c r="AC66" i="1" s="1"/>
  <c r="AB25" i="1"/>
  <c r="AB29" i="1" s="1"/>
  <c r="AB66" i="1" s="1"/>
  <c r="AA25" i="1"/>
  <c r="Z25" i="1"/>
  <c r="Y25" i="1"/>
  <c r="Y29" i="1" s="1"/>
  <c r="Y66" i="1" s="1"/>
  <c r="X25" i="1"/>
  <c r="X29" i="1" s="1"/>
  <c r="X66" i="1" s="1"/>
  <c r="W25" i="1"/>
  <c r="V25" i="1"/>
  <c r="U25" i="1"/>
  <c r="T25" i="1"/>
  <c r="T18" i="1" s="1"/>
  <c r="BL23" i="1"/>
  <c r="BL25" i="1" s="1"/>
  <c r="BT27" i="1"/>
  <c r="BT26" i="1"/>
  <c r="BT24" i="1"/>
  <c r="AA18" i="1"/>
  <c r="Z18" i="1"/>
  <c r="Y18" i="1"/>
  <c r="X18" i="1"/>
  <c r="W18" i="1"/>
  <c r="BM17" i="1"/>
  <c r="BM100" i="1" s="1"/>
  <c r="BH17" i="1"/>
  <c r="BH100" i="1" s="1"/>
  <c r="BG17" i="1"/>
  <c r="BG100" i="1" s="1"/>
  <c r="BD17" i="1"/>
  <c r="BD100" i="1" s="1"/>
  <c r="AW17" i="1"/>
  <c r="AW100" i="1" s="1"/>
  <c r="AS17" i="1"/>
  <c r="AS100" i="1" s="1"/>
  <c r="AR17" i="1"/>
  <c r="AR100" i="1" s="1"/>
  <c r="AQ17" i="1"/>
  <c r="AQ100" i="1" s="1"/>
  <c r="AN17" i="1"/>
  <c r="AN100" i="1" s="1"/>
  <c r="AJ17" i="1"/>
  <c r="AJ100" i="1" s="1"/>
  <c r="AC17" i="1"/>
  <c r="AC100" i="1" s="1"/>
  <c r="Z17" i="1"/>
  <c r="Z100" i="1" s="1"/>
  <c r="Y17" i="1"/>
  <c r="Y100" i="1" s="1"/>
  <c r="X17" i="1"/>
  <c r="X100" i="1" s="1"/>
  <c r="W17" i="1"/>
  <c r="W100" i="1" s="1"/>
  <c r="U17" i="1"/>
  <c r="U100" i="1" s="1"/>
  <c r="BX17" i="1"/>
  <c r="BY17" i="1" s="1"/>
  <c r="BZ17" i="1" s="1"/>
  <c r="CA17" i="1" s="1"/>
  <c r="BN16" i="1"/>
  <c r="BN46" i="1" s="1"/>
  <c r="BH16" i="1"/>
  <c r="BA16" i="1"/>
  <c r="AT16" i="1"/>
  <c r="AT46" i="1" s="1"/>
  <c r="AS16" i="1"/>
  <c r="AN16" i="1"/>
  <c r="AF16" i="1"/>
  <c r="AD16" i="1"/>
  <c r="AD46" i="1" s="1"/>
  <c r="AC16" i="1"/>
  <c r="AA16" i="1"/>
  <c r="Z16" i="1"/>
  <c r="Z46" i="1" s="1"/>
  <c r="W16" i="1"/>
  <c r="W46" i="1" s="1"/>
  <c r="BL15" i="1"/>
  <c r="BA15" i="1"/>
  <c r="AS15" i="1"/>
  <c r="AA15" i="1"/>
  <c r="W15" i="1"/>
  <c r="BS12" i="1"/>
  <c r="BR12" i="1"/>
  <c r="BQ12" i="1"/>
  <c r="BP12" i="1"/>
  <c r="BO12" i="1"/>
  <c r="BN12" i="1"/>
  <c r="BM12" i="1"/>
  <c r="BL12" i="1"/>
  <c r="BK12" i="1"/>
  <c r="BK50" i="1" s="1"/>
  <c r="BJ12" i="1"/>
  <c r="BI12" i="1"/>
  <c r="BH12" i="1"/>
  <c r="BG12" i="1"/>
  <c r="BF12" i="1"/>
  <c r="BE12" i="1"/>
  <c r="BD12" i="1"/>
  <c r="BC12" i="1"/>
  <c r="BC50" i="1" s="1"/>
  <c r="BB12" i="1"/>
  <c r="BA12" i="1"/>
  <c r="AZ12" i="1"/>
  <c r="AY12" i="1"/>
  <c r="AX12" i="1"/>
  <c r="AW12" i="1"/>
  <c r="AV12" i="1"/>
  <c r="AU12" i="1"/>
  <c r="AU50" i="1" s="1"/>
  <c r="AT12" i="1"/>
  <c r="AS12" i="1"/>
  <c r="AR12" i="1"/>
  <c r="AQ12" i="1"/>
  <c r="AP12" i="1"/>
  <c r="AO12" i="1"/>
  <c r="AN12" i="1"/>
  <c r="AM12" i="1"/>
  <c r="AM50" i="1" s="1"/>
  <c r="AL12" i="1"/>
  <c r="AK12" i="1"/>
  <c r="AJ12" i="1"/>
  <c r="AI12" i="1"/>
  <c r="AH12" i="1"/>
  <c r="AG12" i="1"/>
  <c r="AF12" i="1"/>
  <c r="AE12" i="1"/>
  <c r="AE50" i="1" s="1"/>
  <c r="AD12" i="1"/>
  <c r="AC12" i="1"/>
  <c r="AB12" i="1"/>
  <c r="AA12" i="1"/>
  <c r="Z12" i="1"/>
  <c r="Y12" i="1"/>
  <c r="X12" i="1"/>
  <c r="W12" i="1"/>
  <c r="W50" i="1" s="1"/>
  <c r="V12" i="1"/>
  <c r="U12" i="1"/>
  <c r="T12" i="1"/>
  <c r="BT11" i="1"/>
  <c r="AS10" i="1"/>
  <c r="AT42" i="1" s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AA5" i="1"/>
  <c r="AE5" i="1" s="1"/>
  <c r="AI5" i="1" s="1"/>
  <c r="AM5" i="1" s="1"/>
  <c r="AQ5" i="1" s="1"/>
  <c r="AU5" i="1" s="1"/>
  <c r="AY5" i="1" s="1"/>
  <c r="BC5" i="1" s="1"/>
  <c r="BG5" i="1" s="1"/>
  <c r="BK5" i="1" s="1"/>
  <c r="BO5" i="1" s="1"/>
  <c r="BS5" i="1" s="1"/>
  <c r="BW5" i="1" s="1"/>
  <c r="CA5" i="1" s="1"/>
  <c r="CE5" i="1" s="1"/>
  <c r="Z5" i="1"/>
  <c r="Y5" i="1"/>
  <c r="AC5" i="1" s="1"/>
  <c r="AG5" i="1" s="1"/>
  <c r="AK5" i="1" s="1"/>
  <c r="AO5" i="1" s="1"/>
  <c r="AS5" i="1" s="1"/>
  <c r="AW5" i="1" s="1"/>
  <c r="BA5" i="1" s="1"/>
  <c r="BE5" i="1" s="1"/>
  <c r="BI5" i="1" s="1"/>
  <c r="BM5" i="1" s="1"/>
  <c r="BQ5" i="1" s="1"/>
  <c r="BU5" i="1" s="1"/>
  <c r="BY5" i="1" s="1"/>
  <c r="CC5" i="1" s="1"/>
  <c r="X5" i="1"/>
  <c r="U4" i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P5" i="1"/>
  <c r="O4" i="1"/>
  <c r="N4" i="1"/>
  <c r="M4" i="1"/>
  <c r="L4" i="1"/>
  <c r="K4" i="1"/>
  <c r="J4" i="1"/>
  <c r="I4" i="1"/>
  <c r="H4" i="1"/>
  <c r="G4" i="1"/>
  <c r="F4" i="1"/>
  <c r="E4" i="1"/>
  <c r="D4" i="1"/>
  <c r="C4" i="1"/>
  <c r="R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V1" i="1"/>
  <c r="U1" i="1"/>
  <c r="T1" i="1"/>
  <c r="Z218" i="1" l="1"/>
  <c r="AD218" i="1"/>
  <c r="AH218" i="1"/>
  <c r="AL218" i="1"/>
  <c r="AP218" i="1"/>
  <c r="AT218" i="1"/>
  <c r="AX218" i="1"/>
  <c r="BB218" i="1"/>
  <c r="BF218" i="1"/>
  <c r="BJ218" i="1"/>
  <c r="BN218" i="1"/>
  <c r="BR218" i="1"/>
  <c r="BV218" i="1"/>
  <c r="BZ218" i="1"/>
  <c r="CD218" i="1"/>
  <c r="AA218" i="1"/>
  <c r="AE218" i="1"/>
  <c r="AI218" i="1"/>
  <c r="AM218" i="1"/>
  <c r="AQ218" i="1"/>
  <c r="AU218" i="1"/>
  <c r="AY218" i="1"/>
  <c r="BC218" i="1"/>
  <c r="BG218" i="1"/>
  <c r="BK218" i="1"/>
  <c r="BO218" i="1"/>
  <c r="BS218" i="1"/>
  <c r="BW218" i="1"/>
  <c r="CA218" i="1"/>
  <c r="CE218" i="1"/>
  <c r="BQ60" i="1"/>
  <c r="BQ15" i="1" s="1"/>
  <c r="U18" i="1"/>
  <c r="AU79" i="1"/>
  <c r="BS86" i="1"/>
  <c r="BG86" i="1"/>
  <c r="AK201" i="1"/>
  <c r="AF224" i="1"/>
  <c r="BR86" i="1"/>
  <c r="BO108" i="1"/>
  <c r="AG61" i="1"/>
  <c r="AG16" i="1" s="1"/>
  <c r="AW61" i="1"/>
  <c r="AW16" i="1" s="1"/>
  <c r="BE61" i="1"/>
  <c r="BE16" i="1" s="1"/>
  <c r="AO62" i="1"/>
  <c r="AO17" i="1" s="1"/>
  <c r="AO100" i="1" s="1"/>
  <c r="AX62" i="1"/>
  <c r="AX17" i="1" s="1"/>
  <c r="AX100" i="1" s="1"/>
  <c r="AO64" i="1"/>
  <c r="G64" i="1" s="1"/>
  <c r="BE64" i="1"/>
  <c r="BG77" i="1"/>
  <c r="AL197" i="1"/>
  <c r="X224" i="1"/>
  <c r="AB224" i="1"/>
  <c r="AJ224" i="1"/>
  <c r="AN224" i="1"/>
  <c r="AV224" i="1"/>
  <c r="AZ224" i="1"/>
  <c r="BD224" i="1"/>
  <c r="BA225" i="1"/>
  <c r="AS288" i="1"/>
  <c r="BF60" i="1"/>
  <c r="BF15" i="1" s="1"/>
  <c r="BP224" i="1"/>
  <c r="AG62" i="1"/>
  <c r="AG17" i="1" s="1"/>
  <c r="AG100" i="1" s="1"/>
  <c r="BI62" i="1"/>
  <c r="BI17" i="1" s="1"/>
  <c r="BI100" i="1" s="1"/>
  <c r="BA152" i="1"/>
  <c r="BA160" i="1" s="1"/>
  <c r="BA176" i="1"/>
  <c r="BA184" i="1" s="1"/>
  <c r="AW201" i="1"/>
  <c r="AY224" i="1"/>
  <c r="AA329" i="1"/>
  <c r="F218" i="1"/>
  <c r="J218" i="1"/>
  <c r="N218" i="1"/>
  <c r="BQ218" i="1"/>
  <c r="AV92" i="1"/>
  <c r="AZ92" i="1"/>
  <c r="BD92" i="1"/>
  <c r="BH92" i="1"/>
  <c r="BL92" i="1"/>
  <c r="BP92" i="1"/>
  <c r="BT92" i="1"/>
  <c r="BX92" i="1"/>
  <c r="CB92" i="1"/>
  <c r="K92" i="1"/>
  <c r="O92" i="1"/>
  <c r="AU92" i="1"/>
  <c r="BC92" i="1"/>
  <c r="BG92" i="1"/>
  <c r="BK92" i="1"/>
  <c r="CA92" i="1"/>
  <c r="BQ92" i="1"/>
  <c r="BE92" i="1"/>
  <c r="AF218" i="1"/>
  <c r="AN218" i="1"/>
  <c r="AV218" i="1"/>
  <c r="BD218" i="1"/>
  <c r="BL218" i="1"/>
  <c r="BT218" i="1"/>
  <c r="CB218" i="1"/>
  <c r="M92" i="1"/>
  <c r="Q92" i="1"/>
  <c r="AX92" i="1"/>
  <c r="BN92" i="1"/>
  <c r="BS92" i="1"/>
  <c r="CD92" i="1"/>
  <c r="P92" i="1"/>
  <c r="X218" i="1"/>
  <c r="AB218" i="1"/>
  <c r="AJ218" i="1"/>
  <c r="AR218" i="1"/>
  <c r="AZ218" i="1"/>
  <c r="BH218" i="1"/>
  <c r="BP218" i="1"/>
  <c r="BX218" i="1"/>
  <c r="J92" i="1"/>
  <c r="N92" i="1"/>
  <c r="G218" i="1"/>
  <c r="K218" i="1"/>
  <c r="O218" i="1"/>
  <c r="BA218" i="1"/>
  <c r="AO61" i="1"/>
  <c r="AO16" i="1" s="1"/>
  <c r="AD64" i="1"/>
  <c r="D64" i="1" s="1"/>
  <c r="AH64" i="1"/>
  <c r="AL64" i="1"/>
  <c r="AP64" i="1"/>
  <c r="AT64" i="1"/>
  <c r="AX64" i="1"/>
  <c r="BB64" i="1"/>
  <c r="J64" i="1" s="1"/>
  <c r="BF64" i="1"/>
  <c r="BJ64" i="1"/>
  <c r="L64" i="1" s="1"/>
  <c r="BN64" i="1"/>
  <c r="BR64" i="1"/>
  <c r="AY77" i="1"/>
  <c r="AQ86" i="1"/>
  <c r="BO105" i="1"/>
  <c r="AO152" i="1"/>
  <c r="AO160" i="1" s="1"/>
  <c r="BF224" i="1"/>
  <c r="Y281" i="1"/>
  <c r="AC281" i="1"/>
  <c r="AK281" i="1"/>
  <c r="AQ281" i="1"/>
  <c r="AR290" i="1"/>
  <c r="BH290" i="1"/>
  <c r="BT326" i="1"/>
  <c r="BT327" i="1" s="1"/>
  <c r="W329" i="1"/>
  <c r="AM329" i="1"/>
  <c r="Y359" i="1"/>
  <c r="AO60" i="1"/>
  <c r="AO15" i="1" s="1"/>
  <c r="BI60" i="1"/>
  <c r="BI15" i="1" s="1"/>
  <c r="BI52" i="1" s="1"/>
  <c r="AH62" i="1"/>
  <c r="AH17" i="1" s="1"/>
  <c r="AH100" i="1" s="1"/>
  <c r="BA62" i="1"/>
  <c r="BA17" i="1" s="1"/>
  <c r="BA100" i="1" s="1"/>
  <c r="BQ62" i="1"/>
  <c r="BQ17" i="1" s="1"/>
  <c r="BQ100" i="1" s="1"/>
  <c r="AE77" i="1"/>
  <c r="AA83" i="1"/>
  <c r="BN86" i="1"/>
  <c r="BN108" i="1"/>
  <c r="BU120" i="1"/>
  <c r="BE152" i="1"/>
  <c r="BA201" i="1"/>
  <c r="BL224" i="1"/>
  <c r="AQ224" i="1"/>
  <c r="BE321" i="1"/>
  <c r="AQ329" i="1"/>
  <c r="AP60" i="1"/>
  <c r="AP15" i="1" s="1"/>
  <c r="AP45" i="1" s="1"/>
  <c r="AP96" i="1" s="1"/>
  <c r="BJ60" i="1"/>
  <c r="BJ15" i="1" s="1"/>
  <c r="BJ52" i="1" s="1"/>
  <c r="BI61" i="1"/>
  <c r="BI16" i="1" s="1"/>
  <c r="BI46" i="1" s="1"/>
  <c r="BR62" i="1"/>
  <c r="BR17" i="1" s="1"/>
  <c r="BR100" i="1" s="1"/>
  <c r="N64" i="1"/>
  <c r="AI77" i="1"/>
  <c r="AM86" i="1"/>
  <c r="BL185" i="1"/>
  <c r="BP185" i="1"/>
  <c r="BM191" i="1"/>
  <c r="AY197" i="1"/>
  <c r="AR224" i="1"/>
  <c r="BC153" i="1"/>
  <c r="BC60" i="1" s="1"/>
  <c r="BB60" i="1"/>
  <c r="BB15" i="1" s="1"/>
  <c r="BB45" i="1" s="1"/>
  <c r="BB96" i="1" s="1"/>
  <c r="BO242" i="1"/>
  <c r="BO225" i="1" s="1"/>
  <c r="BN225" i="1"/>
  <c r="BR169" i="1"/>
  <c r="BR60" i="1"/>
  <c r="BR15" i="1" s="1"/>
  <c r="BR45" i="1" s="1"/>
  <c r="BR96" i="1" s="1"/>
  <c r="U44" i="1"/>
  <c r="F64" i="1"/>
  <c r="AA77" i="1"/>
  <c r="AU77" i="1"/>
  <c r="BG79" i="1"/>
  <c r="AI86" i="1"/>
  <c r="BC86" i="1"/>
  <c r="BS157" i="1"/>
  <c r="BS168" i="1"/>
  <c r="BA169" i="1"/>
  <c r="BR177" i="1"/>
  <c r="AX177" i="1"/>
  <c r="AX191" i="1" s="1"/>
  <c r="AG191" i="1"/>
  <c r="AO191" i="1"/>
  <c r="BA191" i="1"/>
  <c r="BM201" i="1"/>
  <c r="BO224" i="1"/>
  <c r="BO226" i="1" s="1"/>
  <c r="BM225" i="1"/>
  <c r="BM224" i="1" s="1"/>
  <c r="BQ225" i="1"/>
  <c r="BQ224" i="1" s="1"/>
  <c r="AP224" i="1"/>
  <c r="BD251" i="1"/>
  <c r="BD252" i="1" s="1"/>
  <c r="X322" i="1"/>
  <c r="AN322" i="1"/>
  <c r="Z281" i="1"/>
  <c r="AH281" i="1"/>
  <c r="AL281" i="1"/>
  <c r="AZ289" i="1"/>
  <c r="BD288" i="1"/>
  <c r="BP289" i="1"/>
  <c r="BI285" i="1"/>
  <c r="BI288" i="1" s="1"/>
  <c r="AE329" i="1"/>
  <c r="E326" i="1"/>
  <c r="BK161" i="1"/>
  <c r="BL322" i="1"/>
  <c r="AA281" i="1"/>
  <c r="AI281" i="1"/>
  <c r="Z359" i="1"/>
  <c r="O64" i="1"/>
  <c r="W86" i="1"/>
  <c r="BL157" i="1"/>
  <c r="BP157" i="1"/>
  <c r="AL153" i="1"/>
  <c r="BL160" i="1"/>
  <c r="BP160" i="1"/>
  <c r="BL166" i="1"/>
  <c r="BE169" i="1"/>
  <c r="BQ169" i="1"/>
  <c r="BL181" i="1"/>
  <c r="BP181" i="1"/>
  <c r="BB177" i="1"/>
  <c r="BB191" i="1" s="1"/>
  <c r="W224" i="1"/>
  <c r="AA224" i="1"/>
  <c r="AE224" i="1"/>
  <c r="AI224" i="1"/>
  <c r="AM224" i="1"/>
  <c r="BJ247" i="1"/>
  <c r="BJ379" i="1" s="1"/>
  <c r="AA53" i="1"/>
  <c r="AQ77" i="1"/>
  <c r="BC79" i="1"/>
  <c r="AA86" i="1"/>
  <c r="AY86" i="1"/>
  <c r="BO86" i="1"/>
  <c r="BS105" i="1"/>
  <c r="AK152" i="1"/>
  <c r="AK160" i="1" s="1"/>
  <c r="BM152" i="1"/>
  <c r="BQ152" i="1"/>
  <c r="AK167" i="1"/>
  <c r="BA167" i="1"/>
  <c r="BQ167" i="1"/>
  <c r="BJ185" i="1"/>
  <c r="BN185" i="1"/>
  <c r="BR185" i="1"/>
  <c r="BQ191" i="1"/>
  <c r="BR192" i="1"/>
  <c r="AW203" i="1"/>
  <c r="BT250" i="1"/>
  <c r="BD322" i="1"/>
  <c r="BU63" i="1"/>
  <c r="BT59" i="1"/>
  <c r="AM187" i="1"/>
  <c r="BT172" i="1"/>
  <c r="U52" i="1"/>
  <c r="AC52" i="1"/>
  <c r="AK52" i="1"/>
  <c r="AS52" i="1"/>
  <c r="BA52" i="1"/>
  <c r="BQ52" i="1"/>
  <c r="BO66" i="1"/>
  <c r="BU111" i="1"/>
  <c r="T112" i="1"/>
  <c r="X112" i="1"/>
  <c r="AB112" i="1"/>
  <c r="AF112" i="1"/>
  <c r="AJ112" i="1"/>
  <c r="AN112" i="1"/>
  <c r="AR112" i="1"/>
  <c r="AV110" i="1"/>
  <c r="AV111" i="1" s="1"/>
  <c r="AZ110" i="1"/>
  <c r="AZ111" i="1" s="1"/>
  <c r="BD110" i="1"/>
  <c r="BD111" i="1" s="1"/>
  <c r="BI112" i="1"/>
  <c r="AK191" i="1"/>
  <c r="AW224" i="1"/>
  <c r="BA224" i="1"/>
  <c r="AJ322" i="1"/>
  <c r="AJ262" i="1"/>
  <c r="AJ321" i="1" s="1"/>
  <c r="AK263" i="1"/>
  <c r="AK322" i="1" s="1"/>
  <c r="AZ322" i="1"/>
  <c r="AZ262" i="1"/>
  <c r="AZ321" i="1" s="1"/>
  <c r="BA263" i="1"/>
  <c r="BA322" i="1" s="1"/>
  <c r="BV326" i="1"/>
  <c r="BV247" i="1"/>
  <c r="BV379" i="1" s="1"/>
  <c r="CN13" i="1"/>
  <c r="CN14" i="1" s="1"/>
  <c r="CN15" i="1" s="1"/>
  <c r="CN16" i="1" s="1"/>
  <c r="CN17" i="1" s="1"/>
  <c r="CN18" i="1" s="1"/>
  <c r="BO50" i="1"/>
  <c r="X54" i="1"/>
  <c r="AF54" i="1"/>
  <c r="AQ54" i="1"/>
  <c r="BD54" i="1"/>
  <c r="BS31" i="1"/>
  <c r="BU11" i="1"/>
  <c r="V41" i="1"/>
  <c r="AH41" i="1"/>
  <c r="AP41" i="1"/>
  <c r="BB41" i="1"/>
  <c r="BF41" i="1"/>
  <c r="BN41" i="1"/>
  <c r="C18" i="1"/>
  <c r="BO54" i="1"/>
  <c r="BS54" i="1"/>
  <c r="BU76" i="1"/>
  <c r="U112" i="1"/>
  <c r="Y112" i="1"/>
  <c r="AC112" i="1"/>
  <c r="AG112" i="1"/>
  <c r="AK112" i="1"/>
  <c r="AO112" i="1"/>
  <c r="AS112" i="1"/>
  <c r="AW110" i="1"/>
  <c r="AW111" i="1" s="1"/>
  <c r="BA110" i="1"/>
  <c r="BA111" i="1" s="1"/>
  <c r="BE110" i="1"/>
  <c r="BE111" i="1" s="1"/>
  <c r="BJ86" i="1"/>
  <c r="BK77" i="1"/>
  <c r="BS153" i="1"/>
  <c r="BS60" i="1" s="1"/>
  <c r="BS15" i="1" s="1"/>
  <c r="BI152" i="1"/>
  <c r="BI160" i="1" s="1"/>
  <c r="BG161" i="1"/>
  <c r="BO161" i="1"/>
  <c r="AL163" i="1"/>
  <c r="AW167" i="1"/>
  <c r="BR163" i="1"/>
  <c r="BP166" i="1"/>
  <c r="BE167" i="1"/>
  <c r="BQ184" i="1"/>
  <c r="BS177" i="1"/>
  <c r="AK176" i="1"/>
  <c r="AK184" i="1" s="1"/>
  <c r="AL177" i="1"/>
  <c r="BM185" i="1"/>
  <c r="BQ185" i="1"/>
  <c r="AH187" i="1"/>
  <c r="BR187" i="1"/>
  <c r="BG190" i="1"/>
  <c r="BP190" i="1"/>
  <c r="AI197" i="1"/>
  <c r="AM197" i="1"/>
  <c r="AX224" i="1"/>
  <c r="BB224" i="1"/>
  <c r="AA54" i="1"/>
  <c r="AN54" i="1"/>
  <c r="AY54" i="1"/>
  <c r="BK54" i="1"/>
  <c r="V86" i="1"/>
  <c r="Z86" i="1"/>
  <c r="AD86" i="1"/>
  <c r="AH86" i="1"/>
  <c r="AL86" i="1"/>
  <c r="AP86" i="1"/>
  <c r="AT110" i="1"/>
  <c r="AT111" i="1" s="1"/>
  <c r="AX86" i="1"/>
  <c r="BB110" i="1"/>
  <c r="BB111" i="1" s="1"/>
  <c r="BF110" i="1"/>
  <c r="BF111" i="1" s="1"/>
  <c r="BK79" i="1"/>
  <c r="BR152" i="1"/>
  <c r="BR160" i="1" s="1"/>
  <c r="BG157" i="1"/>
  <c r="BS161" i="1"/>
  <c r="AO169" i="1"/>
  <c r="BI169" i="1"/>
  <c r="BR176" i="1"/>
  <c r="BR184" i="1" s="1"/>
  <c r="BE191" i="1"/>
  <c r="BG181" i="1"/>
  <c r="BN192" i="1"/>
  <c r="AG201" i="1"/>
  <c r="AG203" i="1"/>
  <c r="Y224" i="1"/>
  <c r="AC224" i="1"/>
  <c r="AG224" i="1"/>
  <c r="AK224" i="1"/>
  <c r="AO224" i="1"/>
  <c r="AS224" i="1"/>
  <c r="AB322" i="1"/>
  <c r="AB262" i="1"/>
  <c r="AB321" i="1" s="1"/>
  <c r="AC263" i="1"/>
  <c r="AC322" i="1" s="1"/>
  <c r="AR322" i="1"/>
  <c r="AR262" i="1"/>
  <c r="AR321" i="1" s="1"/>
  <c r="AS263" i="1"/>
  <c r="AS322" i="1" s="1"/>
  <c r="AC329" i="1"/>
  <c r="D326" i="1"/>
  <c r="AI329" i="1"/>
  <c r="AI54" i="1"/>
  <c r="AV54" i="1"/>
  <c r="BG54" i="1"/>
  <c r="X51" i="1"/>
  <c r="BT210" i="1"/>
  <c r="E64" i="1"/>
  <c r="H64" i="1"/>
  <c r="I64" i="1"/>
  <c r="M64" i="1"/>
  <c r="P64" i="1"/>
  <c r="BT111" i="1"/>
  <c r="BL112" i="1"/>
  <c r="W77" i="1"/>
  <c r="AM77" i="1"/>
  <c r="BC77" i="1"/>
  <c r="BT77" i="1"/>
  <c r="AY79" i="1"/>
  <c r="W83" i="1"/>
  <c r="AE86" i="1"/>
  <c r="AU86" i="1"/>
  <c r="BK86" i="1"/>
  <c r="BU100" i="1"/>
  <c r="BV120" i="1"/>
  <c r="BV100" i="1" s="1"/>
  <c r="BH157" i="1"/>
  <c r="AG167" i="1"/>
  <c r="BB163" i="1"/>
  <c r="BM167" i="1"/>
  <c r="AO167" i="1"/>
  <c r="BK181" i="1"/>
  <c r="BO181" i="1"/>
  <c r="AH177" i="1"/>
  <c r="AW191" i="1"/>
  <c r="BC187" i="1"/>
  <c r="BN187" i="1"/>
  <c r="AL198" i="1"/>
  <c r="AM198" i="1" s="1"/>
  <c r="BB197" i="1"/>
  <c r="BO197" i="1"/>
  <c r="BM203" i="1"/>
  <c r="U224" i="1"/>
  <c r="Z224" i="1"/>
  <c r="AD224" i="1"/>
  <c r="AH224" i="1"/>
  <c r="AL224" i="1"/>
  <c r="BE225" i="1"/>
  <c r="BE224" i="1" s="1"/>
  <c r="AQ233" i="1"/>
  <c r="BV266" i="1"/>
  <c r="BW266" i="1" s="1"/>
  <c r="BX266" i="1" s="1"/>
  <c r="BY266" i="1" s="1"/>
  <c r="BZ266" i="1" s="1"/>
  <c r="CA266" i="1" s="1"/>
  <c r="CB266" i="1" s="1"/>
  <c r="CC266" i="1" s="1"/>
  <c r="CD266" i="1" s="1"/>
  <c r="CE266" i="1" s="1"/>
  <c r="BU271" i="1"/>
  <c r="BT240" i="1"/>
  <c r="AW288" i="1"/>
  <c r="BE281" i="1"/>
  <c r="BE285" i="1"/>
  <c r="BE288" i="1" s="1"/>
  <c r="BM288" i="1"/>
  <c r="BA243" i="1"/>
  <c r="BD262" i="1"/>
  <c r="BD321" i="1" s="1"/>
  <c r="Y285" i="1"/>
  <c r="Y288" i="1" s="1"/>
  <c r="BU326" i="1"/>
  <c r="BJ321" i="1"/>
  <c r="BR321" i="1"/>
  <c r="AG288" i="1"/>
  <c r="Z285" i="1"/>
  <c r="BS290" i="1"/>
  <c r="AU329" i="1"/>
  <c r="W359" i="1"/>
  <c r="BQ243" i="1"/>
  <c r="BE243" i="1"/>
  <c r="BF321" i="1"/>
  <c r="AC285" i="1"/>
  <c r="AC288" i="1" s="1"/>
  <c r="AF329" i="1"/>
  <c r="AN329" i="1"/>
  <c r="Y329" i="1"/>
  <c r="AK329" i="1"/>
  <c r="AO329" i="1"/>
  <c r="AS329" i="1"/>
  <c r="CB17" i="1"/>
  <c r="BN66" i="1"/>
  <c r="BN31" i="1"/>
  <c r="BL344" i="1"/>
  <c r="BL345" i="1" s="1"/>
  <c r="BL297" i="1"/>
  <c r="BL220" i="1"/>
  <c r="BL207" i="1"/>
  <c r="BL47" i="1"/>
  <c r="BL54" i="1"/>
  <c r="BL29" i="1"/>
  <c r="BL31" i="1" s="1"/>
  <c r="BS350" i="1"/>
  <c r="BS35" i="1"/>
  <c r="BS33" i="1"/>
  <c r="BM66" i="1"/>
  <c r="BM31" i="1"/>
  <c r="BQ66" i="1"/>
  <c r="BQ31" i="1"/>
  <c r="BR66" i="1"/>
  <c r="BR31" i="1"/>
  <c r="BX46" i="1"/>
  <c r="E367" i="1"/>
  <c r="E369" i="1"/>
  <c r="E366" i="1"/>
  <c r="E365" i="1"/>
  <c r="E368" i="1"/>
  <c r="E278" i="1"/>
  <c r="E274" i="1"/>
  <c r="E362" i="1" s="1"/>
  <c r="E270" i="1"/>
  <c r="E277" i="1"/>
  <c r="E273" i="1"/>
  <c r="E265" i="1"/>
  <c r="E257" i="1"/>
  <c r="E275" i="1"/>
  <c r="E266" i="1"/>
  <c r="E276" i="1"/>
  <c r="E279" i="1"/>
  <c r="E271" i="1"/>
  <c r="E264" i="1"/>
  <c r="E260" i="1"/>
  <c r="E256" i="1"/>
  <c r="E259" i="1"/>
  <c r="E258" i="1"/>
  <c r="F368" i="1"/>
  <c r="F365" i="1"/>
  <c r="F367" i="1"/>
  <c r="F366" i="1"/>
  <c r="F369" i="1"/>
  <c r="F279" i="1"/>
  <c r="F275" i="1"/>
  <c r="F271" i="1"/>
  <c r="F278" i="1"/>
  <c r="F274" i="1"/>
  <c r="F362" i="1" s="1"/>
  <c r="F270" i="1"/>
  <c r="F273" i="1"/>
  <c r="F266" i="1"/>
  <c r="F258" i="1"/>
  <c r="F276" i="1"/>
  <c r="F259" i="1"/>
  <c r="F277" i="1"/>
  <c r="F264" i="1"/>
  <c r="F265" i="1"/>
  <c r="F257" i="1"/>
  <c r="F260" i="1"/>
  <c r="F256" i="1"/>
  <c r="Z348" i="1"/>
  <c r="Z303" i="1"/>
  <c r="Z304" i="1" s="1"/>
  <c r="Z311" i="1"/>
  <c r="Z310" i="1"/>
  <c r="Z317" i="1"/>
  <c r="Z206" i="1"/>
  <c r="Z219" i="1"/>
  <c r="Z135" i="1"/>
  <c r="Z134" i="1"/>
  <c r="Z133" i="1"/>
  <c r="Z132" i="1"/>
  <c r="Z131" i="1"/>
  <c r="Z130" i="1"/>
  <c r="Z129" i="1"/>
  <c r="Z73" i="1"/>
  <c r="Z50" i="1"/>
  <c r="AL311" i="1"/>
  <c r="AL317" i="1"/>
  <c r="AL303" i="1"/>
  <c r="AL304" i="1" s="1"/>
  <c r="AL206" i="1"/>
  <c r="AL175" i="1"/>
  <c r="AL183" i="1" s="1"/>
  <c r="AL151" i="1"/>
  <c r="AL159" i="1" s="1"/>
  <c r="AL219" i="1"/>
  <c r="AL135" i="1"/>
  <c r="AL134" i="1"/>
  <c r="AL133" i="1"/>
  <c r="AL132" i="1"/>
  <c r="AL131" i="1"/>
  <c r="AL130" i="1"/>
  <c r="AL129" i="1"/>
  <c r="AL73" i="1"/>
  <c r="AL50" i="1"/>
  <c r="AX317" i="1"/>
  <c r="AX303" i="1"/>
  <c r="AX304" i="1" s="1"/>
  <c r="AX206" i="1"/>
  <c r="AX175" i="1"/>
  <c r="AX183" i="1" s="1"/>
  <c r="AX151" i="1"/>
  <c r="AX159" i="1" s="1"/>
  <c r="AX219" i="1"/>
  <c r="AX135" i="1"/>
  <c r="AX134" i="1"/>
  <c r="AX133" i="1"/>
  <c r="AX132" i="1"/>
  <c r="AX131" i="1"/>
  <c r="AX130" i="1"/>
  <c r="AX129" i="1"/>
  <c r="AX73" i="1"/>
  <c r="AX50" i="1"/>
  <c r="BJ303" i="1"/>
  <c r="BJ304" i="1" s="1"/>
  <c r="BJ206" i="1"/>
  <c r="BJ219" i="1"/>
  <c r="BJ135" i="1"/>
  <c r="BJ134" i="1"/>
  <c r="BJ133" i="1"/>
  <c r="BJ132" i="1"/>
  <c r="BJ131" i="1"/>
  <c r="BJ130" i="1"/>
  <c r="BJ129" i="1"/>
  <c r="BJ73" i="1"/>
  <c r="BJ50" i="1"/>
  <c r="V101" i="1"/>
  <c r="BF116" i="1"/>
  <c r="C369" i="1"/>
  <c r="C365" i="1"/>
  <c r="C367" i="1"/>
  <c r="C368" i="1"/>
  <c r="C366" i="1"/>
  <c r="C276" i="1"/>
  <c r="C279" i="1"/>
  <c r="C275" i="1"/>
  <c r="C271" i="1"/>
  <c r="C278" i="1"/>
  <c r="C270" i="1"/>
  <c r="C259" i="1"/>
  <c r="C273" i="1"/>
  <c r="C264" i="1"/>
  <c r="C260" i="1"/>
  <c r="C274" i="1"/>
  <c r="C362" i="1" s="1"/>
  <c r="C265" i="1"/>
  <c r="C277" i="1"/>
  <c r="C266" i="1"/>
  <c r="C258" i="1"/>
  <c r="C257" i="1"/>
  <c r="C256" i="1"/>
  <c r="G369" i="1"/>
  <c r="G365" i="1"/>
  <c r="G366" i="1"/>
  <c r="G368" i="1"/>
  <c r="G367" i="1"/>
  <c r="G276" i="1"/>
  <c r="G279" i="1"/>
  <c r="G275" i="1"/>
  <c r="G271" i="1"/>
  <c r="G274" i="1"/>
  <c r="G362" i="1" s="1"/>
  <c r="G259" i="1"/>
  <c r="G277" i="1"/>
  <c r="G264" i="1"/>
  <c r="G260" i="1"/>
  <c r="G278" i="1"/>
  <c r="G270" i="1"/>
  <c r="G265" i="1"/>
  <c r="G273" i="1"/>
  <c r="G266" i="1"/>
  <c r="G258" i="1"/>
  <c r="G256" i="1"/>
  <c r="G257" i="1"/>
  <c r="O366" i="1"/>
  <c r="O276" i="1"/>
  <c r="O279" i="1"/>
  <c r="O275" i="1"/>
  <c r="O260" i="1"/>
  <c r="Q5" i="1"/>
  <c r="AB5" i="1"/>
  <c r="AF5" i="1" s="1"/>
  <c r="AJ5" i="1" s="1"/>
  <c r="AN5" i="1" s="1"/>
  <c r="AR5" i="1" s="1"/>
  <c r="AV5" i="1" s="1"/>
  <c r="AZ5" i="1" s="1"/>
  <c r="BD5" i="1" s="1"/>
  <c r="BH5" i="1" s="1"/>
  <c r="BL5" i="1" s="1"/>
  <c r="BP5" i="1" s="1"/>
  <c r="BT5" i="1" s="1"/>
  <c r="BX5" i="1" s="1"/>
  <c r="CB5" i="1" s="1"/>
  <c r="AA311" i="1"/>
  <c r="AA317" i="1"/>
  <c r="AA303" i="1"/>
  <c r="AA304" i="1" s="1"/>
  <c r="AA219" i="1"/>
  <c r="AA206" i="1"/>
  <c r="AA135" i="1"/>
  <c r="AA134" i="1"/>
  <c r="AA143" i="1" s="1"/>
  <c r="AA133" i="1"/>
  <c r="AA132" i="1"/>
  <c r="AA131" i="1"/>
  <c r="AA130" i="1"/>
  <c r="AA139" i="1" s="1"/>
  <c r="AA129" i="1"/>
  <c r="AA41" i="1"/>
  <c r="AA73" i="1"/>
  <c r="AI317" i="1"/>
  <c r="AI311" i="1"/>
  <c r="AI303" i="1"/>
  <c r="AI304" i="1" s="1"/>
  <c r="AI219" i="1"/>
  <c r="AI206" i="1"/>
  <c r="AI175" i="1"/>
  <c r="AI183" i="1" s="1"/>
  <c r="AI151" i="1"/>
  <c r="AI159" i="1" s="1"/>
  <c r="AI135" i="1"/>
  <c r="AI134" i="1"/>
  <c r="AI133" i="1"/>
  <c r="AI132" i="1"/>
  <c r="AI131" i="1"/>
  <c r="AI130" i="1"/>
  <c r="AI129" i="1"/>
  <c r="AI41" i="1"/>
  <c r="AI73" i="1"/>
  <c r="AQ317" i="1"/>
  <c r="AQ303" i="1"/>
  <c r="AQ304" i="1" s="1"/>
  <c r="AQ219" i="1"/>
  <c r="AQ206" i="1"/>
  <c r="AQ175" i="1"/>
  <c r="AQ183" i="1" s="1"/>
  <c r="AQ151" i="1"/>
  <c r="AQ159" i="1" s="1"/>
  <c r="AQ135" i="1"/>
  <c r="AQ134" i="1"/>
  <c r="AQ133" i="1"/>
  <c r="AQ132" i="1"/>
  <c r="AQ131" i="1"/>
  <c r="AQ130" i="1"/>
  <c r="AQ129" i="1"/>
  <c r="AQ41" i="1"/>
  <c r="AQ73" i="1"/>
  <c r="AY317" i="1"/>
  <c r="AY303" i="1"/>
  <c r="AY304" i="1" s="1"/>
  <c r="AY219" i="1"/>
  <c r="AY206" i="1"/>
  <c r="AY175" i="1"/>
  <c r="AY183" i="1" s="1"/>
  <c r="AY151" i="1"/>
  <c r="AY159" i="1" s="1"/>
  <c r="AY135" i="1"/>
  <c r="AY134" i="1"/>
  <c r="AY133" i="1"/>
  <c r="AY132" i="1"/>
  <c r="AY131" i="1"/>
  <c r="AY130" i="1"/>
  <c r="AY129" i="1"/>
  <c r="AY41" i="1"/>
  <c r="AY73" i="1"/>
  <c r="BG303" i="1"/>
  <c r="BG304" i="1" s="1"/>
  <c r="BG219" i="1"/>
  <c r="BG206" i="1"/>
  <c r="BG175" i="1"/>
  <c r="BG183" i="1" s="1"/>
  <c r="BG151" i="1"/>
  <c r="BG159" i="1" s="1"/>
  <c r="BG135" i="1"/>
  <c r="BG134" i="1"/>
  <c r="BG133" i="1"/>
  <c r="BG132" i="1"/>
  <c r="BG131" i="1"/>
  <c r="BG130" i="1"/>
  <c r="BG129" i="1"/>
  <c r="BG41" i="1"/>
  <c r="BG73" i="1"/>
  <c r="BS303" i="1"/>
  <c r="BS304" i="1" s="1"/>
  <c r="BS219" i="1"/>
  <c r="BS206" i="1"/>
  <c r="BS133" i="1"/>
  <c r="BS132" i="1"/>
  <c r="BS131" i="1"/>
  <c r="BS130" i="1"/>
  <c r="BS129" i="1"/>
  <c r="BS41" i="1"/>
  <c r="BS73" i="1"/>
  <c r="D366" i="1"/>
  <c r="D368" i="1"/>
  <c r="D367" i="1"/>
  <c r="D365" i="1"/>
  <c r="D369" i="1"/>
  <c r="D277" i="1"/>
  <c r="D273" i="1"/>
  <c r="D276" i="1"/>
  <c r="D279" i="1"/>
  <c r="D271" i="1"/>
  <c r="D264" i="1"/>
  <c r="D260" i="1"/>
  <c r="D256" i="1"/>
  <c r="D274" i="1"/>
  <c r="D362" i="1" s="1"/>
  <c r="D265" i="1"/>
  <c r="D275" i="1"/>
  <c r="D266" i="1"/>
  <c r="D278" i="1"/>
  <c r="D270" i="1"/>
  <c r="D259" i="1"/>
  <c r="D258" i="1"/>
  <c r="D257" i="1"/>
  <c r="H366" i="1"/>
  <c r="H367" i="1"/>
  <c r="H369" i="1"/>
  <c r="H368" i="1"/>
  <c r="H365" i="1"/>
  <c r="H277" i="1"/>
  <c r="H273" i="1"/>
  <c r="H276" i="1"/>
  <c r="H275" i="1"/>
  <c r="H264" i="1"/>
  <c r="H260" i="1"/>
  <c r="H256" i="1"/>
  <c r="H278" i="1"/>
  <c r="H270" i="1"/>
  <c r="H265" i="1"/>
  <c r="H279" i="1"/>
  <c r="H271" i="1"/>
  <c r="H266" i="1"/>
  <c r="H274" i="1"/>
  <c r="H362" i="1" s="1"/>
  <c r="H259" i="1"/>
  <c r="H257" i="1"/>
  <c r="H258" i="1"/>
  <c r="L366" i="1"/>
  <c r="L365" i="1"/>
  <c r="L368" i="1"/>
  <c r="L367" i="1"/>
  <c r="L277" i="1"/>
  <c r="L273" i="1"/>
  <c r="L276" i="1"/>
  <c r="L279" i="1"/>
  <c r="L271" i="1"/>
  <c r="L264" i="1"/>
  <c r="L260" i="1"/>
  <c r="L256" i="1"/>
  <c r="L274" i="1"/>
  <c r="L362" i="1" s="1"/>
  <c r="L265" i="1"/>
  <c r="L275" i="1"/>
  <c r="L266" i="1"/>
  <c r="L278" i="1"/>
  <c r="L270" i="1"/>
  <c r="L259" i="1"/>
  <c r="L258" i="1"/>
  <c r="L257" i="1"/>
  <c r="P4" i="1"/>
  <c r="BT181" i="1"/>
  <c r="T317" i="1"/>
  <c r="T135" i="1"/>
  <c r="T134" i="1"/>
  <c r="T133" i="1"/>
  <c r="T132" i="1"/>
  <c r="T131" i="1"/>
  <c r="T130" i="1"/>
  <c r="T129" i="1"/>
  <c r="T73" i="1"/>
  <c r="T50" i="1"/>
  <c r="X348" i="1"/>
  <c r="X317" i="1"/>
  <c r="X311" i="1"/>
  <c r="X310" i="1"/>
  <c r="X303" i="1"/>
  <c r="X304" i="1" s="1"/>
  <c r="X219" i="1"/>
  <c r="X206" i="1"/>
  <c r="X135" i="1"/>
  <c r="X134" i="1"/>
  <c r="X133" i="1"/>
  <c r="X132" i="1"/>
  <c r="X131" i="1"/>
  <c r="X130" i="1"/>
  <c r="X129" i="1"/>
  <c r="X73" i="1"/>
  <c r="X41" i="1"/>
  <c r="AB317" i="1"/>
  <c r="AB311" i="1"/>
  <c r="AB303" i="1"/>
  <c r="AB304" i="1" s="1"/>
  <c r="AB219" i="1"/>
  <c r="AB175" i="1"/>
  <c r="AB206" i="1"/>
  <c r="AB151" i="1"/>
  <c r="AB135" i="1"/>
  <c r="AB134" i="1"/>
  <c r="AB133" i="1"/>
  <c r="AB142" i="1" s="1"/>
  <c r="AB132" i="1"/>
  <c r="AB131" i="1"/>
  <c r="AB130" i="1"/>
  <c r="AB129" i="1"/>
  <c r="AB73" i="1"/>
  <c r="AB41" i="1"/>
  <c r="AF317" i="1"/>
  <c r="AF311" i="1"/>
  <c r="AF303" i="1"/>
  <c r="AF304" i="1" s="1"/>
  <c r="AF219" i="1"/>
  <c r="AF206" i="1"/>
  <c r="AF175" i="1"/>
  <c r="AF183" i="1" s="1"/>
  <c r="AF151" i="1"/>
  <c r="AF159" i="1" s="1"/>
  <c r="AF135" i="1"/>
  <c r="AF134" i="1"/>
  <c r="AF133" i="1"/>
  <c r="AF132" i="1"/>
  <c r="AF131" i="1"/>
  <c r="AF130" i="1"/>
  <c r="AF129" i="1"/>
  <c r="AF73" i="1"/>
  <c r="AF41" i="1"/>
  <c r="AJ317" i="1"/>
  <c r="AJ311" i="1"/>
  <c r="AJ303" i="1"/>
  <c r="AJ304" i="1" s="1"/>
  <c r="AJ219" i="1"/>
  <c r="AJ175" i="1"/>
  <c r="AJ183" i="1" s="1"/>
  <c r="AJ206" i="1"/>
  <c r="AJ151" i="1"/>
  <c r="AJ159" i="1" s="1"/>
  <c r="AJ135" i="1"/>
  <c r="AJ134" i="1"/>
  <c r="AJ133" i="1"/>
  <c r="AJ142" i="1" s="1"/>
  <c r="AJ132" i="1"/>
  <c r="AJ131" i="1"/>
  <c r="AJ130" i="1"/>
  <c r="AJ129" i="1"/>
  <c r="AJ73" i="1"/>
  <c r="AJ41" i="1"/>
  <c r="AN317" i="1"/>
  <c r="AN311" i="1"/>
  <c r="AN303" i="1"/>
  <c r="AN304" i="1" s="1"/>
  <c r="AN219" i="1"/>
  <c r="AN206" i="1"/>
  <c r="AN175" i="1"/>
  <c r="AN183" i="1" s="1"/>
  <c r="AN151" i="1"/>
  <c r="AN159" i="1" s="1"/>
  <c r="AN135" i="1"/>
  <c r="AN134" i="1"/>
  <c r="AN133" i="1"/>
  <c r="AN132" i="1"/>
  <c r="AN131" i="1"/>
  <c r="AN130" i="1"/>
  <c r="AN129" i="1"/>
  <c r="AN73" i="1"/>
  <c r="AN41" i="1"/>
  <c r="AR317" i="1"/>
  <c r="AR303" i="1"/>
  <c r="AR304" i="1" s="1"/>
  <c r="AR219" i="1"/>
  <c r="AR175" i="1"/>
  <c r="AR183" i="1" s="1"/>
  <c r="AR206" i="1"/>
  <c r="AR151" i="1"/>
  <c r="AR159" i="1" s="1"/>
  <c r="AR135" i="1"/>
  <c r="AR134" i="1"/>
  <c r="AR133" i="1"/>
  <c r="AR132" i="1"/>
  <c r="AR141" i="1" s="1"/>
  <c r="AR131" i="1"/>
  <c r="AR130" i="1"/>
  <c r="AR129" i="1"/>
  <c r="AR73" i="1"/>
  <c r="AR41" i="1"/>
  <c r="AV317" i="1"/>
  <c r="AV303" i="1"/>
  <c r="AV304" i="1" s="1"/>
  <c r="AV219" i="1"/>
  <c r="AV206" i="1"/>
  <c r="AV175" i="1"/>
  <c r="AV183" i="1" s="1"/>
  <c r="AV151" i="1"/>
  <c r="AV159" i="1" s="1"/>
  <c r="AV135" i="1"/>
  <c r="AV134" i="1"/>
  <c r="AV133" i="1"/>
  <c r="AV132" i="1"/>
  <c r="AV131" i="1"/>
  <c r="AV130" i="1"/>
  <c r="AV129" i="1"/>
  <c r="AV73" i="1"/>
  <c r="AV41" i="1"/>
  <c r="AZ317" i="1"/>
  <c r="AZ303" i="1"/>
  <c r="AZ304" i="1" s="1"/>
  <c r="AZ219" i="1"/>
  <c r="AZ175" i="1"/>
  <c r="AZ183" i="1" s="1"/>
  <c r="AZ206" i="1"/>
  <c r="AZ151" i="1"/>
  <c r="AZ159" i="1" s="1"/>
  <c r="AZ135" i="1"/>
  <c r="AZ134" i="1"/>
  <c r="AZ133" i="1"/>
  <c r="AZ142" i="1" s="1"/>
  <c r="AZ132" i="1"/>
  <c r="AZ131" i="1"/>
  <c r="AZ130" i="1"/>
  <c r="AZ129" i="1"/>
  <c r="AZ73" i="1"/>
  <c r="AZ41" i="1"/>
  <c r="BD317" i="1"/>
  <c r="BD303" i="1"/>
  <c r="BD304" i="1" s="1"/>
  <c r="BD219" i="1"/>
  <c r="BD206" i="1"/>
  <c r="BD175" i="1"/>
  <c r="BD183" i="1" s="1"/>
  <c r="BD151" i="1"/>
  <c r="BD159" i="1" s="1"/>
  <c r="BD135" i="1"/>
  <c r="BD134" i="1"/>
  <c r="BD133" i="1"/>
  <c r="BD132" i="1"/>
  <c r="BD131" i="1"/>
  <c r="BD130" i="1"/>
  <c r="BD129" i="1"/>
  <c r="BD73" i="1"/>
  <c r="BD41" i="1"/>
  <c r="BH317" i="1"/>
  <c r="BH303" i="1"/>
  <c r="BH304" i="1" s="1"/>
  <c r="BH219" i="1"/>
  <c r="BH175" i="1"/>
  <c r="BH151" i="1"/>
  <c r="BH206" i="1"/>
  <c r="BH135" i="1"/>
  <c r="BH144" i="1" s="1"/>
  <c r="BH134" i="1"/>
  <c r="BH133" i="1"/>
  <c r="BH132" i="1"/>
  <c r="BH131" i="1"/>
  <c r="BH140" i="1" s="1"/>
  <c r="BH130" i="1"/>
  <c r="BH129" i="1"/>
  <c r="BH73" i="1"/>
  <c r="BH41" i="1"/>
  <c r="BL317" i="1"/>
  <c r="BL303" i="1"/>
  <c r="BL304" i="1" s="1"/>
  <c r="BL219" i="1"/>
  <c r="BL206" i="1"/>
  <c r="BL135" i="1"/>
  <c r="BL133" i="1"/>
  <c r="BL132" i="1"/>
  <c r="BL131" i="1"/>
  <c r="BL130" i="1"/>
  <c r="BL129" i="1"/>
  <c r="BL73" i="1"/>
  <c r="BL41" i="1"/>
  <c r="BP317" i="1"/>
  <c r="BP303" i="1"/>
  <c r="BP304" i="1" s="1"/>
  <c r="BP219" i="1"/>
  <c r="BP175" i="1"/>
  <c r="BP183" i="1" s="1"/>
  <c r="BP151" i="1"/>
  <c r="BP159" i="1" s="1"/>
  <c r="BP206" i="1"/>
  <c r="BP135" i="1"/>
  <c r="BP134" i="1"/>
  <c r="BP133" i="1"/>
  <c r="BP132" i="1"/>
  <c r="BP131" i="1"/>
  <c r="BP130" i="1"/>
  <c r="BP129" i="1"/>
  <c r="BP73" i="1"/>
  <c r="BP41" i="1"/>
  <c r="T101" i="1"/>
  <c r="T102" i="1" s="1"/>
  <c r="T85" i="1" s="1"/>
  <c r="T45" i="1"/>
  <c r="X116" i="1"/>
  <c r="X101" i="1"/>
  <c r="X84" i="1" s="1"/>
  <c r="X52" i="1"/>
  <c r="X45" i="1"/>
  <c r="AB116" i="1"/>
  <c r="AB101" i="1"/>
  <c r="AB84" i="1" s="1"/>
  <c r="AB52" i="1"/>
  <c r="AB45" i="1"/>
  <c r="AF116" i="1"/>
  <c r="AF101" i="1"/>
  <c r="AF84" i="1" s="1"/>
  <c r="AF45" i="1"/>
  <c r="AJ101" i="1"/>
  <c r="AJ84" i="1" s="1"/>
  <c r="AJ45" i="1"/>
  <c r="AN101" i="1"/>
  <c r="AN84" i="1" s="1"/>
  <c r="AN45" i="1"/>
  <c r="AR116" i="1"/>
  <c r="AR52" i="1"/>
  <c r="AR45" i="1"/>
  <c r="AR96" i="1" s="1"/>
  <c r="AV116" i="1"/>
  <c r="AV45" i="1"/>
  <c r="AV96" i="1" s="1"/>
  <c r="AZ116" i="1"/>
  <c r="AZ45" i="1"/>
  <c r="AZ96" i="1" s="1"/>
  <c r="BD116" i="1"/>
  <c r="BD45" i="1"/>
  <c r="BD96" i="1" s="1"/>
  <c r="BH45" i="1"/>
  <c r="BH96" i="1" s="1"/>
  <c r="BL45" i="1"/>
  <c r="BL96" i="1" s="1"/>
  <c r="BP116" i="1"/>
  <c r="BP45" i="1"/>
  <c r="BP96" i="1" s="1"/>
  <c r="X53" i="1"/>
  <c r="X46" i="1"/>
  <c r="AB53" i="1"/>
  <c r="AB46" i="1"/>
  <c r="AF46" i="1"/>
  <c r="AJ46" i="1"/>
  <c r="AN46" i="1"/>
  <c r="AR46" i="1"/>
  <c r="AV46" i="1"/>
  <c r="AZ46" i="1"/>
  <c r="BD46" i="1"/>
  <c r="BH46" i="1"/>
  <c r="BL46" i="1"/>
  <c r="BP46" i="1"/>
  <c r="BT16" i="1"/>
  <c r="BL17" i="1"/>
  <c r="BL100" i="1" s="1"/>
  <c r="T354" i="1"/>
  <c r="T353" i="1"/>
  <c r="T44" i="1"/>
  <c r="T51" i="1"/>
  <c r="AB18" i="1"/>
  <c r="AB292" i="1" s="1"/>
  <c r="AF18" i="1"/>
  <c r="AJ18" i="1"/>
  <c r="AN18" i="1"/>
  <c r="AR18" i="1"/>
  <c r="AV18" i="1"/>
  <c r="AZ18" i="1"/>
  <c r="BD18" i="1"/>
  <c r="BH18" i="1"/>
  <c r="BP18" i="1"/>
  <c r="BU24" i="1"/>
  <c r="T344" i="1"/>
  <c r="T345" i="1" s="1"/>
  <c r="T346" i="1" s="1"/>
  <c r="T47" i="1"/>
  <c r="T54" i="1"/>
  <c r="X344" i="1"/>
  <c r="X345" i="1" s="1"/>
  <c r="X220" i="1"/>
  <c r="X207" i="1"/>
  <c r="AB344" i="1"/>
  <c r="AB345" i="1" s="1"/>
  <c r="AB297" i="1"/>
  <c r="AB220" i="1"/>
  <c r="AB207" i="1"/>
  <c r="AF344" i="1"/>
  <c r="AF345" i="1" s="1"/>
  <c r="AF297" i="1"/>
  <c r="AF220" i="1"/>
  <c r="AF207" i="1"/>
  <c r="AJ344" i="1"/>
  <c r="AJ345" i="1" s="1"/>
  <c r="AJ297" i="1"/>
  <c r="AJ220" i="1"/>
  <c r="AJ207" i="1"/>
  <c r="AN344" i="1"/>
  <c r="AN345" i="1" s="1"/>
  <c r="AN297" i="1"/>
  <c r="AN220" i="1"/>
  <c r="AN207" i="1"/>
  <c r="AR344" i="1"/>
  <c r="AR345" i="1" s="1"/>
  <c r="AR297" i="1"/>
  <c r="AR220" i="1"/>
  <c r="AR207" i="1"/>
  <c r="AV344" i="1"/>
  <c r="AV345" i="1" s="1"/>
  <c r="AV297" i="1"/>
  <c r="AV220" i="1"/>
  <c r="AV207" i="1"/>
  <c r="AZ344" i="1"/>
  <c r="AZ345" i="1" s="1"/>
  <c r="AZ297" i="1"/>
  <c r="AZ220" i="1"/>
  <c r="AZ207" i="1"/>
  <c r="BD344" i="1"/>
  <c r="BD345" i="1" s="1"/>
  <c r="BD297" i="1"/>
  <c r="BD220" i="1"/>
  <c r="BD207" i="1"/>
  <c r="BH344" i="1"/>
  <c r="BH345" i="1" s="1"/>
  <c r="BH297" i="1"/>
  <c r="BH220" i="1"/>
  <c r="BH207" i="1"/>
  <c r="BP344" i="1"/>
  <c r="BP345" i="1" s="1"/>
  <c r="BP297" i="1"/>
  <c r="BP220" i="1"/>
  <c r="BP207" i="1"/>
  <c r="W29" i="1"/>
  <c r="AA29" i="1"/>
  <c r="AE29" i="1"/>
  <c r="AI29" i="1"/>
  <c r="AM29" i="1"/>
  <c r="AQ29" i="1"/>
  <c r="AV29" i="1"/>
  <c r="AZ29" i="1"/>
  <c r="BD29" i="1"/>
  <c r="BH29" i="1"/>
  <c r="AR29" i="1"/>
  <c r="AR31" i="1" s="1"/>
  <c r="X31" i="1"/>
  <c r="AB31" i="1"/>
  <c r="AF31" i="1"/>
  <c r="AJ31" i="1"/>
  <c r="AN31" i="1"/>
  <c r="Z41" i="1"/>
  <c r="AX41" i="1"/>
  <c r="V45" i="1"/>
  <c r="BJ45" i="1"/>
  <c r="BJ96" i="1" s="1"/>
  <c r="AA46" i="1"/>
  <c r="AB47" i="1"/>
  <c r="AJ47" i="1"/>
  <c r="AR47" i="1"/>
  <c r="AZ47" i="1"/>
  <c r="BH47" i="1"/>
  <c r="BP47" i="1"/>
  <c r="AS48" i="1"/>
  <c r="AA50" i="1"/>
  <c r="AI50" i="1"/>
  <c r="AQ50" i="1"/>
  <c r="AY50" i="1"/>
  <c r="BG50" i="1"/>
  <c r="V53" i="1"/>
  <c r="AD53" i="1"/>
  <c r="AT53" i="1"/>
  <c r="W54" i="1"/>
  <c r="AE54" i="1"/>
  <c r="AM54" i="1"/>
  <c r="AU54" i="1"/>
  <c r="BC54" i="1"/>
  <c r="AD5" i="1"/>
  <c r="AH5" i="1" s="1"/>
  <c r="AL5" i="1" s="1"/>
  <c r="AP5" i="1" s="1"/>
  <c r="AT5" i="1" s="1"/>
  <c r="AX5" i="1" s="1"/>
  <c r="BB5" i="1" s="1"/>
  <c r="BF5" i="1" s="1"/>
  <c r="BJ5" i="1" s="1"/>
  <c r="BN5" i="1" s="1"/>
  <c r="BR5" i="1" s="1"/>
  <c r="BV5" i="1" s="1"/>
  <c r="BZ5" i="1" s="1"/>
  <c r="CD5" i="1" s="1"/>
  <c r="U219" i="1"/>
  <c r="U135" i="1"/>
  <c r="U134" i="1"/>
  <c r="U143" i="1" s="1"/>
  <c r="U133" i="1"/>
  <c r="U132" i="1"/>
  <c r="U131" i="1"/>
  <c r="U130" i="1"/>
  <c r="U139" i="1" s="1"/>
  <c r="U129" i="1"/>
  <c r="U50" i="1"/>
  <c r="U73" i="1"/>
  <c r="Y348" i="1"/>
  <c r="Y303" i="1"/>
  <c r="Y304" i="1" s="1"/>
  <c r="Y317" i="1"/>
  <c r="Y316" i="1"/>
  <c r="Y311" i="1"/>
  <c r="Y310" i="1"/>
  <c r="Y219" i="1"/>
  <c r="Y206" i="1"/>
  <c r="Y135" i="1"/>
  <c r="Y134" i="1"/>
  <c r="Y143" i="1" s="1"/>
  <c r="Y133" i="1"/>
  <c r="Y132" i="1"/>
  <c r="Y141" i="1" s="1"/>
  <c r="Y131" i="1"/>
  <c r="Y130" i="1"/>
  <c r="Y139" i="1" s="1"/>
  <c r="Y129" i="1"/>
  <c r="Y50" i="1"/>
  <c r="Y73" i="1"/>
  <c r="AC303" i="1"/>
  <c r="AC304" i="1" s="1"/>
  <c r="AC317" i="1"/>
  <c r="AC316" i="1"/>
  <c r="AC311" i="1"/>
  <c r="AC219" i="1"/>
  <c r="AC175" i="1"/>
  <c r="AC183" i="1" s="1"/>
  <c r="AC206" i="1"/>
  <c r="AC151" i="1"/>
  <c r="AC159" i="1" s="1"/>
  <c r="AC135" i="1"/>
  <c r="AC134" i="1"/>
  <c r="AC133" i="1"/>
  <c r="AC132" i="1"/>
  <c r="AC131" i="1"/>
  <c r="AC130" i="1"/>
  <c r="AC129" i="1"/>
  <c r="AC50" i="1"/>
  <c r="AC73" i="1"/>
  <c r="AG303" i="1"/>
  <c r="AG304" i="1" s="1"/>
  <c r="AG311" i="1"/>
  <c r="AG317" i="1"/>
  <c r="AG316" i="1"/>
  <c r="AG219" i="1"/>
  <c r="AG206" i="1"/>
  <c r="AG175" i="1"/>
  <c r="AG183" i="1" s="1"/>
  <c r="AG135" i="1"/>
  <c r="AG134" i="1"/>
  <c r="AG133" i="1"/>
  <c r="AG132" i="1"/>
  <c r="AG131" i="1"/>
  <c r="AG130" i="1"/>
  <c r="AG129" i="1"/>
  <c r="AG151" i="1"/>
  <c r="AG159" i="1" s="1"/>
  <c r="AG50" i="1"/>
  <c r="AG73" i="1"/>
  <c r="AK303" i="1"/>
  <c r="AK304" i="1" s="1"/>
  <c r="AK311" i="1"/>
  <c r="AK317" i="1"/>
  <c r="AK219" i="1"/>
  <c r="AK175" i="1"/>
  <c r="AK183" i="1" s="1"/>
  <c r="AK206" i="1"/>
  <c r="AK151" i="1"/>
  <c r="AK159" i="1" s="1"/>
  <c r="AK135" i="1"/>
  <c r="AK144" i="1" s="1"/>
  <c r="AK134" i="1"/>
  <c r="AK143" i="1" s="1"/>
  <c r="AK133" i="1"/>
  <c r="AK142" i="1" s="1"/>
  <c r="AK132" i="1"/>
  <c r="AK131" i="1"/>
  <c r="AK140" i="1" s="1"/>
  <c r="AK130" i="1"/>
  <c r="AK139" i="1" s="1"/>
  <c r="AK129" i="1"/>
  <c r="AK50" i="1"/>
  <c r="AK73" i="1"/>
  <c r="AO303" i="1"/>
  <c r="AO304" i="1" s="1"/>
  <c r="AO317" i="1"/>
  <c r="AO316" i="1"/>
  <c r="AO219" i="1"/>
  <c r="AO206" i="1"/>
  <c r="AO175" i="1"/>
  <c r="AO183" i="1" s="1"/>
  <c r="AO135" i="1"/>
  <c r="AO134" i="1"/>
  <c r="AO133" i="1"/>
  <c r="AO132" i="1"/>
  <c r="AO131" i="1"/>
  <c r="AO130" i="1"/>
  <c r="AO129" i="1"/>
  <c r="AO151" i="1"/>
  <c r="AO159" i="1" s="1"/>
  <c r="AO50" i="1"/>
  <c r="AO73" i="1"/>
  <c r="AS303" i="1"/>
  <c r="AS304" i="1" s="1"/>
  <c r="AS316" i="1"/>
  <c r="AS219" i="1"/>
  <c r="AS175" i="1"/>
  <c r="AS183" i="1" s="1"/>
  <c r="AS206" i="1"/>
  <c r="AS151" i="1"/>
  <c r="AS159" i="1" s="1"/>
  <c r="AS135" i="1"/>
  <c r="AS134" i="1"/>
  <c r="AS143" i="1" s="1"/>
  <c r="AS133" i="1"/>
  <c r="AS142" i="1" s="1"/>
  <c r="AS132" i="1"/>
  <c r="AS141" i="1" s="1"/>
  <c r="AS131" i="1"/>
  <c r="AS130" i="1"/>
  <c r="AS139" i="1" s="1"/>
  <c r="AS129" i="1"/>
  <c r="AS50" i="1"/>
  <c r="AS73" i="1"/>
  <c r="AW303" i="1"/>
  <c r="AW304" i="1" s="1"/>
  <c r="AW316" i="1"/>
  <c r="AW219" i="1"/>
  <c r="AW206" i="1"/>
  <c r="AW175" i="1"/>
  <c r="AW183" i="1" s="1"/>
  <c r="AW135" i="1"/>
  <c r="AW134" i="1"/>
  <c r="AW133" i="1"/>
  <c r="AW132" i="1"/>
  <c r="AW131" i="1"/>
  <c r="AW130" i="1"/>
  <c r="AW129" i="1"/>
  <c r="AW151" i="1"/>
  <c r="AW159" i="1" s="1"/>
  <c r="AW50" i="1"/>
  <c r="AW73" i="1"/>
  <c r="BA303" i="1"/>
  <c r="BA304" i="1" s="1"/>
  <c r="BA219" i="1"/>
  <c r="BA175" i="1"/>
  <c r="BA183" i="1" s="1"/>
  <c r="BA206" i="1"/>
  <c r="BA151" i="1"/>
  <c r="BA159" i="1" s="1"/>
  <c r="BA135" i="1"/>
  <c r="BA134" i="1"/>
  <c r="BA133" i="1"/>
  <c r="BA132" i="1"/>
  <c r="BA131" i="1"/>
  <c r="BA130" i="1"/>
  <c r="BA129" i="1"/>
  <c r="BA50" i="1"/>
  <c r="BA73" i="1"/>
  <c r="BE303" i="1"/>
  <c r="BE304" i="1" s="1"/>
  <c r="BE316" i="1"/>
  <c r="BE219" i="1"/>
  <c r="BE206" i="1"/>
  <c r="BE175" i="1"/>
  <c r="BE183" i="1" s="1"/>
  <c r="BE151" i="1"/>
  <c r="BE159" i="1" s="1"/>
  <c r="BE135" i="1"/>
  <c r="BE134" i="1"/>
  <c r="BE133" i="1"/>
  <c r="BE132" i="1"/>
  <c r="BE131" i="1"/>
  <c r="BE130" i="1"/>
  <c r="BE129" i="1"/>
  <c r="BE50" i="1"/>
  <c r="BE73" i="1"/>
  <c r="BI303" i="1"/>
  <c r="BI304" i="1" s="1"/>
  <c r="BI316" i="1"/>
  <c r="BI219" i="1"/>
  <c r="BI206" i="1"/>
  <c r="BI175" i="1"/>
  <c r="BI151" i="1"/>
  <c r="BI159" i="1" s="1"/>
  <c r="BI135" i="1"/>
  <c r="BI134" i="1"/>
  <c r="BI133" i="1"/>
  <c r="BI132" i="1"/>
  <c r="BI131" i="1"/>
  <c r="BI130" i="1"/>
  <c r="BI129" i="1"/>
  <c r="BI50" i="1"/>
  <c r="BI73" i="1"/>
  <c r="BM303" i="1"/>
  <c r="BM304" i="1" s="1"/>
  <c r="BM316" i="1"/>
  <c r="BM206" i="1"/>
  <c r="BM219" i="1"/>
  <c r="BM135" i="1"/>
  <c r="BM133" i="1"/>
  <c r="BM132" i="1"/>
  <c r="BM131" i="1"/>
  <c r="BM130" i="1"/>
  <c r="BM129" i="1"/>
  <c r="BM50" i="1"/>
  <c r="BM73" i="1"/>
  <c r="BQ303" i="1"/>
  <c r="BQ304" i="1" s="1"/>
  <c r="BQ219" i="1"/>
  <c r="BQ175" i="1"/>
  <c r="BQ183" i="1" s="1"/>
  <c r="BQ206" i="1"/>
  <c r="BQ135" i="1"/>
  <c r="BQ134" i="1"/>
  <c r="BQ133" i="1"/>
  <c r="BQ132" i="1"/>
  <c r="BQ141" i="1" s="1"/>
  <c r="BQ131" i="1"/>
  <c r="BQ130" i="1"/>
  <c r="BQ129" i="1"/>
  <c r="BQ50" i="1"/>
  <c r="BQ73" i="1"/>
  <c r="U116" i="1"/>
  <c r="U101" i="1"/>
  <c r="U102" i="1" s="1"/>
  <c r="U85" i="1" s="1"/>
  <c r="Y116" i="1"/>
  <c r="Y101" i="1"/>
  <c r="Y84" i="1" s="1"/>
  <c r="AC116" i="1"/>
  <c r="AC101" i="1"/>
  <c r="AC84" i="1" s="1"/>
  <c r="AG116" i="1"/>
  <c r="AG101" i="1"/>
  <c r="AG84" i="1" s="1"/>
  <c r="AK116" i="1"/>
  <c r="AK101" i="1"/>
  <c r="AK84" i="1" s="1"/>
  <c r="AO116" i="1"/>
  <c r="AS116" i="1"/>
  <c r="AW116" i="1"/>
  <c r="BA116" i="1"/>
  <c r="BE116" i="1"/>
  <c r="BQ116" i="1"/>
  <c r="U53" i="1"/>
  <c r="U46" i="1"/>
  <c r="Y53" i="1"/>
  <c r="Y46" i="1"/>
  <c r="AC53" i="1"/>
  <c r="AC46" i="1"/>
  <c r="AG53" i="1"/>
  <c r="AG46" i="1"/>
  <c r="AK53" i="1"/>
  <c r="AK46" i="1"/>
  <c r="AO53" i="1"/>
  <c r="AO46" i="1"/>
  <c r="AS53" i="1"/>
  <c r="AS46" i="1"/>
  <c r="AW53" i="1"/>
  <c r="AW46" i="1"/>
  <c r="BA53" i="1"/>
  <c r="BA46" i="1"/>
  <c r="BE53" i="1"/>
  <c r="BE46" i="1"/>
  <c r="BI53" i="1"/>
  <c r="BM53" i="1"/>
  <c r="BM46" i="1"/>
  <c r="BQ53" i="1"/>
  <c r="BQ46" i="1"/>
  <c r="U354" i="1"/>
  <c r="U353" i="1"/>
  <c r="AC18" i="1"/>
  <c r="AG18" i="1"/>
  <c r="AK18" i="1"/>
  <c r="AS18" i="1"/>
  <c r="AW18" i="1"/>
  <c r="BA18" i="1"/>
  <c r="BE18" i="1"/>
  <c r="BI18" i="1"/>
  <c r="BM18" i="1"/>
  <c r="BQ18" i="1"/>
  <c r="L21" i="1"/>
  <c r="E22" i="1"/>
  <c r="M22" i="1"/>
  <c r="F23" i="1"/>
  <c r="J23" i="1"/>
  <c r="C24" i="1"/>
  <c r="G24" i="1"/>
  <c r="G210" i="1" s="1"/>
  <c r="K24" i="1"/>
  <c r="K210" i="1" s="1"/>
  <c r="I26" i="1"/>
  <c r="M26" i="1"/>
  <c r="F27" i="1"/>
  <c r="N27" i="1"/>
  <c r="C28" i="1"/>
  <c r="G28" i="1"/>
  <c r="O28" i="1"/>
  <c r="E30" i="1"/>
  <c r="I30" i="1"/>
  <c r="C32" i="1"/>
  <c r="G32" i="1"/>
  <c r="K32" i="1"/>
  <c r="U344" i="1"/>
  <c r="U345" i="1" s="1"/>
  <c r="U346" i="1" s="1"/>
  <c r="U220" i="1"/>
  <c r="U54" i="1"/>
  <c r="Y344" i="1"/>
  <c r="Y345" i="1" s="1"/>
  <c r="Y207" i="1"/>
  <c r="Y220" i="1"/>
  <c r="Y54" i="1"/>
  <c r="AC344" i="1"/>
  <c r="AC345" i="1" s="1"/>
  <c r="AC297" i="1"/>
  <c r="AF293" i="1"/>
  <c r="AC207" i="1"/>
  <c r="AC220" i="1"/>
  <c r="AC54" i="1"/>
  <c r="AG344" i="1"/>
  <c r="AG345" i="1" s="1"/>
  <c r="AG297" i="1"/>
  <c r="AJ293" i="1"/>
  <c r="AG207" i="1"/>
  <c r="AG220" i="1"/>
  <c r="AG54" i="1"/>
  <c r="AK344" i="1"/>
  <c r="AK345" i="1" s="1"/>
  <c r="AK297" i="1"/>
  <c r="AK207" i="1"/>
  <c r="AK220" i="1"/>
  <c r="AK54" i="1"/>
  <c r="AO344" i="1"/>
  <c r="AO345" i="1" s="1"/>
  <c r="AO297" i="1"/>
  <c r="AO207" i="1"/>
  <c r="AO220" i="1"/>
  <c r="AO54" i="1"/>
  <c r="AS344" i="1"/>
  <c r="AS345" i="1" s="1"/>
  <c r="AS297" i="1"/>
  <c r="AV293" i="1"/>
  <c r="AS207" i="1"/>
  <c r="AS220" i="1"/>
  <c r="AS54" i="1"/>
  <c r="AW344" i="1"/>
  <c r="AW345" i="1" s="1"/>
  <c r="AW297" i="1"/>
  <c r="AZ293" i="1"/>
  <c r="AW207" i="1"/>
  <c r="AW220" i="1"/>
  <c r="AW54" i="1"/>
  <c r="BA344" i="1"/>
  <c r="BA345" i="1" s="1"/>
  <c r="BA297" i="1"/>
  <c r="BA207" i="1"/>
  <c r="BA220" i="1"/>
  <c r="BA54" i="1"/>
  <c r="BE344" i="1"/>
  <c r="BE345" i="1" s="1"/>
  <c r="BE297" i="1"/>
  <c r="BE207" i="1"/>
  <c r="BE220" i="1"/>
  <c r="BE54" i="1"/>
  <c r="BI344" i="1"/>
  <c r="BI345" i="1" s="1"/>
  <c r="BI297" i="1"/>
  <c r="BL293" i="1"/>
  <c r="BI207" i="1"/>
  <c r="BI220" i="1"/>
  <c r="BI54" i="1"/>
  <c r="BM344" i="1"/>
  <c r="BM345" i="1" s="1"/>
  <c r="BM297" i="1"/>
  <c r="BP293" i="1"/>
  <c r="BM220" i="1"/>
  <c r="BM207" i="1"/>
  <c r="BM54" i="1"/>
  <c r="BQ344" i="1"/>
  <c r="BQ345" i="1" s="1"/>
  <c r="BQ297" i="1"/>
  <c r="BQ220" i="1"/>
  <c r="BQ207" i="1"/>
  <c r="BQ54" i="1"/>
  <c r="AS29" i="1"/>
  <c r="AW29" i="1"/>
  <c r="BA29" i="1"/>
  <c r="BE29" i="1"/>
  <c r="BI29" i="1"/>
  <c r="Y31" i="1"/>
  <c r="AC31" i="1"/>
  <c r="AG31" i="1"/>
  <c r="AK31" i="1"/>
  <c r="AO31" i="1"/>
  <c r="L38" i="1"/>
  <c r="U41" i="1"/>
  <c r="AC41" i="1"/>
  <c r="AK41" i="1"/>
  <c r="AS41" i="1"/>
  <c r="BA41" i="1"/>
  <c r="BI41" i="1"/>
  <c r="BQ41" i="1"/>
  <c r="X44" i="1"/>
  <c r="Y45" i="1"/>
  <c r="AG45" i="1"/>
  <c r="AW45" i="1"/>
  <c r="AW96" i="1" s="1"/>
  <c r="BE45" i="1"/>
  <c r="BE96" i="1" s="1"/>
  <c r="BM45" i="1"/>
  <c r="BM96" i="1" s="1"/>
  <c r="U47" i="1"/>
  <c r="AC47" i="1"/>
  <c r="AK47" i="1"/>
  <c r="AS47" i="1"/>
  <c r="BA47" i="1"/>
  <c r="BI47" i="1"/>
  <c r="BQ47" i="1"/>
  <c r="AB50" i="1"/>
  <c r="AJ50" i="1"/>
  <c r="AR50" i="1"/>
  <c r="AZ50" i="1"/>
  <c r="BH50" i="1"/>
  <c r="BP50" i="1"/>
  <c r="U51" i="1"/>
  <c r="V52" i="1"/>
  <c r="BB52" i="1"/>
  <c r="W53" i="1"/>
  <c r="I367" i="1"/>
  <c r="I368" i="1"/>
  <c r="I369" i="1"/>
  <c r="I366" i="1"/>
  <c r="I365" i="1"/>
  <c r="I278" i="1"/>
  <c r="I274" i="1"/>
  <c r="I362" i="1" s="1"/>
  <c r="I270" i="1"/>
  <c r="I277" i="1"/>
  <c r="I273" i="1"/>
  <c r="I276" i="1"/>
  <c r="I265" i="1"/>
  <c r="I257" i="1"/>
  <c r="I279" i="1"/>
  <c r="I271" i="1"/>
  <c r="I266" i="1"/>
  <c r="I275" i="1"/>
  <c r="I264" i="1"/>
  <c r="I260" i="1"/>
  <c r="I256" i="1"/>
  <c r="I258" i="1"/>
  <c r="I259" i="1"/>
  <c r="N368" i="1"/>
  <c r="N366" i="1"/>
  <c r="N279" i="1"/>
  <c r="N275" i="1"/>
  <c r="N271" i="1"/>
  <c r="N278" i="1"/>
  <c r="N274" i="1"/>
  <c r="N362" i="1" s="1"/>
  <c r="N270" i="1"/>
  <c r="N273" i="1"/>
  <c r="N266" i="1"/>
  <c r="N258" i="1"/>
  <c r="N276" i="1"/>
  <c r="N277" i="1"/>
  <c r="N264" i="1"/>
  <c r="N265" i="1"/>
  <c r="N257" i="1"/>
  <c r="N260" i="1"/>
  <c r="N256" i="1"/>
  <c r="G10" i="1"/>
  <c r="D11" i="1"/>
  <c r="AD317" i="1"/>
  <c r="AD311" i="1"/>
  <c r="AD303" i="1"/>
  <c r="AD304" i="1" s="1"/>
  <c r="AD206" i="1"/>
  <c r="AD175" i="1"/>
  <c r="AD183" i="1" s="1"/>
  <c r="AD151" i="1"/>
  <c r="AD159" i="1" s="1"/>
  <c r="AD219" i="1"/>
  <c r="AD135" i="1"/>
  <c r="AD144" i="1" s="1"/>
  <c r="AD134" i="1"/>
  <c r="AD133" i="1"/>
  <c r="AD142" i="1" s="1"/>
  <c r="AD132" i="1"/>
  <c r="AD131" i="1"/>
  <c r="AD140" i="1" s="1"/>
  <c r="AD130" i="1"/>
  <c r="AD129" i="1"/>
  <c r="AD73" i="1"/>
  <c r="AD50" i="1"/>
  <c r="AT303" i="1"/>
  <c r="AT304" i="1" s="1"/>
  <c r="AT206" i="1"/>
  <c r="AT175" i="1"/>
  <c r="AT183" i="1" s="1"/>
  <c r="AT151" i="1"/>
  <c r="AT159" i="1" s="1"/>
  <c r="AT219" i="1"/>
  <c r="AT135" i="1"/>
  <c r="AT144" i="1" s="1"/>
  <c r="AT134" i="1"/>
  <c r="AT133" i="1"/>
  <c r="AT142" i="1" s="1"/>
  <c r="AT132" i="1"/>
  <c r="AT131" i="1"/>
  <c r="AT140" i="1" s="1"/>
  <c r="AT130" i="1"/>
  <c r="AT129" i="1"/>
  <c r="AT73" i="1"/>
  <c r="AT50" i="1"/>
  <c r="BF303" i="1"/>
  <c r="BF304" i="1" s="1"/>
  <c r="BF206" i="1"/>
  <c r="BF219" i="1"/>
  <c r="BF175" i="1"/>
  <c r="BF183" i="1" s="1"/>
  <c r="BF151" i="1"/>
  <c r="BF159" i="1" s="1"/>
  <c r="BF135" i="1"/>
  <c r="BF144" i="1" s="1"/>
  <c r="BF134" i="1"/>
  <c r="BF133" i="1"/>
  <c r="BF142" i="1" s="1"/>
  <c r="BF132" i="1"/>
  <c r="BF131" i="1"/>
  <c r="BF140" i="1" s="1"/>
  <c r="BF130" i="1"/>
  <c r="BF129" i="1"/>
  <c r="BF73" i="1"/>
  <c r="BF50" i="1"/>
  <c r="BR303" i="1"/>
  <c r="BR304" i="1" s="1"/>
  <c r="BR206" i="1"/>
  <c r="BR219" i="1"/>
  <c r="BR135" i="1"/>
  <c r="BR144" i="1" s="1"/>
  <c r="BR134" i="1"/>
  <c r="BR133" i="1"/>
  <c r="BR142" i="1" s="1"/>
  <c r="BR132" i="1"/>
  <c r="BR131" i="1"/>
  <c r="BR140" i="1" s="1"/>
  <c r="BR130" i="1"/>
  <c r="BR129" i="1"/>
  <c r="BR73" i="1"/>
  <c r="BR50" i="1"/>
  <c r="K17" i="1"/>
  <c r="K100" i="1" s="1"/>
  <c r="Z101" i="1"/>
  <c r="Z84" i="1" s="1"/>
  <c r="AC292" i="1"/>
  <c r="Z296" i="1"/>
  <c r="Z295" i="1"/>
  <c r="Z51" i="1"/>
  <c r="Z44" i="1"/>
  <c r="I21" i="1"/>
  <c r="M21" i="1"/>
  <c r="F22" i="1"/>
  <c r="N22" i="1"/>
  <c r="C23" i="1"/>
  <c r="G23" i="1"/>
  <c r="D24" i="1"/>
  <c r="H24" i="1"/>
  <c r="H210" i="1" s="1"/>
  <c r="L24" i="1"/>
  <c r="L210" i="1" s="1"/>
  <c r="J26" i="1"/>
  <c r="N26" i="1"/>
  <c r="C27" i="1"/>
  <c r="K27" i="1"/>
  <c r="D28" i="1"/>
  <c r="H28" i="1"/>
  <c r="P28" i="1"/>
  <c r="F30" i="1"/>
  <c r="J30" i="1"/>
  <c r="D32" i="1"/>
  <c r="H32" i="1"/>
  <c r="L32" i="1"/>
  <c r="V344" i="1"/>
  <c r="V345" i="1" s="1"/>
  <c r="V346" i="1" s="1"/>
  <c r="V220" i="1"/>
  <c r="V47" i="1"/>
  <c r="V54" i="1"/>
  <c r="Z344" i="1"/>
  <c r="Z345" i="1" s="1"/>
  <c r="Z297" i="1"/>
  <c r="Z220" i="1"/>
  <c r="Z207" i="1"/>
  <c r="Z47" i="1"/>
  <c r="Z54" i="1"/>
  <c r="AD344" i="1"/>
  <c r="AD345" i="1" s="1"/>
  <c r="AD297" i="1"/>
  <c r="AD220" i="1"/>
  <c r="AD207" i="1"/>
  <c r="AD47" i="1"/>
  <c r="AD54" i="1"/>
  <c r="AH344" i="1"/>
  <c r="AH345" i="1" s="1"/>
  <c r="AH297" i="1"/>
  <c r="AH220" i="1"/>
  <c r="AH207" i="1"/>
  <c r="AH47" i="1"/>
  <c r="AH54" i="1"/>
  <c r="AL344" i="1"/>
  <c r="AL345" i="1" s="1"/>
  <c r="AL297" i="1"/>
  <c r="AL220" i="1"/>
  <c r="AL207" i="1"/>
  <c r="AL47" i="1"/>
  <c r="AL54" i="1"/>
  <c r="AP344" i="1"/>
  <c r="AP345" i="1" s="1"/>
  <c r="AP297" i="1"/>
  <c r="AP220" i="1"/>
  <c r="AP207" i="1"/>
  <c r="AP47" i="1"/>
  <c r="AP54" i="1"/>
  <c r="AT344" i="1"/>
  <c r="AT345" i="1" s="1"/>
  <c r="AT297" i="1"/>
  <c r="AT220" i="1"/>
  <c r="AT207" i="1"/>
  <c r="AT47" i="1"/>
  <c r="AT54" i="1"/>
  <c r="AX344" i="1"/>
  <c r="AX345" i="1" s="1"/>
  <c r="AX297" i="1"/>
  <c r="AX220" i="1"/>
  <c r="AX207" i="1"/>
  <c r="AX47" i="1"/>
  <c r="AX54" i="1"/>
  <c r="BB344" i="1"/>
  <c r="BB345" i="1" s="1"/>
  <c r="BB297" i="1"/>
  <c r="BB220" i="1"/>
  <c r="BB207" i="1"/>
  <c r="BB47" i="1"/>
  <c r="BB54" i="1"/>
  <c r="BF344" i="1"/>
  <c r="BF345" i="1" s="1"/>
  <c r="BF297" i="1"/>
  <c r="BF220" i="1"/>
  <c r="BF207" i="1"/>
  <c r="BF47" i="1"/>
  <c r="BF54" i="1"/>
  <c r="BJ344" i="1"/>
  <c r="BJ345" i="1" s="1"/>
  <c r="BJ297" i="1"/>
  <c r="BJ220" i="1"/>
  <c r="BJ207" i="1"/>
  <c r="BJ47" i="1"/>
  <c r="BJ54" i="1"/>
  <c r="BN344" i="1"/>
  <c r="BN345" i="1" s="1"/>
  <c r="BN297" i="1"/>
  <c r="BN220" i="1"/>
  <c r="BN207" i="1"/>
  <c r="BN47" i="1"/>
  <c r="BN54" i="1"/>
  <c r="BR344" i="1"/>
  <c r="BR345" i="1" s="1"/>
  <c r="BR297" i="1"/>
  <c r="BR207" i="1"/>
  <c r="BR220" i="1"/>
  <c r="BR47" i="1"/>
  <c r="BR54" i="1"/>
  <c r="AT29" i="1"/>
  <c r="AT31" i="1" s="1"/>
  <c r="AX29" i="1"/>
  <c r="BB29" i="1"/>
  <c r="BF29" i="1"/>
  <c r="BJ29" i="1"/>
  <c r="BO31" i="1"/>
  <c r="C38" i="1"/>
  <c r="H38" i="1"/>
  <c r="AD41" i="1"/>
  <c r="AL41" i="1"/>
  <c r="AT41" i="1"/>
  <c r="BJ41" i="1"/>
  <c r="BR41" i="1"/>
  <c r="Y44" i="1"/>
  <c r="Z45" i="1"/>
  <c r="BF45" i="1"/>
  <c r="BF96" i="1" s="1"/>
  <c r="X47" i="1"/>
  <c r="AF47" i="1"/>
  <c r="AN47" i="1"/>
  <c r="AV47" i="1"/>
  <c r="BD47" i="1"/>
  <c r="BS50" i="1"/>
  <c r="Y52" i="1"/>
  <c r="AG52" i="1"/>
  <c r="AW52" i="1"/>
  <c r="BE52" i="1"/>
  <c r="BM52" i="1"/>
  <c r="Z53" i="1"/>
  <c r="BN53" i="1"/>
  <c r="U315" i="1"/>
  <c r="U316" i="1" s="1"/>
  <c r="V59" i="1"/>
  <c r="M366" i="1"/>
  <c r="M368" i="1"/>
  <c r="M278" i="1"/>
  <c r="M274" i="1"/>
  <c r="M362" i="1" s="1"/>
  <c r="M270" i="1"/>
  <c r="M277" i="1"/>
  <c r="M273" i="1"/>
  <c r="M265" i="1"/>
  <c r="M257" i="1"/>
  <c r="M275" i="1"/>
  <c r="M266" i="1"/>
  <c r="M276" i="1"/>
  <c r="M279" i="1"/>
  <c r="M271" i="1"/>
  <c r="M264" i="1"/>
  <c r="M260" i="1"/>
  <c r="M256" i="1"/>
  <c r="M259" i="1"/>
  <c r="M258" i="1"/>
  <c r="J368" i="1"/>
  <c r="J369" i="1"/>
  <c r="J367" i="1"/>
  <c r="J366" i="1"/>
  <c r="J365" i="1"/>
  <c r="J279" i="1"/>
  <c r="J275" i="1"/>
  <c r="J271" i="1"/>
  <c r="J278" i="1"/>
  <c r="J274" i="1"/>
  <c r="J362" i="1" s="1"/>
  <c r="J270" i="1"/>
  <c r="J277" i="1"/>
  <c r="J266" i="1"/>
  <c r="J258" i="1"/>
  <c r="J259" i="1"/>
  <c r="J273" i="1"/>
  <c r="J264" i="1"/>
  <c r="J276" i="1"/>
  <c r="J265" i="1"/>
  <c r="J257" i="1"/>
  <c r="J256" i="1"/>
  <c r="J260" i="1"/>
  <c r="K10" i="1"/>
  <c r="V219" i="1"/>
  <c r="V135" i="1"/>
  <c r="V144" i="1" s="1"/>
  <c r="V134" i="1"/>
  <c r="V133" i="1"/>
  <c r="V142" i="1" s="1"/>
  <c r="V132" i="1"/>
  <c r="V131" i="1"/>
  <c r="V140" i="1" s="1"/>
  <c r="V130" i="1"/>
  <c r="V129" i="1"/>
  <c r="V73" i="1"/>
  <c r="V50" i="1"/>
  <c r="AH317" i="1"/>
  <c r="AH311" i="1"/>
  <c r="AH303" i="1"/>
  <c r="AH304" i="1" s="1"/>
  <c r="AH206" i="1"/>
  <c r="AH175" i="1"/>
  <c r="AH183" i="1" s="1"/>
  <c r="AH151" i="1"/>
  <c r="AH159" i="1" s="1"/>
  <c r="AH219" i="1"/>
  <c r="AH135" i="1"/>
  <c r="AH144" i="1" s="1"/>
  <c r="AH134" i="1"/>
  <c r="AH133" i="1"/>
  <c r="AH142" i="1" s="1"/>
  <c r="AH132" i="1"/>
  <c r="AH131" i="1"/>
  <c r="AH140" i="1" s="1"/>
  <c r="AH130" i="1"/>
  <c r="AH129" i="1"/>
  <c r="AH73" i="1"/>
  <c r="AH50" i="1"/>
  <c r="AP303" i="1"/>
  <c r="AP304" i="1" s="1"/>
  <c r="AP206" i="1"/>
  <c r="AP219" i="1"/>
  <c r="AP175" i="1"/>
  <c r="AP183" i="1" s="1"/>
  <c r="AP151" i="1"/>
  <c r="AP159" i="1" s="1"/>
  <c r="AP135" i="1"/>
  <c r="AP144" i="1" s="1"/>
  <c r="AP134" i="1"/>
  <c r="AP133" i="1"/>
  <c r="AP142" i="1" s="1"/>
  <c r="AP132" i="1"/>
  <c r="AP131" i="1"/>
  <c r="AP140" i="1" s="1"/>
  <c r="AP130" i="1"/>
  <c r="AP129" i="1"/>
  <c r="AP73" i="1"/>
  <c r="AP50" i="1"/>
  <c r="BB303" i="1"/>
  <c r="BB304" i="1" s="1"/>
  <c r="BB206" i="1"/>
  <c r="BB175" i="1"/>
  <c r="BB183" i="1" s="1"/>
  <c r="BB151" i="1"/>
  <c r="BB159" i="1" s="1"/>
  <c r="BB219" i="1"/>
  <c r="BB135" i="1"/>
  <c r="BB134" i="1"/>
  <c r="BB133" i="1"/>
  <c r="BB142" i="1" s="1"/>
  <c r="BB132" i="1"/>
  <c r="BB141" i="1" s="1"/>
  <c r="BB131" i="1"/>
  <c r="BB130" i="1"/>
  <c r="BB129" i="1"/>
  <c r="BB73" i="1"/>
  <c r="BB50" i="1"/>
  <c r="BN303" i="1"/>
  <c r="BN304" i="1" s="1"/>
  <c r="BN206" i="1"/>
  <c r="BN219" i="1"/>
  <c r="BN135" i="1"/>
  <c r="BN144" i="1" s="1"/>
  <c r="BN133" i="1"/>
  <c r="BN132" i="1"/>
  <c r="BN141" i="1" s="1"/>
  <c r="BN131" i="1"/>
  <c r="BN130" i="1"/>
  <c r="BN139" i="1" s="1"/>
  <c r="BN129" i="1"/>
  <c r="BN73" i="1"/>
  <c r="BN50" i="1"/>
  <c r="C17" i="1"/>
  <c r="C100" i="1" s="1"/>
  <c r="K365" i="1"/>
  <c r="K368" i="1"/>
  <c r="K367" i="1"/>
  <c r="K366" i="1"/>
  <c r="K276" i="1"/>
  <c r="K279" i="1"/>
  <c r="K275" i="1"/>
  <c r="K271" i="1"/>
  <c r="K278" i="1"/>
  <c r="K270" i="1"/>
  <c r="K259" i="1"/>
  <c r="K273" i="1"/>
  <c r="K264" i="1"/>
  <c r="K260" i="1"/>
  <c r="K274" i="1"/>
  <c r="K362" i="1" s="1"/>
  <c r="K265" i="1"/>
  <c r="K277" i="1"/>
  <c r="K266" i="1"/>
  <c r="K258" i="1"/>
  <c r="K257" i="1"/>
  <c r="K256" i="1"/>
  <c r="O380" i="1"/>
  <c r="K380" i="1"/>
  <c r="M380" i="1"/>
  <c r="L380" i="1"/>
  <c r="N380" i="1"/>
  <c r="E372" i="1"/>
  <c r="F372" i="1"/>
  <c r="J380" i="1"/>
  <c r="D372" i="1"/>
  <c r="C372" i="1"/>
  <c r="K327" i="1"/>
  <c r="N326" i="1"/>
  <c r="J326" i="1"/>
  <c r="L327" i="1"/>
  <c r="K326" i="1"/>
  <c r="G326" i="1"/>
  <c r="N327" i="1"/>
  <c r="M326" i="1"/>
  <c r="M327" i="1"/>
  <c r="L326" i="1"/>
  <c r="J327" i="1"/>
  <c r="I326" i="1"/>
  <c r="I327" i="1"/>
  <c r="H326" i="1"/>
  <c r="L250" i="1"/>
  <c r="H250" i="1"/>
  <c r="D250" i="1"/>
  <c r="O249" i="1"/>
  <c r="K249" i="1"/>
  <c r="G249" i="1"/>
  <c r="C249" i="1"/>
  <c r="N248" i="1"/>
  <c r="J248" i="1"/>
  <c r="F248" i="1"/>
  <c r="M247" i="1"/>
  <c r="M379" i="1" s="1"/>
  <c r="E247" i="1"/>
  <c r="E379" i="1" s="1"/>
  <c r="L246" i="1"/>
  <c r="H246" i="1"/>
  <c r="D246" i="1"/>
  <c r="O245" i="1"/>
  <c r="K245" i="1"/>
  <c r="C245" i="1"/>
  <c r="N244" i="1"/>
  <c r="J244" i="1"/>
  <c r="F244" i="1"/>
  <c r="D242" i="1"/>
  <c r="F240" i="1"/>
  <c r="M239" i="1"/>
  <c r="I239" i="1"/>
  <c r="E239" i="1"/>
  <c r="L238" i="1"/>
  <c r="H238" i="1"/>
  <c r="D238" i="1"/>
  <c r="K237" i="1"/>
  <c r="G237" i="1"/>
  <c r="C237" i="1"/>
  <c r="N236" i="1"/>
  <c r="J236" i="1"/>
  <c r="F236" i="1"/>
  <c r="M235" i="1"/>
  <c r="E235" i="1"/>
  <c r="L234" i="1"/>
  <c r="H234" i="1"/>
  <c r="D234" i="1"/>
  <c r="K233" i="1"/>
  <c r="G233" i="1"/>
  <c r="C233" i="1"/>
  <c r="N232" i="1"/>
  <c r="J232" i="1"/>
  <c r="F232" i="1"/>
  <c r="I209" i="1"/>
  <c r="E209" i="1"/>
  <c r="K250" i="1"/>
  <c r="G250" i="1"/>
  <c r="C250" i="1"/>
  <c r="N249" i="1"/>
  <c r="J249" i="1"/>
  <c r="F249" i="1"/>
  <c r="M248" i="1"/>
  <c r="I248" i="1"/>
  <c r="E248" i="1"/>
  <c r="L247" i="1"/>
  <c r="L379" i="1" s="1"/>
  <c r="D247" i="1"/>
  <c r="D379" i="1" s="1"/>
  <c r="K246" i="1"/>
  <c r="G246" i="1"/>
  <c r="C246" i="1"/>
  <c r="F245" i="1"/>
  <c r="M244" i="1"/>
  <c r="I244" i="1"/>
  <c r="E244" i="1"/>
  <c r="G242" i="1"/>
  <c r="C242" i="1"/>
  <c r="I240" i="1"/>
  <c r="E240" i="1"/>
  <c r="L239" i="1"/>
  <c r="H239" i="1"/>
  <c r="D239" i="1"/>
  <c r="K238" i="1"/>
  <c r="G238" i="1"/>
  <c r="C238" i="1"/>
  <c r="N237" i="1"/>
  <c r="J237" i="1"/>
  <c r="F237" i="1"/>
  <c r="M236" i="1"/>
  <c r="I236" i="1"/>
  <c r="E236" i="1"/>
  <c r="L235" i="1"/>
  <c r="H235" i="1"/>
  <c r="D235" i="1"/>
  <c r="K234" i="1"/>
  <c r="G234" i="1"/>
  <c r="C234" i="1"/>
  <c r="N233" i="1"/>
  <c r="J233" i="1"/>
  <c r="F233" i="1"/>
  <c r="M232" i="1"/>
  <c r="I232" i="1"/>
  <c r="E232" i="1"/>
  <c r="N250" i="1"/>
  <c r="J250" i="1"/>
  <c r="F250" i="1"/>
  <c r="M249" i="1"/>
  <c r="I249" i="1"/>
  <c r="E249" i="1"/>
  <c r="L248" i="1"/>
  <c r="H248" i="1"/>
  <c r="D248" i="1"/>
  <c r="C247" i="1"/>
  <c r="C379" i="1" s="1"/>
  <c r="N246" i="1"/>
  <c r="J246" i="1"/>
  <c r="F246" i="1"/>
  <c r="E245" i="1"/>
  <c r="L244" i="1"/>
  <c r="H244" i="1"/>
  <c r="D244" i="1"/>
  <c r="F242" i="1"/>
  <c r="H240" i="1"/>
  <c r="D240" i="1"/>
  <c r="K239" i="1"/>
  <c r="G239" i="1"/>
  <c r="C239" i="1"/>
  <c r="N238" i="1"/>
  <c r="J238" i="1"/>
  <c r="F238" i="1"/>
  <c r="M237" i="1"/>
  <c r="I237" i="1"/>
  <c r="E237" i="1"/>
  <c r="L236" i="1"/>
  <c r="H236" i="1"/>
  <c r="D236" i="1"/>
  <c r="O235" i="1"/>
  <c r="K235" i="1"/>
  <c r="G235" i="1"/>
  <c r="C235" i="1"/>
  <c r="N234" i="1"/>
  <c r="J234" i="1"/>
  <c r="F234" i="1"/>
  <c r="M233" i="1"/>
  <c r="I233" i="1"/>
  <c r="E233" i="1"/>
  <c r="L232" i="1"/>
  <c r="H232" i="1"/>
  <c r="D232" i="1"/>
  <c r="M250" i="1"/>
  <c r="I250" i="1"/>
  <c r="E250" i="1"/>
  <c r="L249" i="1"/>
  <c r="H249" i="1"/>
  <c r="D249" i="1"/>
  <c r="O248" i="1"/>
  <c r="K248" i="1"/>
  <c r="G248" i="1"/>
  <c r="C248" i="1"/>
  <c r="F247" i="1"/>
  <c r="F379" i="1" s="1"/>
  <c r="M246" i="1"/>
  <c r="E246" i="1"/>
  <c r="L245" i="1"/>
  <c r="D245" i="1"/>
  <c r="O244" i="1"/>
  <c r="G244" i="1"/>
  <c r="C244" i="1"/>
  <c r="M242" i="1"/>
  <c r="I242" i="1"/>
  <c r="E242" i="1"/>
  <c r="G240" i="1"/>
  <c r="C240" i="1"/>
  <c r="N239" i="1"/>
  <c r="J239" i="1"/>
  <c r="F239" i="1"/>
  <c r="I238" i="1"/>
  <c r="E238" i="1"/>
  <c r="L237" i="1"/>
  <c r="H237" i="1"/>
  <c r="D237" i="1"/>
  <c r="O236" i="1"/>
  <c r="K236" i="1"/>
  <c r="G236" i="1"/>
  <c r="C236" i="1"/>
  <c r="N235" i="1"/>
  <c r="J235" i="1"/>
  <c r="F235" i="1"/>
  <c r="M234" i="1"/>
  <c r="I234" i="1"/>
  <c r="E234" i="1"/>
  <c r="L233" i="1"/>
  <c r="H233" i="1"/>
  <c r="D233" i="1"/>
  <c r="K232" i="1"/>
  <c r="G232" i="1"/>
  <c r="C232" i="1"/>
  <c r="N209" i="1"/>
  <c r="J209" i="1"/>
  <c r="F209" i="1"/>
  <c r="K197" i="1"/>
  <c r="K203" i="1" s="1"/>
  <c r="G197" i="1"/>
  <c r="G203" i="1" s="1"/>
  <c r="I196" i="1"/>
  <c r="I202" i="1" s="1"/>
  <c r="E196" i="1"/>
  <c r="E202" i="1" s="1"/>
  <c r="H209" i="1"/>
  <c r="D209" i="1"/>
  <c r="J198" i="1"/>
  <c r="M197" i="1"/>
  <c r="M203" i="1" s="1"/>
  <c r="K196" i="1"/>
  <c r="K202" i="1" s="1"/>
  <c r="F196" i="1"/>
  <c r="F202" i="1" s="1"/>
  <c r="M178" i="1"/>
  <c r="I178" i="1"/>
  <c r="E178" i="1"/>
  <c r="N172" i="1"/>
  <c r="J172" i="1"/>
  <c r="F172" i="1"/>
  <c r="M154" i="1"/>
  <c r="I154" i="1"/>
  <c r="E154" i="1"/>
  <c r="G153" i="1"/>
  <c r="G169" i="1" s="1"/>
  <c r="K151" i="1"/>
  <c r="M148" i="1"/>
  <c r="I148" i="1"/>
  <c r="G209" i="1"/>
  <c r="C209" i="1"/>
  <c r="F197" i="1"/>
  <c r="F203" i="1" s="1"/>
  <c r="J196" i="1"/>
  <c r="D196" i="1"/>
  <c r="D202" i="1" s="1"/>
  <c r="L178" i="1"/>
  <c r="H178" i="1"/>
  <c r="D178" i="1"/>
  <c r="C173" i="1"/>
  <c r="G175" i="1"/>
  <c r="M172" i="1"/>
  <c r="I172" i="1"/>
  <c r="E172" i="1"/>
  <c r="L209" i="1"/>
  <c r="E197" i="1"/>
  <c r="E203" i="1" s="1"/>
  <c r="N196" i="1"/>
  <c r="H196" i="1"/>
  <c r="H202" i="1" s="1"/>
  <c r="C196" i="1"/>
  <c r="C202" i="1" s="1"/>
  <c r="K178" i="1"/>
  <c r="G178" i="1"/>
  <c r="C178" i="1"/>
  <c r="C192" i="1" s="1"/>
  <c r="C176" i="1"/>
  <c r="C172" i="1"/>
  <c r="N177" i="1"/>
  <c r="N193" i="1" s="1"/>
  <c r="L172" i="1"/>
  <c r="H172" i="1"/>
  <c r="D172" i="1"/>
  <c r="K209" i="1"/>
  <c r="F198" i="1"/>
  <c r="I197" i="1"/>
  <c r="I203" i="1" s="1"/>
  <c r="L196" i="1"/>
  <c r="G196" i="1"/>
  <c r="G202" i="1" s="1"/>
  <c r="J187" i="1"/>
  <c r="F187" i="1"/>
  <c r="N178" i="1"/>
  <c r="J178" i="1"/>
  <c r="F178" i="1"/>
  <c r="C175" i="1"/>
  <c r="I175" i="1"/>
  <c r="K172" i="1"/>
  <c r="G172" i="1"/>
  <c r="N154" i="1"/>
  <c r="J154" i="1"/>
  <c r="F154" i="1"/>
  <c r="C151" i="1"/>
  <c r="N148" i="1"/>
  <c r="J148" i="1"/>
  <c r="F148" i="1"/>
  <c r="L154" i="1"/>
  <c r="D154" i="1"/>
  <c r="C149" i="1"/>
  <c r="I151" i="1"/>
  <c r="K148" i="1"/>
  <c r="D148" i="1"/>
  <c r="K112" i="1"/>
  <c r="N111" i="1"/>
  <c r="F111" i="1"/>
  <c r="M110" i="1"/>
  <c r="E110" i="1"/>
  <c r="K163" i="1"/>
  <c r="K154" i="1"/>
  <c r="C154" i="1"/>
  <c r="C148" i="1"/>
  <c r="J153" i="1"/>
  <c r="J169" i="1" s="1"/>
  <c r="H148" i="1"/>
  <c r="H154" i="1"/>
  <c r="G148" i="1"/>
  <c r="I112" i="1"/>
  <c r="G163" i="1"/>
  <c r="G167" i="1" s="1"/>
  <c r="G154" i="1"/>
  <c r="C152" i="1"/>
  <c r="N153" i="1"/>
  <c r="N169" i="1" s="1"/>
  <c r="L148" i="1"/>
  <c r="E148" i="1"/>
  <c r="G111" i="1"/>
  <c r="C111" i="1"/>
  <c r="N110" i="1"/>
  <c r="F110" i="1"/>
  <c r="O110" i="1"/>
  <c r="G110" i="1"/>
  <c r="E76" i="1"/>
  <c r="F75" i="1"/>
  <c r="H76" i="1"/>
  <c r="N75" i="1"/>
  <c r="J75" i="1"/>
  <c r="N73" i="1"/>
  <c r="C60" i="1"/>
  <c r="N59" i="1"/>
  <c r="J59" i="1"/>
  <c r="F59" i="1"/>
  <c r="E111" i="1"/>
  <c r="L110" i="1"/>
  <c r="D110" i="1"/>
  <c r="D76" i="1"/>
  <c r="E75" i="1"/>
  <c r="K76" i="1"/>
  <c r="M75" i="1"/>
  <c r="I75" i="1"/>
  <c r="I73" i="1"/>
  <c r="E73" i="1"/>
  <c r="C59" i="1"/>
  <c r="C25" i="1" s="1"/>
  <c r="K62" i="1"/>
  <c r="M59" i="1"/>
  <c r="I59" i="1"/>
  <c r="E59" i="1"/>
  <c r="M111" i="1"/>
  <c r="D111" i="1"/>
  <c r="C110" i="1"/>
  <c r="G76" i="1"/>
  <c r="C76" i="1"/>
  <c r="D75" i="1"/>
  <c r="N76" i="1"/>
  <c r="N79" i="1" s="1"/>
  <c r="J76" i="1"/>
  <c r="L75" i="1"/>
  <c r="H75" i="1"/>
  <c r="C62" i="1"/>
  <c r="N60" i="1"/>
  <c r="L59" i="1"/>
  <c r="H59" i="1"/>
  <c r="D59" i="1"/>
  <c r="J112" i="1"/>
  <c r="F76" i="1"/>
  <c r="G75" i="1"/>
  <c r="C75" i="1"/>
  <c r="I76" i="1"/>
  <c r="K75" i="1"/>
  <c r="K73" i="1"/>
  <c r="G73" i="1"/>
  <c r="C73" i="1"/>
  <c r="C61" i="1"/>
  <c r="K59" i="1"/>
  <c r="G62" i="1"/>
  <c r="G60" i="1"/>
  <c r="G59" i="1"/>
  <c r="N38" i="1"/>
  <c r="J38" i="1"/>
  <c r="F38" i="1"/>
  <c r="D10" i="1"/>
  <c r="L10" i="1"/>
  <c r="I11" i="1"/>
  <c r="AS89" i="1"/>
  <c r="AT55" i="1"/>
  <c r="AS42" i="1"/>
  <c r="W348" i="1"/>
  <c r="W317" i="1"/>
  <c r="W219" i="1"/>
  <c r="W206" i="1"/>
  <c r="W135" i="1"/>
  <c r="W134" i="1"/>
  <c r="W143" i="1" s="1"/>
  <c r="W133" i="1"/>
  <c r="W142" i="1" s="1"/>
  <c r="W132" i="1"/>
  <c r="W141" i="1" s="1"/>
  <c r="W131" i="1"/>
  <c r="W130" i="1"/>
  <c r="W139" i="1" s="1"/>
  <c r="W129" i="1"/>
  <c r="W41" i="1"/>
  <c r="W73" i="1"/>
  <c r="AE303" i="1"/>
  <c r="AE304" i="1" s="1"/>
  <c r="AE311" i="1"/>
  <c r="AE317" i="1"/>
  <c r="AE219" i="1"/>
  <c r="AE206" i="1"/>
  <c r="AE175" i="1"/>
  <c r="AE183" i="1" s="1"/>
  <c r="AE151" i="1"/>
  <c r="AE159" i="1" s="1"/>
  <c r="AE135" i="1"/>
  <c r="AE134" i="1"/>
  <c r="AE143" i="1" s="1"/>
  <c r="AE133" i="1"/>
  <c r="AE142" i="1" s="1"/>
  <c r="AE132" i="1"/>
  <c r="AE141" i="1" s="1"/>
  <c r="AE131" i="1"/>
  <c r="AE130" i="1"/>
  <c r="AE139" i="1" s="1"/>
  <c r="AE129" i="1"/>
  <c r="AE41" i="1"/>
  <c r="AE73" i="1"/>
  <c r="D73" i="1" s="1"/>
  <c r="AM317" i="1"/>
  <c r="AM311" i="1"/>
  <c r="AM303" i="1"/>
  <c r="AM304" i="1" s="1"/>
  <c r="AM219" i="1"/>
  <c r="AM206" i="1"/>
  <c r="AM175" i="1"/>
  <c r="AM183" i="1" s="1"/>
  <c r="AM151" i="1"/>
  <c r="F151" i="1" s="1"/>
  <c r="AM135" i="1"/>
  <c r="AM144" i="1" s="1"/>
  <c r="AM134" i="1"/>
  <c r="AM143" i="1" s="1"/>
  <c r="AM133" i="1"/>
  <c r="AM142" i="1" s="1"/>
  <c r="AM132" i="1"/>
  <c r="AM141" i="1" s="1"/>
  <c r="AM131" i="1"/>
  <c r="AM140" i="1" s="1"/>
  <c r="AM130" i="1"/>
  <c r="AM139" i="1" s="1"/>
  <c r="AM129" i="1"/>
  <c r="AM41" i="1"/>
  <c r="AM73" i="1"/>
  <c r="F73" i="1" s="1"/>
  <c r="AU303" i="1"/>
  <c r="AU304" i="1" s="1"/>
  <c r="AU219" i="1"/>
  <c r="AU206" i="1"/>
  <c r="AU175" i="1"/>
  <c r="AU183" i="1" s="1"/>
  <c r="AU151" i="1"/>
  <c r="AU159" i="1" s="1"/>
  <c r="AU135" i="1"/>
  <c r="AU144" i="1" s="1"/>
  <c r="AU134" i="1"/>
  <c r="AU143" i="1" s="1"/>
  <c r="AU133" i="1"/>
  <c r="AU132" i="1"/>
  <c r="AU141" i="1" s="1"/>
  <c r="AU131" i="1"/>
  <c r="AU140" i="1" s="1"/>
  <c r="AU130" i="1"/>
  <c r="AU139" i="1" s="1"/>
  <c r="AU129" i="1"/>
  <c r="AU41" i="1"/>
  <c r="AU73" i="1"/>
  <c r="BC303" i="1"/>
  <c r="BC304" i="1" s="1"/>
  <c r="BC219" i="1"/>
  <c r="BC206" i="1"/>
  <c r="BC175" i="1"/>
  <c r="BC183" i="1" s="1"/>
  <c r="BC151" i="1"/>
  <c r="BC159" i="1" s="1"/>
  <c r="BC135" i="1"/>
  <c r="BC134" i="1"/>
  <c r="BC143" i="1" s="1"/>
  <c r="BC133" i="1"/>
  <c r="BC142" i="1" s="1"/>
  <c r="BC132" i="1"/>
  <c r="BC141" i="1" s="1"/>
  <c r="BC131" i="1"/>
  <c r="BC130" i="1"/>
  <c r="BC139" i="1" s="1"/>
  <c r="BC129" i="1"/>
  <c r="BC41" i="1"/>
  <c r="BC73" i="1"/>
  <c r="BK303" i="1"/>
  <c r="BK304" i="1" s="1"/>
  <c r="BK219" i="1"/>
  <c r="BK206" i="1"/>
  <c r="BK175" i="1"/>
  <c r="BK183" i="1" s="1"/>
  <c r="BK151" i="1"/>
  <c r="BK159" i="1" s="1"/>
  <c r="BK135" i="1"/>
  <c r="BK144" i="1" s="1"/>
  <c r="BK133" i="1"/>
  <c r="BK142" i="1" s="1"/>
  <c r="BK132" i="1"/>
  <c r="BK141" i="1" s="1"/>
  <c r="BK131" i="1"/>
  <c r="BK140" i="1" s="1"/>
  <c r="BK130" i="1"/>
  <c r="BK139" i="1" s="1"/>
  <c r="BK129" i="1"/>
  <c r="BK41" i="1"/>
  <c r="BK73" i="1"/>
  <c r="L73" i="1" s="1"/>
  <c r="BO303" i="1"/>
  <c r="BO304" i="1" s="1"/>
  <c r="BO219" i="1"/>
  <c r="BO206" i="1"/>
  <c r="BO135" i="1"/>
  <c r="BO144" i="1" s="1"/>
  <c r="BO134" i="1"/>
  <c r="BO133" i="1"/>
  <c r="BO142" i="1" s="1"/>
  <c r="BO132" i="1"/>
  <c r="BO141" i="1" s="1"/>
  <c r="BO131" i="1"/>
  <c r="BO140" i="1" s="1"/>
  <c r="BO130" i="1"/>
  <c r="BO129" i="1"/>
  <c r="BO41" i="1"/>
  <c r="BO73" i="1"/>
  <c r="C16" i="1"/>
  <c r="P17" i="1"/>
  <c r="W101" i="1"/>
  <c r="W84" i="1" s="1"/>
  <c r="W52" i="1"/>
  <c r="W45" i="1"/>
  <c r="AA101" i="1"/>
  <c r="AA84" i="1" s="1"/>
  <c r="AA52" i="1"/>
  <c r="AA45" i="1"/>
  <c r="AQ52" i="1"/>
  <c r="AQ45" i="1"/>
  <c r="AQ96" i="1" s="1"/>
  <c r="BS116" i="1"/>
  <c r="BS52" i="1"/>
  <c r="BS45" i="1"/>
  <c r="BS96" i="1" s="1"/>
  <c r="W44" i="1"/>
  <c r="AA296" i="1"/>
  <c r="AA295" i="1"/>
  <c r="AA51" i="1"/>
  <c r="AA44" i="1"/>
  <c r="F21" i="1"/>
  <c r="J21" i="1"/>
  <c r="N21" i="1"/>
  <c r="C22" i="1"/>
  <c r="G22" i="1"/>
  <c r="K22" i="1"/>
  <c r="D23" i="1"/>
  <c r="H23" i="1"/>
  <c r="L23" i="1"/>
  <c r="E24" i="1"/>
  <c r="I24" i="1"/>
  <c r="I210" i="1" s="1"/>
  <c r="M24" i="1"/>
  <c r="M210" i="1" s="1"/>
  <c r="C26" i="1"/>
  <c r="G26" i="1"/>
  <c r="K26" i="1"/>
  <c r="D27" i="1"/>
  <c r="H27" i="1"/>
  <c r="H65" i="1" s="1"/>
  <c r="L27" i="1"/>
  <c r="E28" i="1"/>
  <c r="I28" i="1"/>
  <c r="M28" i="1"/>
  <c r="C30" i="1"/>
  <c r="G30" i="1"/>
  <c r="K30" i="1"/>
  <c r="E32" i="1"/>
  <c r="I32" i="1"/>
  <c r="M32" i="1"/>
  <c r="BL175" i="1"/>
  <c r="BL183" i="1" s="1"/>
  <c r="BL151" i="1"/>
  <c r="BL196" i="1"/>
  <c r="BL202" i="1" s="1"/>
  <c r="W344" i="1"/>
  <c r="W345" i="1" s="1"/>
  <c r="W220" i="1"/>
  <c r="W207" i="1"/>
  <c r="W47" i="1"/>
  <c r="AA344" i="1"/>
  <c r="AA345" i="1" s="1"/>
  <c r="AA297" i="1"/>
  <c r="AA220" i="1"/>
  <c r="AA207" i="1"/>
  <c r="AA47" i="1"/>
  <c r="AE344" i="1"/>
  <c r="AE345" i="1" s="1"/>
  <c r="AE297" i="1"/>
  <c r="AE207" i="1"/>
  <c r="AE220" i="1"/>
  <c r="AE47" i="1"/>
  <c r="AI344" i="1"/>
  <c r="AI345" i="1" s="1"/>
  <c r="AI297" i="1"/>
  <c r="AI220" i="1"/>
  <c r="AI207" i="1"/>
  <c r="AI47" i="1"/>
  <c r="AM344" i="1"/>
  <c r="AM345" i="1" s="1"/>
  <c r="AM297" i="1"/>
  <c r="AM220" i="1"/>
  <c r="AM207" i="1"/>
  <c r="AM47" i="1"/>
  <c r="AQ344" i="1"/>
  <c r="AQ345" i="1" s="1"/>
  <c r="AQ297" i="1"/>
  <c r="AQ220" i="1"/>
  <c r="AQ207" i="1"/>
  <c r="AQ47" i="1"/>
  <c r="AU344" i="1"/>
  <c r="AU345" i="1" s="1"/>
  <c r="AU297" i="1"/>
  <c r="AU207" i="1"/>
  <c r="AU220" i="1"/>
  <c r="AU47" i="1"/>
  <c r="AY344" i="1"/>
  <c r="AY345" i="1" s="1"/>
  <c r="AY297" i="1"/>
  <c r="AY220" i="1"/>
  <c r="AY207" i="1"/>
  <c r="AY47" i="1"/>
  <c r="BC344" i="1"/>
  <c r="BC345" i="1" s="1"/>
  <c r="BC297" i="1"/>
  <c r="BC220" i="1"/>
  <c r="BC207" i="1"/>
  <c r="BC47" i="1"/>
  <c r="BG344" i="1"/>
  <c r="BG345" i="1" s="1"/>
  <c r="BG297" i="1"/>
  <c r="BG220" i="1"/>
  <c r="BG207" i="1"/>
  <c r="BG47" i="1"/>
  <c r="BK344" i="1"/>
  <c r="BK345" i="1" s="1"/>
  <c r="BK297" i="1"/>
  <c r="BK207" i="1"/>
  <c r="BK220" i="1"/>
  <c r="BK47" i="1"/>
  <c r="BO344" i="1"/>
  <c r="BO345" i="1" s="1"/>
  <c r="BO297" i="1"/>
  <c r="BO220" i="1"/>
  <c r="BO207" i="1"/>
  <c r="BO47" i="1"/>
  <c r="BS344" i="1"/>
  <c r="BS345" i="1" s="1"/>
  <c r="BS297" i="1"/>
  <c r="BS207" i="1"/>
  <c r="BS220" i="1"/>
  <c r="BS47" i="1"/>
  <c r="Z29" i="1"/>
  <c r="AD29" i="1"/>
  <c r="AH29" i="1"/>
  <c r="AL29" i="1"/>
  <c r="AP29" i="1"/>
  <c r="AU29" i="1"/>
  <c r="AU31" i="1" s="1"/>
  <c r="AY29" i="1"/>
  <c r="BC29" i="1"/>
  <c r="BG29" i="1"/>
  <c r="BK29" i="1"/>
  <c r="BS259" i="1"/>
  <c r="N259" i="1" s="1"/>
  <c r="BS66" i="1"/>
  <c r="BP31" i="1"/>
  <c r="D38" i="1"/>
  <c r="I38" i="1"/>
  <c r="O38" i="1"/>
  <c r="BX38" i="1"/>
  <c r="Y41" i="1"/>
  <c r="AG41" i="1"/>
  <c r="AO41" i="1"/>
  <c r="AW41" i="1"/>
  <c r="BE41" i="1"/>
  <c r="BM41" i="1"/>
  <c r="U45" i="1"/>
  <c r="AC45" i="1"/>
  <c r="AK45" i="1"/>
  <c r="AS45" i="1"/>
  <c r="AS96" i="1" s="1"/>
  <c r="BA45" i="1"/>
  <c r="BA96" i="1" s="1"/>
  <c r="BI45" i="1"/>
  <c r="BI96" i="1" s="1"/>
  <c r="BQ45" i="1"/>
  <c r="BQ96" i="1" s="1"/>
  <c r="Y47" i="1"/>
  <c r="AG47" i="1"/>
  <c r="AO47" i="1"/>
  <c r="AW47" i="1"/>
  <c r="BE47" i="1"/>
  <c r="BM47" i="1"/>
  <c r="X50" i="1"/>
  <c r="AF50" i="1"/>
  <c r="AN50" i="1"/>
  <c r="AV50" i="1"/>
  <c r="BD50" i="1"/>
  <c r="BL50" i="1"/>
  <c r="Y51" i="1"/>
  <c r="Z52" i="1"/>
  <c r="AP52" i="1"/>
  <c r="BF52" i="1"/>
  <c r="AB54" i="1"/>
  <c r="AJ54" i="1"/>
  <c r="AR54" i="1"/>
  <c r="AZ54" i="1"/>
  <c r="BH54" i="1"/>
  <c r="BP54" i="1"/>
  <c r="AS55" i="1"/>
  <c r="BV63" i="1"/>
  <c r="Q64" i="1"/>
  <c r="W112" i="1"/>
  <c r="W108" i="1"/>
  <c r="W107" i="1"/>
  <c r="W106" i="1"/>
  <c r="W105" i="1"/>
  <c r="AA112" i="1"/>
  <c r="AA108" i="1"/>
  <c r="AA107" i="1"/>
  <c r="AA106" i="1"/>
  <c r="AA105" i="1"/>
  <c r="AE112" i="1"/>
  <c r="AE108" i="1"/>
  <c r="AE105" i="1"/>
  <c r="AI112" i="1"/>
  <c r="AI108" i="1"/>
  <c r="AI105" i="1"/>
  <c r="AM112" i="1"/>
  <c r="AM108" i="1"/>
  <c r="AM105" i="1"/>
  <c r="AQ112" i="1"/>
  <c r="AQ108" i="1"/>
  <c r="AQ105" i="1"/>
  <c r="AU110" i="1"/>
  <c r="AU111" i="1" s="1"/>
  <c r="AU108" i="1"/>
  <c r="AU105" i="1"/>
  <c r="AY110" i="1"/>
  <c r="AY111" i="1" s="1"/>
  <c r="AY108" i="1"/>
  <c r="AY105" i="1"/>
  <c r="BC110" i="1"/>
  <c r="BC111" i="1" s="1"/>
  <c r="BC108" i="1"/>
  <c r="BC105" i="1"/>
  <c r="BG110" i="1"/>
  <c r="BG111" i="1" s="1"/>
  <c r="BG108" i="1"/>
  <c r="BG105" i="1"/>
  <c r="BK112" i="1"/>
  <c r="BK108" i="1"/>
  <c r="BK105" i="1"/>
  <c r="V77" i="1"/>
  <c r="Z77" i="1"/>
  <c r="AD77" i="1"/>
  <c r="AH77" i="1"/>
  <c r="AL77" i="1"/>
  <c r="AP77" i="1"/>
  <c r="AT77" i="1"/>
  <c r="AX77" i="1"/>
  <c r="BB77" i="1"/>
  <c r="BF77" i="1"/>
  <c r="BJ77" i="1"/>
  <c r="BR77" i="1"/>
  <c r="AT79" i="1"/>
  <c r="AX79" i="1"/>
  <c r="BB79" i="1"/>
  <c r="BF79" i="1"/>
  <c r="BJ79" i="1"/>
  <c r="BR79" i="1"/>
  <c r="V83" i="1"/>
  <c r="Z83" i="1"/>
  <c r="AT86" i="1"/>
  <c r="BB86" i="1"/>
  <c r="BF86" i="1"/>
  <c r="AT92" i="1"/>
  <c r="AY92" i="1"/>
  <c r="BJ92" i="1"/>
  <c r="BO92" i="1"/>
  <c r="BU92" i="1"/>
  <c r="BZ92" i="1"/>
  <c r="CE92" i="1"/>
  <c r="U105" i="1"/>
  <c r="AC105" i="1"/>
  <c r="AK105" i="1"/>
  <c r="AS105" i="1"/>
  <c r="BA105" i="1"/>
  <c r="BI105" i="1"/>
  <c r="X106" i="1"/>
  <c r="X107" i="1"/>
  <c r="AF107" i="1"/>
  <c r="AN107" i="1"/>
  <c r="AV107" i="1"/>
  <c r="BD107" i="1"/>
  <c r="BL107" i="1"/>
  <c r="X108" i="1"/>
  <c r="AF108" i="1"/>
  <c r="AN108" i="1"/>
  <c r="AV108" i="1"/>
  <c r="BD108" i="1"/>
  <c r="BL108" i="1"/>
  <c r="BP108" i="1"/>
  <c r="BM134" i="1"/>
  <c r="BN125" i="1"/>
  <c r="BN134" i="1" s="1"/>
  <c r="BU224" i="1"/>
  <c r="BU225" i="1" s="1"/>
  <c r="BU242" i="1" s="1"/>
  <c r="BU112" i="1"/>
  <c r="BI223" i="1"/>
  <c r="BI224" i="1" s="1"/>
  <c r="BI226" i="1" s="1"/>
  <c r="BH223" i="1"/>
  <c r="BH224" i="1" s="1"/>
  <c r="BH111" i="1"/>
  <c r="BH76" i="1"/>
  <c r="BR108" i="1"/>
  <c r="BR107" i="1"/>
  <c r="BR105" i="1"/>
  <c r="BR112" i="1"/>
  <c r="BF92" i="1"/>
  <c r="BV92" i="1"/>
  <c r="X105" i="1"/>
  <c r="AF105" i="1"/>
  <c r="AN105" i="1"/>
  <c r="AV105" i="1"/>
  <c r="BD105" i="1"/>
  <c r="BL105" i="1"/>
  <c r="BP105" i="1"/>
  <c r="Y106" i="1"/>
  <c r="Y107" i="1"/>
  <c r="AO107" i="1"/>
  <c r="BE107" i="1"/>
  <c r="Y108" i="1"/>
  <c r="AG108" i="1"/>
  <c r="AO108" i="1"/>
  <c r="AW108" i="1"/>
  <c r="BE108" i="1"/>
  <c r="BQ108" i="1"/>
  <c r="BS134" i="1"/>
  <c r="BS143" i="1" s="1"/>
  <c r="BT373" i="1"/>
  <c r="BT315" i="1"/>
  <c r="BT263" i="1"/>
  <c r="BT232" i="1"/>
  <c r="BT208" i="1"/>
  <c r="BT60" i="1"/>
  <c r="BM76" i="1"/>
  <c r="T77" i="1"/>
  <c r="X77" i="1"/>
  <c r="AB77" i="1"/>
  <c r="AF77" i="1"/>
  <c r="AJ77" i="1"/>
  <c r="AN77" i="1"/>
  <c r="AR77" i="1"/>
  <c r="AV77" i="1"/>
  <c r="AZ77" i="1"/>
  <c r="BD77" i="1"/>
  <c r="BL77" i="1"/>
  <c r="AV79" i="1"/>
  <c r="AZ79" i="1"/>
  <c r="BD79" i="1"/>
  <c r="BL79" i="1"/>
  <c r="T83" i="1"/>
  <c r="X83" i="1"/>
  <c r="T86" i="1"/>
  <c r="X86" i="1"/>
  <c r="AB86" i="1"/>
  <c r="AF86" i="1"/>
  <c r="AJ86" i="1"/>
  <c r="AN86" i="1"/>
  <c r="AR86" i="1"/>
  <c r="AV86" i="1"/>
  <c r="AZ86" i="1"/>
  <c r="BD86" i="1"/>
  <c r="BL86" i="1"/>
  <c r="BP86" i="1"/>
  <c r="BB92" i="1"/>
  <c r="BR92" i="1"/>
  <c r="BW92" i="1"/>
  <c r="Y105" i="1"/>
  <c r="AG105" i="1"/>
  <c r="AO105" i="1"/>
  <c r="AW105" i="1"/>
  <c r="BE105" i="1"/>
  <c r="T106" i="1"/>
  <c r="T107" i="1"/>
  <c r="AB107" i="1"/>
  <c r="AJ107" i="1"/>
  <c r="AR107" i="1"/>
  <c r="AZ107" i="1"/>
  <c r="BP107" i="1"/>
  <c r="T108" i="1"/>
  <c r="AB108" i="1"/>
  <c r="AJ108" i="1"/>
  <c r="AR108" i="1"/>
  <c r="AZ108" i="1"/>
  <c r="BV125" i="1"/>
  <c r="BJ151" i="1"/>
  <c r="BJ159" i="1" s="1"/>
  <c r="AQ169" i="1"/>
  <c r="AQ152" i="1"/>
  <c r="T318" i="1"/>
  <c r="T315" i="1"/>
  <c r="T316" i="1" s="1"/>
  <c r="BV75" i="1"/>
  <c r="V108" i="1"/>
  <c r="V107" i="1"/>
  <c r="V106" i="1"/>
  <c r="V105" i="1"/>
  <c r="V112" i="1"/>
  <c r="Z108" i="1"/>
  <c r="Z107" i="1"/>
  <c r="Z106" i="1"/>
  <c r="Z105" i="1"/>
  <c r="Z112" i="1"/>
  <c r="AD108" i="1"/>
  <c r="AD105" i="1"/>
  <c r="AD112" i="1"/>
  <c r="AH108" i="1"/>
  <c r="AH105" i="1"/>
  <c r="AH112" i="1"/>
  <c r="AL108" i="1"/>
  <c r="AL105" i="1"/>
  <c r="AL112" i="1"/>
  <c r="AP108" i="1"/>
  <c r="AP105" i="1"/>
  <c r="AP112" i="1"/>
  <c r="AT108" i="1"/>
  <c r="AT105" i="1"/>
  <c r="AX108" i="1"/>
  <c r="AX105" i="1"/>
  <c r="BB108" i="1"/>
  <c r="BB105" i="1"/>
  <c r="BF108" i="1"/>
  <c r="BF105" i="1"/>
  <c r="BJ108" i="1"/>
  <c r="BJ107" i="1"/>
  <c r="BJ105" i="1"/>
  <c r="BJ112" i="1"/>
  <c r="U77" i="1"/>
  <c r="Y77" i="1"/>
  <c r="AC77" i="1"/>
  <c r="AG77" i="1"/>
  <c r="AK77" i="1"/>
  <c r="AO77" i="1"/>
  <c r="AS77" i="1"/>
  <c r="AW77" i="1"/>
  <c r="BA77" i="1"/>
  <c r="BE77" i="1"/>
  <c r="BI77" i="1"/>
  <c r="BU77" i="1"/>
  <c r="AW79" i="1"/>
  <c r="BA79" i="1"/>
  <c r="BE79" i="1"/>
  <c r="BI79" i="1"/>
  <c r="BU79" i="1"/>
  <c r="U83" i="1"/>
  <c r="Y83" i="1"/>
  <c r="U86" i="1"/>
  <c r="Y86" i="1"/>
  <c r="AC86" i="1"/>
  <c r="AG86" i="1"/>
  <c r="AK86" i="1"/>
  <c r="AO86" i="1"/>
  <c r="AS86" i="1"/>
  <c r="AW86" i="1"/>
  <c r="BA86" i="1"/>
  <c r="BE86" i="1"/>
  <c r="BI86" i="1"/>
  <c r="BI92" i="1"/>
  <c r="BY92" i="1"/>
  <c r="T105" i="1"/>
  <c r="AB105" i="1"/>
  <c r="AJ105" i="1"/>
  <c r="AR105" i="1"/>
  <c r="AZ105" i="1"/>
  <c r="U106" i="1"/>
  <c r="U107" i="1"/>
  <c r="AK107" i="1"/>
  <c r="BA107" i="1"/>
  <c r="BI107" i="1"/>
  <c r="BQ107" i="1"/>
  <c r="U108" i="1"/>
  <c r="AC108" i="1"/>
  <c r="AK108" i="1"/>
  <c r="AS108" i="1"/>
  <c r="BA108" i="1"/>
  <c r="BI108" i="1"/>
  <c r="AX110" i="1"/>
  <c r="AX111" i="1" s="1"/>
  <c r="BK134" i="1"/>
  <c r="BK143" i="1" s="1"/>
  <c r="BU126" i="1"/>
  <c r="BM160" i="1"/>
  <c r="BQ160" i="1"/>
  <c r="BS135" i="1"/>
  <c r="AB149" i="1"/>
  <c r="AB150" i="1" s="1"/>
  <c r="AJ160" i="1"/>
  <c r="AJ149" i="1"/>
  <c r="AJ150" i="1" s="1"/>
  <c r="AV160" i="1"/>
  <c r="AV149" i="1"/>
  <c r="AV150" i="1" s="1"/>
  <c r="BC152" i="1"/>
  <c r="BE149" i="1"/>
  <c r="BE150" i="1" s="1"/>
  <c r="BE160" i="1"/>
  <c r="BI149" i="1"/>
  <c r="BI150" i="1" s="1"/>
  <c r="BK153" i="1"/>
  <c r="L153" i="1" s="1"/>
  <c r="L169" i="1" s="1"/>
  <c r="BK157" i="1"/>
  <c r="AH163" i="1"/>
  <c r="AP167" i="1"/>
  <c r="AX163" i="1"/>
  <c r="BF167" i="1"/>
  <c r="BN163" i="1"/>
  <c r="BL168" i="1"/>
  <c r="AB173" i="1"/>
  <c r="AB174" i="1" s="1"/>
  <c r="AG184" i="1"/>
  <c r="AG173" i="1"/>
  <c r="AG174" i="1" s="1"/>
  <c r="AG182" i="1" s="1"/>
  <c r="AT191" i="1"/>
  <c r="AU187" i="1"/>
  <c r="BL134" i="1"/>
  <c r="BM157" i="1"/>
  <c r="BM151" i="1"/>
  <c r="BM159" i="1" s="1"/>
  <c r="BQ157" i="1"/>
  <c r="BQ151" i="1"/>
  <c r="BQ159" i="1" s="1"/>
  <c r="BD160" i="1"/>
  <c r="BD149" i="1"/>
  <c r="BD150" i="1" s="1"/>
  <c r="BF152" i="1"/>
  <c r="AD153" i="1"/>
  <c r="AD167" i="1" s="1"/>
  <c r="AC152" i="1"/>
  <c r="AC169" i="1"/>
  <c r="AL169" i="1"/>
  <c r="AL152" i="1"/>
  <c r="AT153" i="1"/>
  <c r="AS152" i="1"/>
  <c r="AS169" i="1"/>
  <c r="BB169" i="1"/>
  <c r="BB152" i="1"/>
  <c r="BN153" i="1"/>
  <c r="BM169" i="1"/>
  <c r="BG153" i="1"/>
  <c r="BG152" i="1" s="1"/>
  <c r="BL161" i="1"/>
  <c r="AQ167" i="1"/>
  <c r="BR175" i="1"/>
  <c r="BR183" i="1" s="1"/>
  <c r="BN176" i="1"/>
  <c r="BN193" i="1"/>
  <c r="BO177" i="1"/>
  <c r="AD191" i="1"/>
  <c r="AE187" i="1"/>
  <c r="BN191" i="1"/>
  <c r="BJ203" i="1"/>
  <c r="BK197" i="1"/>
  <c r="L197" i="1" s="1"/>
  <c r="L203" i="1" s="1"/>
  <c r="BJ166" i="1"/>
  <c r="BJ157" i="1"/>
  <c r="BN166" i="1"/>
  <c r="BN157" i="1"/>
  <c r="BR166" i="1"/>
  <c r="BR151" i="1"/>
  <c r="BR157" i="1"/>
  <c r="BS152" i="1"/>
  <c r="N152" i="1" s="1"/>
  <c r="BS169" i="1"/>
  <c r="AF160" i="1"/>
  <c r="AF149" i="1"/>
  <c r="AF150" i="1" s="1"/>
  <c r="AR160" i="1"/>
  <c r="AR149" i="1"/>
  <c r="AR150" i="1" s="1"/>
  <c r="AZ160" i="1"/>
  <c r="AZ149" i="1"/>
  <c r="AZ150" i="1" s="1"/>
  <c r="AG152" i="1"/>
  <c r="AG169" i="1"/>
  <c r="AW152" i="1"/>
  <c r="AW169" i="1"/>
  <c r="BG168" i="1"/>
  <c r="BM168" i="1"/>
  <c r="BM161" i="1"/>
  <c r="BQ168" i="1"/>
  <c r="BQ161" i="1"/>
  <c r="BO157" i="1"/>
  <c r="AE163" i="1"/>
  <c r="D163" i="1" s="1"/>
  <c r="AL167" i="1"/>
  <c r="AU163" i="1"/>
  <c r="BB167" i="1"/>
  <c r="BJ167" i="1"/>
  <c r="BK163" i="1"/>
  <c r="BR167" i="1"/>
  <c r="BQ166" i="1"/>
  <c r="BP168" i="1"/>
  <c r="AT193" i="1"/>
  <c r="AU177" i="1"/>
  <c r="H177" i="1" s="1"/>
  <c r="H193" i="1" s="1"/>
  <c r="AT176" i="1"/>
  <c r="BG187" i="1"/>
  <c r="AT203" i="1"/>
  <c r="AU197" i="1"/>
  <c r="BW120" i="1"/>
  <c r="BW121" i="1"/>
  <c r="BW122" i="1"/>
  <c r="BW123" i="1"/>
  <c r="BW124" i="1"/>
  <c r="AN160" i="1"/>
  <c r="AN149" i="1"/>
  <c r="AN150" i="1" s="1"/>
  <c r="BP149" i="1"/>
  <c r="BP150" i="1" s="1"/>
  <c r="BN151" i="1"/>
  <c r="BN159" i="1" s="1"/>
  <c r="AH153" i="1"/>
  <c r="AP169" i="1"/>
  <c r="AP152" i="1"/>
  <c r="AX153" i="1"/>
  <c r="BJ160" i="1"/>
  <c r="BP161" i="1"/>
  <c r="AM163" i="1"/>
  <c r="BC163" i="1"/>
  <c r="BC167" i="1" s="1"/>
  <c r="BS163" i="1"/>
  <c r="BS167" i="1" s="1"/>
  <c r="AC167" i="1"/>
  <c r="AS167" i="1"/>
  <c r="BI167" i="1"/>
  <c r="BE173" i="1"/>
  <c r="BE174" i="1" s="1"/>
  <c r="BE182" i="1" s="1"/>
  <c r="AD193" i="1"/>
  <c r="AE177" i="1"/>
  <c r="AD176" i="1"/>
  <c r="AW184" i="1"/>
  <c r="AW173" i="1"/>
  <c r="AW174" i="1" s="1"/>
  <c r="AW182" i="1" s="1"/>
  <c r="AQ187" i="1"/>
  <c r="G187" i="1" s="1"/>
  <c r="BK187" i="1"/>
  <c r="AD203" i="1"/>
  <c r="AE197" i="1"/>
  <c r="D197" i="1" s="1"/>
  <c r="D203" i="1" s="1"/>
  <c r="BS151" i="1"/>
  <c r="BS159" i="1" s="1"/>
  <c r="AK149" i="1"/>
  <c r="AK150" i="1" s="1"/>
  <c r="AO149" i="1"/>
  <c r="AO150" i="1" s="1"/>
  <c r="BA149" i="1"/>
  <c r="BA150" i="1" s="1"/>
  <c r="BJ161" i="1"/>
  <c r="BN161" i="1"/>
  <c r="BR161" i="1"/>
  <c r="BQ173" i="1"/>
  <c r="BQ174" i="1" s="1"/>
  <c r="BQ182" i="1" s="1"/>
  <c r="BS175" i="1"/>
  <c r="BS183" i="1" s="1"/>
  <c r="AK173" i="1"/>
  <c r="AK174" i="1" s="1"/>
  <c r="AK182" i="1" s="1"/>
  <c r="AO173" i="1"/>
  <c r="AO174" i="1" s="1"/>
  <c r="AO182" i="1" s="1"/>
  <c r="BA173" i="1"/>
  <c r="BA174" i="1" s="1"/>
  <c r="BA182" i="1" s="1"/>
  <c r="AH176" i="1"/>
  <c r="AL176" i="1"/>
  <c r="AX176" i="1"/>
  <c r="BB176" i="1"/>
  <c r="BF177" i="1"/>
  <c r="BM175" i="1"/>
  <c r="BM183" i="1" s="1"/>
  <c r="BL176" i="1"/>
  <c r="BP176" i="1"/>
  <c r="AP177" i="1"/>
  <c r="BJ177" i="1"/>
  <c r="BJ181" i="1"/>
  <c r="BN181" i="1"/>
  <c r="BR181" i="1"/>
  <c r="BE184" i="1"/>
  <c r="BJ190" i="1"/>
  <c r="BN190" i="1"/>
  <c r="BR190" i="1"/>
  <c r="BL192" i="1"/>
  <c r="BP192" i="1"/>
  <c r="AC193" i="1"/>
  <c r="AG193" i="1"/>
  <c r="AS193" i="1"/>
  <c r="AW193" i="1"/>
  <c r="BE193" i="1"/>
  <c r="BM193" i="1"/>
  <c r="AL201" i="1"/>
  <c r="BB201" i="1"/>
  <c r="AC201" i="1"/>
  <c r="AS201" i="1"/>
  <c r="BI201" i="1"/>
  <c r="AS203" i="1"/>
  <c r="BI203" i="1"/>
  <c r="E218" i="1"/>
  <c r="D218" i="1"/>
  <c r="I218" i="1"/>
  <c r="H218" i="1"/>
  <c r="M218" i="1"/>
  <c r="L218" i="1"/>
  <c r="Q218" i="1"/>
  <c r="P218" i="1"/>
  <c r="AC218" i="1"/>
  <c r="AS218" i="1"/>
  <c r="BI218" i="1"/>
  <c r="BY218" i="1"/>
  <c r="AB226" i="1"/>
  <c r="AJ226" i="1"/>
  <c r="AR226" i="1"/>
  <c r="BD226" i="1"/>
  <c r="BT319" i="1"/>
  <c r="BT318" i="1"/>
  <c r="BT298" i="1" s="1"/>
  <c r="BT262" i="1"/>
  <c r="Y226" i="1"/>
  <c r="AC226" i="1"/>
  <c r="AG226" i="1"/>
  <c r="AK226" i="1"/>
  <c r="AO226" i="1"/>
  <c r="AS226" i="1"/>
  <c r="BJ175" i="1"/>
  <c r="BJ183" i="1" s="1"/>
  <c r="BN175" i="1"/>
  <c r="BN183" i="1" s="1"/>
  <c r="BM176" i="1"/>
  <c r="BS181" i="1"/>
  <c r="BG185" i="1"/>
  <c r="BK185" i="1"/>
  <c r="BO185" i="1"/>
  <c r="BS185" i="1"/>
  <c r="BM192" i="1"/>
  <c r="BQ192" i="1"/>
  <c r="AH193" i="1"/>
  <c r="AX193" i="1"/>
  <c r="BR201" i="1"/>
  <c r="BS198" i="1"/>
  <c r="AP201" i="1"/>
  <c r="AQ198" i="1"/>
  <c r="AQ201" i="1" s="1"/>
  <c r="BF201" i="1"/>
  <c r="BG198" i="1"/>
  <c r="BG201" i="1" s="1"/>
  <c r="AO201" i="1"/>
  <c r="BE201" i="1"/>
  <c r="AC203" i="1"/>
  <c r="AO203" i="1"/>
  <c r="BE203" i="1"/>
  <c r="AG218" i="1"/>
  <c r="AW218" i="1"/>
  <c r="BM218" i="1"/>
  <c r="CC218" i="1"/>
  <c r="W226" i="1"/>
  <c r="AE226" i="1"/>
  <c r="AM226" i="1"/>
  <c r="AV226" i="1"/>
  <c r="BL226" i="1"/>
  <c r="U226" i="1"/>
  <c r="Z226" i="1"/>
  <c r="AD226" i="1"/>
  <c r="AH226" i="1"/>
  <c r="AL226" i="1"/>
  <c r="AP226" i="1"/>
  <c r="BE226" i="1"/>
  <c r="BA353" i="1"/>
  <c r="AC191" i="1"/>
  <c r="AS191" i="1"/>
  <c r="BI191" i="1"/>
  <c r="BS193" i="1"/>
  <c r="AD201" i="1"/>
  <c r="AT201" i="1"/>
  <c r="BJ201" i="1"/>
  <c r="BQ201" i="1"/>
  <c r="AP203" i="1"/>
  <c r="BF203" i="1"/>
  <c r="BQ203" i="1"/>
  <c r="AK218" i="1"/>
  <c r="X226" i="1"/>
  <c r="AF226" i="1"/>
  <c r="AN226" i="1"/>
  <c r="AY226" i="1"/>
  <c r="AW226" i="1"/>
  <c r="BA226" i="1"/>
  <c r="BF226" i="1"/>
  <c r="BQ226" i="1"/>
  <c r="BT277" i="1"/>
  <c r="BU234" i="1"/>
  <c r="BV234" i="1" s="1"/>
  <c r="BW234" i="1" s="1"/>
  <c r="BX234" i="1" s="1"/>
  <c r="BY234" i="1" s="1"/>
  <c r="BZ234" i="1" s="1"/>
  <c r="CA234" i="1" s="1"/>
  <c r="CB234" i="1" s="1"/>
  <c r="CC234" i="1" s="1"/>
  <c r="CD234" i="1" s="1"/>
  <c r="CE234" i="1" s="1"/>
  <c r="AU245" i="1"/>
  <c r="AF173" i="1"/>
  <c r="AF174" i="1" s="1"/>
  <c r="AF182" i="1" s="1"/>
  <c r="AJ173" i="1"/>
  <c r="AJ174" i="1" s="1"/>
  <c r="AJ182" i="1" s="1"/>
  <c r="AN173" i="1"/>
  <c r="AN174" i="1" s="1"/>
  <c r="AN182" i="1" s="1"/>
  <c r="AR173" i="1"/>
  <c r="AR174" i="1" s="1"/>
  <c r="AR182" i="1" s="1"/>
  <c r="AV173" i="1"/>
  <c r="AV174" i="1" s="1"/>
  <c r="AV182" i="1" s="1"/>
  <c r="AZ173" i="1"/>
  <c r="AZ174" i="1" s="1"/>
  <c r="AZ182" i="1" s="1"/>
  <c r="BD173" i="1"/>
  <c r="BD174" i="1" s="1"/>
  <c r="BD182" i="1" s="1"/>
  <c r="AC176" i="1"/>
  <c r="AS176" i="1"/>
  <c r="BM181" i="1"/>
  <c r="BQ181" i="1"/>
  <c r="AI187" i="1"/>
  <c r="AY187" i="1"/>
  <c r="BO187" i="1"/>
  <c r="BS197" i="1"/>
  <c r="AE198" i="1"/>
  <c r="AH198" i="1"/>
  <c r="AU198" i="1"/>
  <c r="AX198" i="1"/>
  <c r="BK198" i="1"/>
  <c r="BN198" i="1"/>
  <c r="BL213" i="1"/>
  <c r="Y218" i="1"/>
  <c r="AO218" i="1"/>
  <c r="BE218" i="1"/>
  <c r="BU218" i="1"/>
  <c r="AA226" i="1"/>
  <c r="AI226" i="1"/>
  <c r="AQ226" i="1"/>
  <c r="AZ226" i="1"/>
  <c r="BP226" i="1"/>
  <c r="AX226" i="1"/>
  <c r="BB226" i="1"/>
  <c r="BN224" i="1"/>
  <c r="BN226" i="1" s="1"/>
  <c r="BR226" i="1"/>
  <c r="BQ353" i="1"/>
  <c r="BE353" i="1"/>
  <c r="AY245" i="1"/>
  <c r="I245" i="1" s="1"/>
  <c r="BO209" i="1"/>
  <c r="BB241" i="1"/>
  <c r="BM238" i="1"/>
  <c r="BN238" i="1" s="1"/>
  <c r="BO238" i="1" s="1"/>
  <c r="BI354" i="1"/>
  <c r="BJ241" i="1"/>
  <c r="BM354" i="1"/>
  <c r="BN319" i="1"/>
  <c r="BN317" i="1"/>
  <c r="BN318" i="1"/>
  <c r="BN298" i="1" s="1"/>
  <c r="AS317" i="1"/>
  <c r="AS319" i="1"/>
  <c r="AS318" i="1"/>
  <c r="AS298" i="1" s="1"/>
  <c r="AT242" i="1"/>
  <c r="AZ353" i="1"/>
  <c r="AZ251" i="1"/>
  <c r="AZ252" i="1" s="1"/>
  <c r="BI243" i="1"/>
  <c r="BI353" i="1" s="1"/>
  <c r="BM243" i="1"/>
  <c r="BM353" i="1" s="1"/>
  <c r="BG244" i="1"/>
  <c r="BQ251" i="1"/>
  <c r="BQ252" i="1" s="1"/>
  <c r="BR245" i="1"/>
  <c r="AW246" i="1"/>
  <c r="AX246" i="1" s="1"/>
  <c r="AY246" i="1" s="1"/>
  <c r="AT247" i="1"/>
  <c r="AD302" i="1"/>
  <c r="AD301" i="1"/>
  <c r="AD267" i="1"/>
  <c r="AD282" i="1" s="1"/>
  <c r="AH302" i="1"/>
  <c r="AH301" i="1"/>
  <c r="AH267" i="1"/>
  <c r="AH282" i="1" s="1"/>
  <c r="AL302" i="1"/>
  <c r="AL301" i="1"/>
  <c r="AL267" i="1"/>
  <c r="AL282" i="1" s="1"/>
  <c r="AP267" i="1"/>
  <c r="AT267" i="1"/>
  <c r="AX267" i="1"/>
  <c r="BB302" i="1"/>
  <c r="BB301" i="1"/>
  <c r="BB267" i="1"/>
  <c r="BB282" i="1" s="1"/>
  <c r="BE282" i="1"/>
  <c r="BI282" i="1"/>
  <c r="BQ282" i="1"/>
  <c r="BA319" i="1"/>
  <c r="BA318" i="1"/>
  <c r="BA298" i="1" s="1"/>
  <c r="BA317" i="1"/>
  <c r="BQ319" i="1"/>
  <c r="BQ318" i="1"/>
  <c r="BQ298" i="1" s="1"/>
  <c r="BQ317" i="1"/>
  <c r="BO319" i="1"/>
  <c r="BO317" i="1"/>
  <c r="BO318" i="1"/>
  <c r="BO298" i="1" s="1"/>
  <c r="BN243" i="1"/>
  <c r="AP245" i="1"/>
  <c r="BB379" i="1"/>
  <c r="BC247" i="1"/>
  <c r="BC379" i="1" s="1"/>
  <c r="BP251" i="1"/>
  <c r="BP252" i="1" s="1"/>
  <c r="BB319" i="1"/>
  <c r="BB318" i="1"/>
  <c r="BB298" i="1" s="1"/>
  <c r="BB317" i="1"/>
  <c r="BQ354" i="1"/>
  <c r="BR319" i="1"/>
  <c r="BR318" i="1"/>
  <c r="BR298" i="1" s="1"/>
  <c r="BR317" i="1"/>
  <c r="BE354" i="1"/>
  <c r="BF319" i="1"/>
  <c r="BF318" i="1"/>
  <c r="BF298" i="1" s="1"/>
  <c r="BF317" i="1"/>
  <c r="BI317" i="1"/>
  <c r="BI319" i="1"/>
  <c r="BI318" i="1"/>
  <c r="BI298" i="1" s="1"/>
  <c r="U319" i="1"/>
  <c r="U318" i="1"/>
  <c r="U317" i="1"/>
  <c r="V242" i="1"/>
  <c r="AW319" i="1"/>
  <c r="AW317" i="1"/>
  <c r="AW318" i="1"/>
  <c r="AW298" i="1" s="1"/>
  <c r="BO243" i="1"/>
  <c r="BE251" i="1"/>
  <c r="BE252" i="1" s="1"/>
  <c r="AP379" i="1"/>
  <c r="AQ247" i="1"/>
  <c r="AQ379" i="1" s="1"/>
  <c r="BL379" i="1"/>
  <c r="BL251" i="1"/>
  <c r="BL252" i="1" s="1"/>
  <c r="BP379" i="1"/>
  <c r="BR247" i="1"/>
  <c r="AI290" i="1"/>
  <c r="AI293" i="1"/>
  <c r="BA354" i="1"/>
  <c r="BR241" i="1"/>
  <c r="BS242" i="1"/>
  <c r="BF241" i="1"/>
  <c r="BG242" i="1"/>
  <c r="BJ242" i="1"/>
  <c r="AS372" i="1"/>
  <c r="AS374" i="1" s="1"/>
  <c r="AT372" i="1"/>
  <c r="AT374" i="1" s="1"/>
  <c r="AR372" i="1"/>
  <c r="AR374" i="1" s="1"/>
  <c r="AQ372" i="1"/>
  <c r="AQ374" i="1" s="1"/>
  <c r="AU372" i="1"/>
  <c r="AU374" i="1" s="1"/>
  <c r="AP319" i="1"/>
  <c r="AP318" i="1"/>
  <c r="AP298" i="1" s="1"/>
  <c r="AP317" i="1"/>
  <c r="BC242" i="1"/>
  <c r="J242" i="1" s="1"/>
  <c r="BA251" i="1"/>
  <c r="BA252" i="1" s="1"/>
  <c r="BB245" i="1"/>
  <c r="BN245" i="1"/>
  <c r="BF247" i="1"/>
  <c r="BV265" i="1"/>
  <c r="AC301" i="1"/>
  <c r="AC302" i="1"/>
  <c r="AC267" i="1"/>
  <c r="AC282" i="1" s="1"/>
  <c r="AG302" i="1"/>
  <c r="AG301" i="1"/>
  <c r="AG267" i="1"/>
  <c r="AK302" i="1"/>
  <c r="AK301" i="1"/>
  <c r="AK267" i="1"/>
  <c r="AK282" i="1" s="1"/>
  <c r="AO267" i="1"/>
  <c r="AS267" i="1"/>
  <c r="AW267" i="1"/>
  <c r="BA302" i="1"/>
  <c r="BA301" i="1"/>
  <c r="BA267" i="1"/>
  <c r="BA282" i="1" s="1"/>
  <c r="BF302" i="1"/>
  <c r="BF301" i="1"/>
  <c r="BF267" i="1"/>
  <c r="BF282" i="1" s="1"/>
  <c r="BJ302" i="1"/>
  <c r="BJ267" i="1"/>
  <c r="BJ282" i="1" s="1"/>
  <c r="BJ301" i="1"/>
  <c r="BN302" i="1"/>
  <c r="BN301" i="1"/>
  <c r="BN267" i="1"/>
  <c r="BN282" i="1" s="1"/>
  <c r="BR302" i="1"/>
  <c r="BR301" i="1"/>
  <c r="BR267" i="1"/>
  <c r="BR282" i="1" s="1"/>
  <c r="BE317" i="1"/>
  <c r="BE319" i="1"/>
  <c r="BE318" i="1"/>
  <c r="BE298" i="1" s="1"/>
  <c r="BM319" i="1"/>
  <c r="BM317" i="1"/>
  <c r="BM318" i="1"/>
  <c r="BM298" i="1" s="1"/>
  <c r="BD353" i="1"/>
  <c r="BH353" i="1"/>
  <c r="BP353" i="1"/>
  <c r="AB342" i="1"/>
  <c r="AB357" i="1" s="1"/>
  <c r="AB359" i="1" s="1"/>
  <c r="AB310" i="1"/>
  <c r="AB312" i="1"/>
  <c r="AF342" i="1"/>
  <c r="AF357" i="1" s="1"/>
  <c r="AF359" i="1" s="1"/>
  <c r="AF310" i="1"/>
  <c r="AF312" i="1"/>
  <c r="AJ342" i="1"/>
  <c r="AJ357" i="1" s="1"/>
  <c r="AJ359" i="1" s="1"/>
  <c r="AJ310" i="1"/>
  <c r="AJ312" i="1"/>
  <c r="AN342" i="1"/>
  <c r="AN357" i="1" s="1"/>
  <c r="AN359" i="1" s="1"/>
  <c r="AN310" i="1"/>
  <c r="AN312" i="1"/>
  <c r="AR342" i="1"/>
  <c r="AR357" i="1" s="1"/>
  <c r="AR359" i="1" s="1"/>
  <c r="AR310" i="1"/>
  <c r="AR312" i="1"/>
  <c r="AV342" i="1"/>
  <c r="AV357" i="1" s="1"/>
  <c r="AV359" i="1" s="1"/>
  <c r="AV310" i="1"/>
  <c r="AV312" i="1"/>
  <c r="AZ342" i="1"/>
  <c r="AZ357" i="1" s="1"/>
  <c r="AZ359" i="1" s="1"/>
  <c r="AZ310" i="1"/>
  <c r="AZ312" i="1"/>
  <c r="BE342" i="1"/>
  <c r="BE357" i="1" s="1"/>
  <c r="BE359" i="1" s="1"/>
  <c r="BE312" i="1"/>
  <c r="BE310" i="1"/>
  <c r="BI342" i="1"/>
  <c r="BI357" i="1" s="1"/>
  <c r="BI359" i="1" s="1"/>
  <c r="BI310" i="1"/>
  <c r="BI312" i="1"/>
  <c r="BM342" i="1"/>
  <c r="BM357" i="1" s="1"/>
  <c r="BM359" i="1" s="1"/>
  <c r="BM310" i="1"/>
  <c r="BM312" i="1"/>
  <c r="BQ342" i="1"/>
  <c r="BQ357" i="1" s="1"/>
  <c r="BQ359" i="1" s="1"/>
  <c r="BQ310" i="1"/>
  <c r="BQ312" i="1"/>
  <c r="Y301" i="1"/>
  <c r="Y302" i="1"/>
  <c r="BL262" i="1"/>
  <c r="BL321" i="1" s="1"/>
  <c r="BD301" i="1"/>
  <c r="BD302" i="1"/>
  <c r="Y267" i="1"/>
  <c r="Y282" i="1" s="1"/>
  <c r="AR311" i="1"/>
  <c r="AW311" i="1"/>
  <c r="BA311" i="1"/>
  <c r="BE311" i="1"/>
  <c r="BI311" i="1"/>
  <c r="BM311" i="1"/>
  <c r="BQ311" i="1"/>
  <c r="AW272" i="1"/>
  <c r="AW302" i="1" s="1"/>
  <c r="AR361" i="1"/>
  <c r="AR338" i="1"/>
  <c r="AR339" i="1"/>
  <c r="AR281" i="1"/>
  <c r="AR282" i="1" s="1"/>
  <c r="AR285" i="1"/>
  <c r="AR288" i="1" s="1"/>
  <c r="AV361" i="1"/>
  <c r="AV338" i="1"/>
  <c r="AV339" i="1"/>
  <c r="AV285" i="1"/>
  <c r="AV289" i="1" s="1"/>
  <c r="AZ361" i="1"/>
  <c r="AZ338" i="1"/>
  <c r="AZ339" i="1"/>
  <c r="AZ281" i="1"/>
  <c r="BD361" i="1"/>
  <c r="BD338" i="1"/>
  <c r="BD339" i="1"/>
  <c r="BD281" i="1"/>
  <c r="BD282" i="1" s="1"/>
  <c r="BD290" i="1"/>
  <c r="BH361" i="1"/>
  <c r="BH338" i="1"/>
  <c r="BH339" i="1"/>
  <c r="BH281" i="1"/>
  <c r="BH285" i="1"/>
  <c r="BH288" i="1" s="1"/>
  <c r="BL361" i="1"/>
  <c r="BL338" i="1"/>
  <c r="BL339" i="1"/>
  <c r="BL285" i="1"/>
  <c r="BL289" i="1" s="1"/>
  <c r="BL281" i="1"/>
  <c r="BL282" i="1" s="1"/>
  <c r="BP361" i="1"/>
  <c r="BP338" i="1"/>
  <c r="BP339" i="1"/>
  <c r="BP281" i="1"/>
  <c r="BO281" i="1"/>
  <c r="Z287" i="1"/>
  <c r="Z288" i="1"/>
  <c r="AH287" i="1"/>
  <c r="AL293" i="1"/>
  <c r="AL290" i="1"/>
  <c r="AP287" i="1"/>
  <c r="AX287" i="1"/>
  <c r="BB293" i="1"/>
  <c r="BB290" i="1"/>
  <c r="BF287" i="1"/>
  <c r="BN287" i="1"/>
  <c r="BR293" i="1"/>
  <c r="BR290" i="1"/>
  <c r="Y293" i="1"/>
  <c r="Y290" i="1"/>
  <c r="AT287" i="1"/>
  <c r="BE293" i="1"/>
  <c r="BE290" i="1"/>
  <c r="BO290" i="1"/>
  <c r="BO293" i="1"/>
  <c r="BO289" i="1"/>
  <c r="Y289" i="1"/>
  <c r="AC342" i="1"/>
  <c r="AC357" i="1" s="1"/>
  <c r="AC359" i="1" s="1"/>
  <c r="AC310" i="1"/>
  <c r="AC312" i="1"/>
  <c r="AG342" i="1"/>
  <c r="AG357" i="1" s="1"/>
  <c r="AG359" i="1" s="1"/>
  <c r="AG310" i="1"/>
  <c r="AG312" i="1"/>
  <c r="AK342" i="1"/>
  <c r="AK357" i="1" s="1"/>
  <c r="AK359" i="1" s="1"/>
  <c r="AK310" i="1"/>
  <c r="AK312" i="1"/>
  <c r="AO342" i="1"/>
  <c r="AO357" i="1" s="1"/>
  <c r="AO359" i="1" s="1"/>
  <c r="AO312" i="1"/>
  <c r="AO310" i="1"/>
  <c r="AS342" i="1"/>
  <c r="AS357" i="1" s="1"/>
  <c r="AS359" i="1" s="1"/>
  <c r="AS310" i="1"/>
  <c r="AS312" i="1"/>
  <c r="AW342" i="1"/>
  <c r="AW357" i="1" s="1"/>
  <c r="AW359" i="1" s="1"/>
  <c r="AW310" i="1"/>
  <c r="AW312" i="1"/>
  <c r="BA342" i="1"/>
  <c r="BA357" i="1" s="1"/>
  <c r="BA359" i="1" s="1"/>
  <c r="BA310" i="1"/>
  <c r="BA312" i="1"/>
  <c r="BF342" i="1"/>
  <c r="BF357" i="1" s="1"/>
  <c r="BF359" i="1" s="1"/>
  <c r="BF310" i="1"/>
  <c r="BF312" i="1"/>
  <c r="BJ342" i="1"/>
  <c r="BJ357" i="1" s="1"/>
  <c r="BJ359" i="1" s="1"/>
  <c r="BJ312" i="1"/>
  <c r="BJ310" i="1"/>
  <c r="BN342" i="1"/>
  <c r="BN357" i="1" s="1"/>
  <c r="BN359" i="1" s="1"/>
  <c r="BN310" i="1"/>
  <c r="BN312" i="1"/>
  <c r="BR342" i="1"/>
  <c r="BR357" i="1" s="1"/>
  <c r="BR359" i="1" s="1"/>
  <c r="BR310" i="1"/>
  <c r="BR312" i="1"/>
  <c r="BG301" i="1"/>
  <c r="BG302" i="1"/>
  <c r="BG267" i="1"/>
  <c r="BG282" i="1" s="1"/>
  <c r="BK301" i="1"/>
  <c r="BK302" i="1"/>
  <c r="BK267" i="1"/>
  <c r="BK282" i="1" s="1"/>
  <c r="BO301" i="1"/>
  <c r="BO302" i="1"/>
  <c r="BO267" i="1"/>
  <c r="Z302" i="1"/>
  <c r="Z301" i="1"/>
  <c r="Z267" i="1"/>
  <c r="Z282" i="1" s="1"/>
  <c r="AT311" i="1"/>
  <c r="AO343" i="1"/>
  <c r="AO280" i="1"/>
  <c r="AO290" i="1" s="1"/>
  <c r="W361" i="1"/>
  <c r="W363" i="1" s="1"/>
  <c r="W339" i="1"/>
  <c r="W338" i="1"/>
  <c r="W285" i="1"/>
  <c r="W288" i="1" s="1"/>
  <c r="AA361" i="1"/>
  <c r="AA339" i="1"/>
  <c r="AA338" i="1"/>
  <c r="AA285" i="1"/>
  <c r="AA288" i="1" s="1"/>
  <c r="AE361" i="1"/>
  <c r="AE339" i="1"/>
  <c r="AE338" i="1"/>
  <c r="AI361" i="1"/>
  <c r="AI339" i="1"/>
  <c r="AI338" i="1"/>
  <c r="AM361" i="1"/>
  <c r="AM339" i="1"/>
  <c r="AM338" i="1"/>
  <c r="AM285" i="1"/>
  <c r="AM288" i="1" s="1"/>
  <c r="AE285" i="1"/>
  <c r="AE288" i="1" s="1"/>
  <c r="BK285" i="1"/>
  <c r="BK288" i="1" s="1"/>
  <c r="W287" i="1"/>
  <c r="AA287" i="1"/>
  <c r="AE287" i="1"/>
  <c r="AM287" i="1"/>
  <c r="AQ287" i="1"/>
  <c r="BC293" i="1"/>
  <c r="BS293" i="1"/>
  <c r="BC290" i="1"/>
  <c r="AD342" i="1"/>
  <c r="AD357" i="1" s="1"/>
  <c r="AD359" i="1" s="1"/>
  <c r="AD312" i="1"/>
  <c r="AD310" i="1"/>
  <c r="AH342" i="1"/>
  <c r="AH357" i="1" s="1"/>
  <c r="AH359" i="1" s="1"/>
  <c r="AH310" i="1"/>
  <c r="AH312" i="1"/>
  <c r="AL342" i="1"/>
  <c r="AL357" i="1" s="1"/>
  <c r="AL359" i="1" s="1"/>
  <c r="AL310" i="1"/>
  <c r="AL312" i="1"/>
  <c r="AP342" i="1"/>
  <c r="AP357" i="1" s="1"/>
  <c r="AP359" i="1" s="1"/>
  <c r="AP310" i="1"/>
  <c r="AP312" i="1"/>
  <c r="AT342" i="1"/>
  <c r="AT357" i="1" s="1"/>
  <c r="AT359" i="1" s="1"/>
  <c r="AT312" i="1"/>
  <c r="AT310" i="1"/>
  <c r="AX342" i="1"/>
  <c r="AX357" i="1" s="1"/>
  <c r="AX359" i="1" s="1"/>
  <c r="AX310" i="1"/>
  <c r="AX312" i="1"/>
  <c r="BB342" i="1"/>
  <c r="BB357" i="1" s="1"/>
  <c r="BB359" i="1" s="1"/>
  <c r="BB310" i="1"/>
  <c r="BB312" i="1"/>
  <c r="BG342" i="1"/>
  <c r="BG357" i="1" s="1"/>
  <c r="BG359" i="1" s="1"/>
  <c r="BG312" i="1"/>
  <c r="BG310" i="1"/>
  <c r="BK342" i="1"/>
  <c r="BK357" i="1" s="1"/>
  <c r="BK359" i="1" s="1"/>
  <c r="BK312" i="1"/>
  <c r="BK310" i="1"/>
  <c r="BO342" i="1"/>
  <c r="BO357" i="1" s="1"/>
  <c r="BO359" i="1" s="1"/>
  <c r="BO312" i="1"/>
  <c r="BO310" i="1"/>
  <c r="BS310" i="1"/>
  <c r="BT310" i="1" s="1"/>
  <c r="BU310" i="1" s="1"/>
  <c r="BV310" i="1" s="1"/>
  <c r="BW310" i="1" s="1"/>
  <c r="BX310" i="1" s="1"/>
  <c r="BY310" i="1" s="1"/>
  <c r="BZ310" i="1" s="1"/>
  <c r="CA310" i="1" s="1"/>
  <c r="CB310" i="1" s="1"/>
  <c r="CC310" i="1" s="1"/>
  <c r="CD310" i="1" s="1"/>
  <c r="CE310" i="1" s="1"/>
  <c r="BH301" i="1"/>
  <c r="BH302" i="1"/>
  <c r="BL302" i="1"/>
  <c r="BL301" i="1"/>
  <c r="BP301" i="1"/>
  <c r="BP302" i="1"/>
  <c r="W302" i="1"/>
  <c r="W301" i="1"/>
  <c r="W267" i="1"/>
  <c r="AA302" i="1"/>
  <c r="AA301" i="1"/>
  <c r="AA267" i="1"/>
  <c r="AA282" i="1" s="1"/>
  <c r="AE302" i="1"/>
  <c r="AE301" i="1"/>
  <c r="AE267" i="1"/>
  <c r="AI301" i="1"/>
  <c r="AI302" i="1"/>
  <c r="AI267" i="1"/>
  <c r="AI282" i="1" s="1"/>
  <c r="AM302" i="1"/>
  <c r="AM301" i="1"/>
  <c r="AM267" i="1"/>
  <c r="AQ302" i="1"/>
  <c r="AQ301" i="1"/>
  <c r="AQ267" i="1"/>
  <c r="AQ282" i="1" s="1"/>
  <c r="AU267" i="1"/>
  <c r="AY267" i="1"/>
  <c r="BC301" i="1"/>
  <c r="BC302" i="1"/>
  <c r="BC267" i="1"/>
  <c r="BC282" i="1" s="1"/>
  <c r="AC262" i="1"/>
  <c r="AC321" i="1" s="1"/>
  <c r="AD263" i="1"/>
  <c r="AK262" i="1"/>
  <c r="AK321" i="1" s="1"/>
  <c r="AL263" i="1"/>
  <c r="AS262" i="1"/>
  <c r="AS321" i="1" s="1"/>
  <c r="AT263" i="1"/>
  <c r="BA262" i="1"/>
  <c r="BA321" i="1" s="1"/>
  <c r="BB263" i="1"/>
  <c r="AT272" i="1"/>
  <c r="AT302" i="1" s="1"/>
  <c r="AP343" i="1"/>
  <c r="AP280" i="1"/>
  <c r="AY343" i="1"/>
  <c r="X361" i="1"/>
  <c r="X363" i="1" s="1"/>
  <c r="X338" i="1"/>
  <c r="X339" i="1"/>
  <c r="X281" i="1"/>
  <c r="X290" i="1"/>
  <c r="X285" i="1"/>
  <c r="X288" i="1" s="1"/>
  <c r="AB361" i="1"/>
  <c r="AB338" i="1"/>
  <c r="AB339" i="1"/>
  <c r="AB281" i="1"/>
  <c r="AB282" i="1" s="1"/>
  <c r="AB285" i="1"/>
  <c r="AB288" i="1" s="1"/>
  <c r="AF361" i="1"/>
  <c r="AF338" i="1"/>
  <c r="AF339" i="1"/>
  <c r="AF285" i="1"/>
  <c r="AF289" i="1" s="1"/>
  <c r="AF281" i="1"/>
  <c r="AF282" i="1" s="1"/>
  <c r="AJ361" i="1"/>
  <c r="AJ338" i="1"/>
  <c r="AJ339" i="1"/>
  <c r="AJ281" i="1"/>
  <c r="AJ282" i="1" s="1"/>
  <c r="AN361" i="1"/>
  <c r="AN338" i="1"/>
  <c r="AN339" i="1"/>
  <c r="AN281" i="1"/>
  <c r="AN290" i="1"/>
  <c r="W281" i="1"/>
  <c r="AE281" i="1"/>
  <c r="AM281" i="1"/>
  <c r="AM282" i="1" s="1"/>
  <c r="AI285" i="1"/>
  <c r="AI289" i="1" s="1"/>
  <c r="X293" i="1"/>
  <c r="AB293" i="1"/>
  <c r="AN293" i="1"/>
  <c r="AR293" i="1"/>
  <c r="BD293" i="1"/>
  <c r="BH293" i="1"/>
  <c r="AD290" i="1"/>
  <c r="AD293" i="1"/>
  <c r="AO293" i="1"/>
  <c r="AY290" i="1"/>
  <c r="AY293" i="1"/>
  <c r="AY289" i="1"/>
  <c r="BJ290" i="1"/>
  <c r="BJ293" i="1"/>
  <c r="BE289" i="1"/>
  <c r="AA342" i="1"/>
  <c r="AA357" i="1" s="1"/>
  <c r="AA359" i="1" s="1"/>
  <c r="AA312" i="1"/>
  <c r="AA310" i="1"/>
  <c r="AE342" i="1"/>
  <c r="AE357" i="1" s="1"/>
  <c r="AE359" i="1" s="1"/>
  <c r="AE312" i="1"/>
  <c r="AE310" i="1"/>
  <c r="AI342" i="1"/>
  <c r="AI357" i="1" s="1"/>
  <c r="AI359" i="1" s="1"/>
  <c r="AI312" i="1"/>
  <c r="AI310" i="1"/>
  <c r="AM342" i="1"/>
  <c r="AM357" i="1" s="1"/>
  <c r="AM359" i="1" s="1"/>
  <c r="AM312" i="1"/>
  <c r="AM310" i="1"/>
  <c r="AQ342" i="1"/>
  <c r="AQ357" i="1" s="1"/>
  <c r="AQ359" i="1" s="1"/>
  <c r="AQ312" i="1"/>
  <c r="AQ310" i="1"/>
  <c r="AU342" i="1"/>
  <c r="AU357" i="1" s="1"/>
  <c r="AU359" i="1" s="1"/>
  <c r="AU312" i="1"/>
  <c r="AU310" i="1"/>
  <c r="AY342" i="1"/>
  <c r="AY357" i="1" s="1"/>
  <c r="AY359" i="1" s="1"/>
  <c r="AY312" i="1"/>
  <c r="AY310" i="1"/>
  <c r="BC342" i="1"/>
  <c r="BC357" i="1" s="1"/>
  <c r="BC359" i="1" s="1"/>
  <c r="BC312" i="1"/>
  <c r="BC310" i="1"/>
  <c r="BH342" i="1"/>
  <c r="BH357" i="1" s="1"/>
  <c r="BH359" i="1" s="1"/>
  <c r="BH310" i="1"/>
  <c r="BH312" i="1"/>
  <c r="BL342" i="1"/>
  <c r="BL357" i="1" s="1"/>
  <c r="BL359" i="1" s="1"/>
  <c r="BL310" i="1"/>
  <c r="BL312" i="1"/>
  <c r="BP342" i="1"/>
  <c r="BP357" i="1" s="1"/>
  <c r="BP359" i="1" s="1"/>
  <c r="BP310" i="1"/>
  <c r="BP312" i="1"/>
  <c r="BE301" i="1"/>
  <c r="BE302" i="1"/>
  <c r="BI301" i="1"/>
  <c r="BI302" i="1"/>
  <c r="BM301" i="1"/>
  <c r="BM302" i="1"/>
  <c r="BQ302" i="1"/>
  <c r="BQ301" i="1"/>
  <c r="X301" i="1"/>
  <c r="X302" i="1"/>
  <c r="AB301" i="1"/>
  <c r="AB302" i="1"/>
  <c r="AF302" i="1"/>
  <c r="AF301" i="1"/>
  <c r="AJ301" i="1"/>
  <c r="AJ302" i="1"/>
  <c r="AN301" i="1"/>
  <c r="AN302" i="1"/>
  <c r="AR301" i="1"/>
  <c r="AR302" i="1"/>
  <c r="AZ302" i="1"/>
  <c r="AZ301" i="1"/>
  <c r="X262" i="1"/>
  <c r="X321" i="1" s="1"/>
  <c r="Y263" i="1"/>
  <c r="AF262" i="1"/>
  <c r="AF321" i="1" s="1"/>
  <c r="AG263" i="1"/>
  <c r="AN262" i="1"/>
  <c r="AN321" i="1" s="1"/>
  <c r="AO263" i="1"/>
  <c r="AV262" i="1"/>
  <c r="AV321" i="1" s="1"/>
  <c r="AW263" i="1"/>
  <c r="BM263" i="1"/>
  <c r="X267" i="1"/>
  <c r="AN267" i="1"/>
  <c r="AZ267" i="1"/>
  <c r="BH267" i="1"/>
  <c r="BP267" i="1"/>
  <c r="AQ311" i="1"/>
  <c r="AV311" i="1"/>
  <c r="AZ311" i="1"/>
  <c r="BD311" i="1"/>
  <c r="BH311" i="1"/>
  <c r="BL311" i="1"/>
  <c r="BP311" i="1"/>
  <c r="AV272" i="1"/>
  <c r="AV302" i="1" s="1"/>
  <c r="AQ361" i="1"/>
  <c r="AQ339" i="1"/>
  <c r="AQ338" i="1"/>
  <c r="AQ285" i="1"/>
  <c r="AQ288" i="1" s="1"/>
  <c r="AU361" i="1"/>
  <c r="AU339" i="1"/>
  <c r="AU338" i="1"/>
  <c r="AY361" i="1"/>
  <c r="AY339" i="1"/>
  <c r="AY338" i="1"/>
  <c r="BC361" i="1"/>
  <c r="BC339" i="1"/>
  <c r="BC338" i="1"/>
  <c r="BC285" i="1"/>
  <c r="BC288" i="1" s="1"/>
  <c r="BG361" i="1"/>
  <c r="BG339" i="1"/>
  <c r="BG338" i="1"/>
  <c r="BG285" i="1"/>
  <c r="BG288" i="1" s="1"/>
  <c r="BK361" i="1"/>
  <c r="BK339" i="1"/>
  <c r="BK338" i="1"/>
  <c r="BO361" i="1"/>
  <c r="BO339" i="1"/>
  <c r="BO338" i="1"/>
  <c r="BS361" i="1"/>
  <c r="BS339" i="1"/>
  <c r="BS338" i="1"/>
  <c r="BS285" i="1"/>
  <c r="BS288" i="1" s="1"/>
  <c r="AJ285" i="1"/>
  <c r="AJ289" i="1" s="1"/>
  <c r="AU285" i="1"/>
  <c r="AU288" i="1" s="1"/>
  <c r="BD342" i="1"/>
  <c r="BD357" i="1" s="1"/>
  <c r="BD359" i="1" s="1"/>
  <c r="BD310" i="1"/>
  <c r="BD312" i="1"/>
  <c r="BU274" i="1"/>
  <c r="AP311" i="1"/>
  <c r="AU311" i="1"/>
  <c r="AY311" i="1"/>
  <c r="BC311" i="1"/>
  <c r="BG311" i="1"/>
  <c r="BK311" i="1"/>
  <c r="BO311" i="1"/>
  <c r="BS311" i="1"/>
  <c r="AP272" i="1"/>
  <c r="AP302" i="1" s="1"/>
  <c r="AU272" i="1"/>
  <c r="AU301" i="1" s="1"/>
  <c r="AY272" i="1"/>
  <c r="AY302" i="1" s="1"/>
  <c r="AR343" i="1"/>
  <c r="BD343" i="1"/>
  <c r="Z361" i="1"/>
  <c r="Z363" i="1" s="1"/>
  <c r="Z338" i="1"/>
  <c r="Z339" i="1"/>
  <c r="AD361" i="1"/>
  <c r="AD338" i="1"/>
  <c r="AD339" i="1"/>
  <c r="AD285" i="1"/>
  <c r="AD288" i="1" s="1"/>
  <c r="AH361" i="1"/>
  <c r="AH339" i="1"/>
  <c r="AH338" i="1"/>
  <c r="AH285" i="1"/>
  <c r="AH288" i="1" s="1"/>
  <c r="AL361" i="1"/>
  <c r="AL339" i="1"/>
  <c r="AL338" i="1"/>
  <c r="AL285" i="1"/>
  <c r="AL288" i="1" s="1"/>
  <c r="AT361" i="1"/>
  <c r="AT338" i="1"/>
  <c r="AT339" i="1"/>
  <c r="AX361" i="1"/>
  <c r="AX339" i="1"/>
  <c r="AX338" i="1"/>
  <c r="AX285" i="1"/>
  <c r="AX288" i="1" s="1"/>
  <c r="BB361" i="1"/>
  <c r="BB339" i="1"/>
  <c r="BB338" i="1"/>
  <c r="BB285" i="1"/>
  <c r="BB288" i="1" s="1"/>
  <c r="BF361" i="1"/>
  <c r="BF338" i="1"/>
  <c r="BF339" i="1"/>
  <c r="BF285" i="1"/>
  <c r="BF288" i="1" s="1"/>
  <c r="BJ361" i="1"/>
  <c r="BJ338" i="1"/>
  <c r="BJ339" i="1"/>
  <c r="BJ285" i="1"/>
  <c r="BJ288" i="1" s="1"/>
  <c r="BN361" i="1"/>
  <c r="BN339" i="1"/>
  <c r="BN338" i="1"/>
  <c r="BN285" i="1"/>
  <c r="BN288" i="1" s="1"/>
  <c r="BR361" i="1"/>
  <c r="BR339" i="1"/>
  <c r="BR338" i="1"/>
  <c r="BR285" i="1"/>
  <c r="BR288" i="1" s="1"/>
  <c r="AG281" i="1"/>
  <c r="BM281" i="1"/>
  <c r="BM282" i="1" s="1"/>
  <c r="AC293" i="1"/>
  <c r="AC290" i="1"/>
  <c r="AS293" i="1"/>
  <c r="AS290" i="1"/>
  <c r="BI293" i="1"/>
  <c r="BI290" i="1"/>
  <c r="AC289" i="1"/>
  <c r="AN289" i="1"/>
  <c r="AS289" i="1"/>
  <c r="BD289" i="1"/>
  <c r="BI289" i="1"/>
  <c r="AF290" i="1"/>
  <c r="AV290" i="1"/>
  <c r="BL290" i="1"/>
  <c r="Z316" i="1"/>
  <c r="AD316" i="1"/>
  <c r="AH316" i="1"/>
  <c r="AL316" i="1"/>
  <c r="AP316" i="1"/>
  <c r="AT316" i="1"/>
  <c r="AX316" i="1"/>
  <c r="BB316" i="1"/>
  <c r="BJ316" i="1"/>
  <c r="BN316" i="1"/>
  <c r="AI316" i="1"/>
  <c r="AY316" i="1"/>
  <c r="BO316" i="1"/>
  <c r="AY288" i="1"/>
  <c r="BO288" i="1"/>
  <c r="AK293" i="1"/>
  <c r="AK290" i="1"/>
  <c r="AU287" i="1"/>
  <c r="BA293" i="1"/>
  <c r="BA290" i="1"/>
  <c r="BK287" i="1"/>
  <c r="BQ293" i="1"/>
  <c r="BQ290" i="1"/>
  <c r="AO311" i="1"/>
  <c r="AS311" i="1"/>
  <c r="AX311" i="1"/>
  <c r="BB311" i="1"/>
  <c r="BF311" i="1"/>
  <c r="BJ311" i="1"/>
  <c r="BN311" i="1"/>
  <c r="BR311" i="1"/>
  <c r="AO272" i="1"/>
  <c r="AO302" i="1" s="1"/>
  <c r="AS272" i="1"/>
  <c r="AS301" i="1" s="1"/>
  <c r="AX272" i="1"/>
  <c r="AX301" i="1" s="1"/>
  <c r="AT343" i="1"/>
  <c r="AT285" i="1"/>
  <c r="AT288" i="1" s="1"/>
  <c r="AQ343" i="1"/>
  <c r="Y361" i="1"/>
  <c r="Y363" i="1" s="1"/>
  <c r="AC361" i="1"/>
  <c r="AG361" i="1"/>
  <c r="AK361" i="1"/>
  <c r="AS361" i="1"/>
  <c r="AW361" i="1"/>
  <c r="AW339" i="1"/>
  <c r="AW338" i="1"/>
  <c r="BA361" i="1"/>
  <c r="BA338" i="1"/>
  <c r="BA339" i="1"/>
  <c r="BE361" i="1"/>
  <c r="BE338" i="1"/>
  <c r="BE339" i="1"/>
  <c r="BI361" i="1"/>
  <c r="BI339" i="1"/>
  <c r="BI338" i="1"/>
  <c r="BM361" i="1"/>
  <c r="BM339" i="1"/>
  <c r="BM338" i="1"/>
  <c r="BQ361" i="1"/>
  <c r="BQ338" i="1"/>
  <c r="BQ339" i="1"/>
  <c r="AK285" i="1"/>
  <c r="AK288" i="1" s="1"/>
  <c r="BA285" i="1"/>
  <c r="BA288" i="1" s="1"/>
  <c r="BQ285" i="1"/>
  <c r="BQ288" i="1" s="1"/>
  <c r="AG293" i="1"/>
  <c r="AG290" i="1"/>
  <c r="AW293" i="1"/>
  <c r="AW290" i="1"/>
  <c r="BG287" i="1"/>
  <c r="BM293" i="1"/>
  <c r="BM290" i="1"/>
  <c r="AZ288" i="1"/>
  <c r="BP288" i="1"/>
  <c r="AB289" i="1"/>
  <c r="AG289" i="1"/>
  <c r="AW289" i="1"/>
  <c r="BM289" i="1"/>
  <c r="AJ290" i="1"/>
  <c r="AZ290" i="1"/>
  <c r="BP290" i="1"/>
  <c r="AK316" i="1"/>
  <c r="BA316" i="1"/>
  <c r="BV304" i="1"/>
  <c r="AE316" i="1"/>
  <c r="AU316" i="1"/>
  <c r="BF316" i="1"/>
  <c r="BK316" i="1"/>
  <c r="BQ316" i="1"/>
  <c r="AA322" i="1"/>
  <c r="AI322" i="1"/>
  <c r="AQ322" i="1"/>
  <c r="AY322" i="1"/>
  <c r="BG322" i="1"/>
  <c r="BS322" i="1"/>
  <c r="C326" i="1"/>
  <c r="AA316" i="1"/>
  <c r="AQ316" i="1"/>
  <c r="BG316" i="1"/>
  <c r="BR316" i="1"/>
  <c r="AI321" i="1"/>
  <c r="AY321" i="1"/>
  <c r="BO321" i="1"/>
  <c r="BO322" i="1"/>
  <c r="BW328" i="1"/>
  <c r="F326" i="1"/>
  <c r="AB329" i="1"/>
  <c r="AJ329" i="1"/>
  <c r="AR329" i="1"/>
  <c r="W316" i="1"/>
  <c r="AM316" i="1"/>
  <c r="BC316" i="1"/>
  <c r="BS316" i="1"/>
  <c r="W322" i="1"/>
  <c r="AE322" i="1"/>
  <c r="AM322" i="1"/>
  <c r="AU322" i="1"/>
  <c r="BC322" i="1"/>
  <c r="BJ322" i="1"/>
  <c r="X316" i="1"/>
  <c r="AB316" i="1"/>
  <c r="AF316" i="1"/>
  <c r="AJ316" i="1"/>
  <c r="AN316" i="1"/>
  <c r="AR316" i="1"/>
  <c r="AV316" i="1"/>
  <c r="AZ316" i="1"/>
  <c r="BD316" i="1"/>
  <c r="BH316" i="1"/>
  <c r="BL316" i="1"/>
  <c r="BP316" i="1"/>
  <c r="BK321" i="1"/>
  <c r="X329" i="1"/>
  <c r="AG329" i="1"/>
  <c r="Z327" i="1"/>
  <c r="C327" i="1" s="1"/>
  <c r="AD327" i="1"/>
  <c r="D327" i="1" s="1"/>
  <c r="AH327" i="1"/>
  <c r="AL327" i="1"/>
  <c r="AP327" i="1"/>
  <c r="G327" i="1" s="1"/>
  <c r="AT327" i="1"/>
  <c r="Y328" i="1"/>
  <c r="Y338" i="1" s="1"/>
  <c r="AC328" i="1"/>
  <c r="AC338" i="1" s="1"/>
  <c r="AG328" i="1"/>
  <c r="AG339" i="1" s="1"/>
  <c r="AK328" i="1"/>
  <c r="AK339" i="1" s="1"/>
  <c r="AO328" i="1"/>
  <c r="AS328" i="1"/>
  <c r="AS339" i="1" s="1"/>
  <c r="BO365" i="1"/>
  <c r="BM367" i="1"/>
  <c r="N272" i="1" l="1"/>
  <c r="AS140" i="1"/>
  <c r="AS144" i="1"/>
  <c r="AK141" i="1"/>
  <c r="AN102" i="1"/>
  <c r="AN85" i="1" s="1"/>
  <c r="BC177" i="1"/>
  <c r="BC169" i="1"/>
  <c r="AO18" i="1"/>
  <c r="AE363" i="1"/>
  <c r="BL143" i="1"/>
  <c r="BM140" i="1"/>
  <c r="BI140" i="1"/>
  <c r="BI144" i="1"/>
  <c r="BE141" i="1"/>
  <c r="BA142" i="1"/>
  <c r="AW139" i="1"/>
  <c r="AW143" i="1"/>
  <c r="AO141" i="1"/>
  <c r="AG141" i="1"/>
  <c r="AC141" i="1"/>
  <c r="X102" i="1"/>
  <c r="X85" i="1" s="1"/>
  <c r="AA141" i="1"/>
  <c r="AI363" i="1"/>
  <c r="AS338" i="1"/>
  <c r="AU201" i="1"/>
  <c r="K64" i="1"/>
  <c r="J10" i="1"/>
  <c r="J12" i="1" s="1"/>
  <c r="D272" i="1"/>
  <c r="H21" i="1"/>
  <c r="BP363" i="1"/>
  <c r="AI288" i="1"/>
  <c r="BT198" i="1"/>
  <c r="K79" i="1"/>
  <c r="D30" i="1"/>
  <c r="AR289" i="1"/>
  <c r="C21" i="1"/>
  <c r="BH226" i="1"/>
  <c r="I79" i="1"/>
  <c r="J79" i="1"/>
  <c r="I272" i="1"/>
  <c r="L130" i="1"/>
  <c r="BU327" i="1"/>
  <c r="AL203" i="1"/>
  <c r="AL62" i="1"/>
  <c r="AL17" i="1" s="1"/>
  <c r="AL100" i="1" s="1"/>
  <c r="I159" i="1"/>
  <c r="BC15" i="1"/>
  <c r="J60" i="1"/>
  <c r="AX302" i="1"/>
  <c r="L202" i="1"/>
  <c r="BI116" i="1"/>
  <c r="AK338" i="1"/>
  <c r="BM226" i="1"/>
  <c r="AJ288" i="1"/>
  <c r="BR173" i="1"/>
  <c r="BR174" i="1" s="1"/>
  <c r="BR182" i="1" s="1"/>
  <c r="BG167" i="1"/>
  <c r="BQ149" i="1"/>
  <c r="BQ150" i="1" s="1"/>
  <c r="F159" i="1"/>
  <c r="M76" i="1"/>
  <c r="M79" i="1" s="1"/>
  <c r="H112" i="1"/>
  <c r="BN140" i="1"/>
  <c r="AP139" i="1"/>
  <c r="AP143" i="1"/>
  <c r="AH141" i="1"/>
  <c r="V141" i="1"/>
  <c r="BR52" i="1"/>
  <c r="AO45" i="1"/>
  <c r="AO101" i="1"/>
  <c r="AO84" i="1" s="1"/>
  <c r="BQ140" i="1"/>
  <c r="BQ144" i="1"/>
  <c r="U142" i="1"/>
  <c r="G11" i="1"/>
  <c r="G12" i="1" s="1"/>
  <c r="T116" i="1"/>
  <c r="AY140" i="1"/>
  <c r="AY144" i="1"/>
  <c r="BC191" i="1"/>
  <c r="AY203" i="1"/>
  <c r="AY62" i="1"/>
  <c r="AK289" i="1"/>
  <c r="BE363" i="1"/>
  <c r="BE369" i="1" s="1"/>
  <c r="BK167" i="1"/>
  <c r="J152" i="1"/>
  <c r="J107" i="1" s="1"/>
  <c r="BN143" i="1"/>
  <c r="E151" i="1"/>
  <c r="E159" i="1" s="1"/>
  <c r="E175" i="1"/>
  <c r="E183" i="1" s="1"/>
  <c r="K175" i="1"/>
  <c r="K183" i="1" s="1"/>
  <c r="G151" i="1"/>
  <c r="G159" i="1" s="1"/>
  <c r="BB116" i="1"/>
  <c r="AO52" i="1"/>
  <c r="V102" i="1"/>
  <c r="V85" i="1" s="1"/>
  <c r="BR141" i="1"/>
  <c r="BF141" i="1"/>
  <c r="AD141" i="1"/>
  <c r="BM141" i="1"/>
  <c r="BI141" i="1"/>
  <c r="BE142" i="1"/>
  <c r="BA139" i="1"/>
  <c r="BA143" i="1"/>
  <c r="AW140" i="1"/>
  <c r="AW144" i="1"/>
  <c r="AO142" i="1"/>
  <c r="AG142" i="1"/>
  <c r="AC142" i="1"/>
  <c r="J24" i="1"/>
  <c r="J210" i="1" s="1"/>
  <c r="AJ116" i="1"/>
  <c r="AA140" i="1"/>
  <c r="AA144" i="1"/>
  <c r="O266" i="1"/>
  <c r="AM201" i="1"/>
  <c r="BB363" i="1"/>
  <c r="AC339" i="1"/>
  <c r="W282" i="1"/>
  <c r="AU281" i="1"/>
  <c r="AU282" i="1" s="1"/>
  <c r="BM251" i="1"/>
  <c r="BM252" i="1" s="1"/>
  <c r="AU191" i="1"/>
  <c r="J272" i="1"/>
  <c r="AT139" i="1"/>
  <c r="AT143" i="1"/>
  <c r="AR66" i="1"/>
  <c r="AC102" i="1"/>
  <c r="AC85" i="1" s="1"/>
  <c r="BM139" i="1"/>
  <c r="BM144" i="1"/>
  <c r="BI139" i="1"/>
  <c r="BI143" i="1"/>
  <c r="BE140" i="1"/>
  <c r="BE144" i="1"/>
  <c r="BA141" i="1"/>
  <c r="AW142" i="1"/>
  <c r="AO140" i="1"/>
  <c r="AO144" i="1"/>
  <c r="AG140" i="1"/>
  <c r="AG144" i="1"/>
  <c r="AC140" i="1"/>
  <c r="AC144" i="1"/>
  <c r="K11" i="1"/>
  <c r="K12" i="1" s="1"/>
  <c r="K310" i="1" s="1"/>
  <c r="F10" i="1"/>
  <c r="F48" i="1" s="1"/>
  <c r="F28" i="1"/>
  <c r="I23" i="1"/>
  <c r="AR140" i="1"/>
  <c r="AR144" i="1"/>
  <c r="AJ141" i="1"/>
  <c r="AB141" i="1"/>
  <c r="AA142" i="1"/>
  <c r="BB193" i="1"/>
  <c r="BB61" i="1"/>
  <c r="BB16" i="1" s="1"/>
  <c r="AM153" i="1"/>
  <c r="AM167" i="1" s="1"/>
  <c r="AL60" i="1"/>
  <c r="BN142" i="1"/>
  <c r="AH139" i="1"/>
  <c r="AH143" i="1"/>
  <c r="Y102" i="1"/>
  <c r="Y85" i="1" s="1"/>
  <c r="Y140" i="1"/>
  <c r="Y144" i="1"/>
  <c r="E38" i="1"/>
  <c r="J32" i="1"/>
  <c r="M27" i="1"/>
  <c r="M65" i="1" s="1"/>
  <c r="H22" i="1"/>
  <c r="BL116" i="1"/>
  <c r="BH141" i="1"/>
  <c r="AZ139" i="1"/>
  <c r="AZ143" i="1"/>
  <c r="AY141" i="1"/>
  <c r="AY177" i="1"/>
  <c r="AX61" i="1"/>
  <c r="AF288" i="1"/>
  <c r="AW281" i="1"/>
  <c r="AW282" i="1" s="1"/>
  <c r="X282" i="1"/>
  <c r="BR363" i="1"/>
  <c r="BA363" i="1"/>
  <c r="AK363" i="1"/>
  <c r="BJ149" i="1"/>
  <c r="BJ150" i="1" s="1"/>
  <c r="BJ115" i="1" s="1"/>
  <c r="BB140" i="1"/>
  <c r="BB144" i="1"/>
  <c r="BL66" i="1"/>
  <c r="BR139" i="1"/>
  <c r="BR143" i="1"/>
  <c r="BF139" i="1"/>
  <c r="BF143" i="1"/>
  <c r="AD139" i="1"/>
  <c r="AD143" i="1"/>
  <c r="BQ142" i="1"/>
  <c r="U140" i="1"/>
  <c r="U144" i="1"/>
  <c r="N10" i="1"/>
  <c r="F32" i="1"/>
  <c r="N24" i="1"/>
  <c r="N210" i="1" s="1"/>
  <c r="D22" i="1"/>
  <c r="L272" i="1"/>
  <c r="BR193" i="1"/>
  <c r="BR61" i="1"/>
  <c r="BR16" i="1" s="1"/>
  <c r="N202" i="1"/>
  <c r="AW138" i="1"/>
  <c r="U138" i="1"/>
  <c r="AZ138" i="1"/>
  <c r="H272" i="1"/>
  <c r="AA138" i="1"/>
  <c r="C342" i="1"/>
  <c r="C357" i="1" s="1"/>
  <c r="BU240" i="1"/>
  <c r="BV271" i="1"/>
  <c r="BB203" i="1"/>
  <c r="BB62" i="1"/>
  <c r="BC197" i="1"/>
  <c r="AI203" i="1"/>
  <c r="AI62" i="1"/>
  <c r="AH191" i="1"/>
  <c r="AL193" i="1"/>
  <c r="AL61" i="1"/>
  <c r="AM177" i="1"/>
  <c r="AM191" i="1" s="1"/>
  <c r="BU172" i="1"/>
  <c r="BU181" i="1" s="1"/>
  <c r="BV11" i="1"/>
  <c r="L111" i="1"/>
  <c r="E77" i="1"/>
  <c r="I183" i="1"/>
  <c r="M342" i="1"/>
  <c r="M357" i="1" s="1"/>
  <c r="M272" i="1"/>
  <c r="AT66" i="1"/>
  <c r="BA138" i="1"/>
  <c r="AK138" i="1"/>
  <c r="AJ138" i="1"/>
  <c r="AB138" i="1"/>
  <c r="BS1" i="1"/>
  <c r="AI177" i="1"/>
  <c r="AH61" i="1"/>
  <c r="AP138" i="1"/>
  <c r="AT138" i="1"/>
  <c r="J111" i="1"/>
  <c r="AM363" i="1"/>
  <c r="AN282" i="1"/>
  <c r="BB138" i="1"/>
  <c r="AH138" i="1"/>
  <c r="V138" i="1"/>
  <c r="K65" i="1"/>
  <c r="BR138" i="1"/>
  <c r="BF138" i="1"/>
  <c r="AD138" i="1"/>
  <c r="U84" i="1"/>
  <c r="BQ138" i="1"/>
  <c r="BE138" i="1"/>
  <c r="AS138" i="1"/>
  <c r="AO138" i="1"/>
  <c r="AG138" i="1"/>
  <c r="AC138" i="1"/>
  <c r="BH138" i="1"/>
  <c r="BH142" i="1"/>
  <c r="AZ140" i="1"/>
  <c r="AZ144" i="1"/>
  <c r="AR138" i="1"/>
  <c r="AR142" i="1"/>
  <c r="AJ139" i="1"/>
  <c r="AJ143" i="1"/>
  <c r="AB139" i="1"/>
  <c r="AB143" i="1"/>
  <c r="AY138" i="1"/>
  <c r="AY142" i="1"/>
  <c r="V84" i="1"/>
  <c r="E342" i="1"/>
  <c r="E357" i="1" s="1"/>
  <c r="E272" i="1"/>
  <c r="BS176" i="1"/>
  <c r="BS184" i="1" s="1"/>
  <c r="BS61" i="1"/>
  <c r="CN19" i="1"/>
  <c r="CN20" i="1" s="1"/>
  <c r="CN21" i="1" s="1"/>
  <c r="CN22" i="1" s="1"/>
  <c r="CN23" i="1" s="1"/>
  <c r="CN24" i="1" s="1"/>
  <c r="CN25" i="1" s="1"/>
  <c r="AL191" i="1"/>
  <c r="AL363" i="1"/>
  <c r="AE191" i="1"/>
  <c r="BQ289" i="1"/>
  <c r="BG363" i="1"/>
  <c r="BG369" i="1" s="1"/>
  <c r="K369" i="1" s="1"/>
  <c r="AN363" i="1"/>
  <c r="AO301" i="1"/>
  <c r="BS144" i="1"/>
  <c r="BJ116" i="1"/>
  <c r="AP116" i="1"/>
  <c r="Z116" i="1"/>
  <c r="E112" i="1"/>
  <c r="AA116" i="1"/>
  <c r="BC140" i="1"/>
  <c r="BC144" i="1"/>
  <c r="AU138" i="1"/>
  <c r="AU142" i="1"/>
  <c r="AE140" i="1"/>
  <c r="AE144" i="1"/>
  <c r="W140" i="1"/>
  <c r="W144" i="1"/>
  <c r="BH289" i="1"/>
  <c r="AG338" i="1"/>
  <c r="AD289" i="1"/>
  <c r="BK363" i="1"/>
  <c r="BK369" i="1" s="1"/>
  <c r="L369" i="1" s="1"/>
  <c r="BJ363" i="1"/>
  <c r="BJ369" i="1" s="1"/>
  <c r="AC363" i="1"/>
  <c r="BH282" i="1"/>
  <c r="AW301" i="1"/>
  <c r="D112" i="1"/>
  <c r="V116" i="1"/>
  <c r="K111" i="1"/>
  <c r="AQ116" i="1"/>
  <c r="W116" i="1"/>
  <c r="L65" i="1"/>
  <c r="BO138" i="1"/>
  <c r="BK138" i="1"/>
  <c r="K223" i="1"/>
  <c r="G223" i="1"/>
  <c r="D77" i="1"/>
  <c r="F201" i="1"/>
  <c r="BL288" i="1"/>
  <c r="BH363" i="1"/>
  <c r="BH369" i="1" s="1"/>
  <c r="AQ363" i="1"/>
  <c r="AA363" i="1"/>
  <c r="AE282" i="1"/>
  <c r="AU302" i="1"/>
  <c r="BO282" i="1"/>
  <c r="BM363" i="1"/>
  <c r="BM369" i="1" s="1"/>
  <c r="AV363" i="1"/>
  <c r="BK201" i="1"/>
  <c r="AE201" i="1"/>
  <c r="AI191" i="1"/>
  <c r="I111" i="1"/>
  <c r="BR116" i="1"/>
  <c r="H111" i="1"/>
  <c r="AA102" i="1"/>
  <c r="AA85" i="1" s="1"/>
  <c r="BO139" i="1"/>
  <c r="BC138" i="1"/>
  <c r="AM138" i="1"/>
  <c r="AE138" i="1"/>
  <c r="W138" i="1"/>
  <c r="F77" i="1"/>
  <c r="L223" i="1"/>
  <c r="C77" i="1"/>
  <c r="M223" i="1"/>
  <c r="J202" i="1"/>
  <c r="K272" i="1"/>
  <c r="BN138" i="1"/>
  <c r="BB139" i="1"/>
  <c r="BB143" i="1"/>
  <c r="AP141" i="1"/>
  <c r="V139" i="1"/>
  <c r="V143" i="1"/>
  <c r="L11" i="1"/>
  <c r="P32" i="1"/>
  <c r="N30" i="1"/>
  <c r="L28" i="1"/>
  <c r="G27" i="1"/>
  <c r="F26" i="1"/>
  <c r="K23" i="1"/>
  <c r="J22" i="1"/>
  <c r="E21" i="1"/>
  <c r="AT141" i="1"/>
  <c r="G38" i="1"/>
  <c r="O32" i="1"/>
  <c r="M30" i="1"/>
  <c r="K28" i="1"/>
  <c r="J27" i="1"/>
  <c r="J65" i="1" s="1"/>
  <c r="E26" i="1"/>
  <c r="N23" i="1"/>
  <c r="I22" i="1"/>
  <c r="I49" i="1" s="1"/>
  <c r="D21" i="1"/>
  <c r="AK102" i="1"/>
  <c r="AK85" i="1" s="1"/>
  <c r="BU16" i="1"/>
  <c r="BU53" i="1" s="1"/>
  <c r="BQ139" i="1"/>
  <c r="BQ143" i="1"/>
  <c r="BM138" i="1"/>
  <c r="BM142" i="1"/>
  <c r="BI138" i="1"/>
  <c r="BI142" i="1"/>
  <c r="BE139" i="1"/>
  <c r="BE143" i="1"/>
  <c r="BA140" i="1"/>
  <c r="BA144" i="1"/>
  <c r="AW141" i="1"/>
  <c r="AO139" i="1"/>
  <c r="AO143" i="1"/>
  <c r="AG139" i="1"/>
  <c r="AG143" i="1"/>
  <c r="AC139" i="1"/>
  <c r="AC143" i="1"/>
  <c r="Y138" i="1"/>
  <c r="Y142" i="1"/>
  <c r="U141" i="1"/>
  <c r="C11" i="1"/>
  <c r="C46" i="1" s="1"/>
  <c r="H30" i="1"/>
  <c r="L26" i="1"/>
  <c r="E23" i="1"/>
  <c r="AJ102" i="1"/>
  <c r="AJ85" i="1" s="1"/>
  <c r="AN116" i="1"/>
  <c r="T84" i="1"/>
  <c r="BH139" i="1"/>
  <c r="BH143" i="1"/>
  <c r="AZ141" i="1"/>
  <c r="AR139" i="1"/>
  <c r="AR143" i="1"/>
  <c r="AJ140" i="1"/>
  <c r="AJ144" i="1"/>
  <c r="AB140" i="1"/>
  <c r="AB144" i="1"/>
  <c r="AY139" i="1"/>
  <c r="AY143" i="1"/>
  <c r="BT329" i="1"/>
  <c r="BT37" i="1"/>
  <c r="BO203" i="1"/>
  <c r="BO62" i="1"/>
  <c r="AM203" i="1"/>
  <c r="AM62" i="1"/>
  <c r="BR191" i="1"/>
  <c r="BS187" i="1"/>
  <c r="BC193" i="1"/>
  <c r="BC61" i="1"/>
  <c r="G329" i="1"/>
  <c r="G37" i="1"/>
  <c r="J319" i="1"/>
  <c r="J318" i="1"/>
  <c r="J298" i="1" s="1"/>
  <c r="J225" i="1"/>
  <c r="BJ158" i="1"/>
  <c r="BJ106" i="1"/>
  <c r="BJ83" i="1"/>
  <c r="N160" i="1"/>
  <c r="N107" i="1"/>
  <c r="C329" i="1"/>
  <c r="C37" i="1"/>
  <c r="J160" i="1"/>
  <c r="C344" i="1"/>
  <c r="C345" i="1" s="1"/>
  <c r="C207" i="1"/>
  <c r="C220" i="1"/>
  <c r="C29" i="1"/>
  <c r="C31" i="1" s="1"/>
  <c r="D329" i="1"/>
  <c r="D37" i="1"/>
  <c r="AW322" i="1"/>
  <c r="AX263" i="1"/>
  <c r="AW262" i="1"/>
  <c r="AW321" i="1" s="1"/>
  <c r="AP372" i="1"/>
  <c r="AP374" i="1" s="1"/>
  <c r="V319" i="1"/>
  <c r="V318" i="1"/>
  <c r="V317" i="1"/>
  <c r="V225" i="1"/>
  <c r="V224" i="1" s="1"/>
  <c r="V226" i="1" s="1"/>
  <c r="BM173" i="1"/>
  <c r="BM174" i="1" s="1"/>
  <c r="BM182" i="1" s="1"/>
  <c r="BM184" i="1"/>
  <c r="BF176" i="1"/>
  <c r="BF193" i="1"/>
  <c r="BG177" i="1"/>
  <c r="BF61" i="1"/>
  <c r="AX169" i="1"/>
  <c r="AY153" i="1"/>
  <c r="I153" i="1" s="1"/>
  <c r="I169" i="1" s="1"/>
  <c r="AX152" i="1"/>
  <c r="AX60" i="1"/>
  <c r="AZ115" i="1"/>
  <c r="AZ158" i="1"/>
  <c r="AZ106" i="1"/>
  <c r="AZ83" i="1"/>
  <c r="AT169" i="1"/>
  <c r="AU153" i="1"/>
  <c r="AU167" i="1" s="1"/>
  <c r="AT152" i="1"/>
  <c r="AT60" i="1"/>
  <c r="AV115" i="1"/>
  <c r="AV158" i="1"/>
  <c r="AV83" i="1"/>
  <c r="AV106" i="1"/>
  <c r="AB115" i="1"/>
  <c r="AB106" i="1"/>
  <c r="AB83" i="1"/>
  <c r="BM149" i="1"/>
  <c r="BM150" i="1" s="1"/>
  <c r="BT322" i="1"/>
  <c r="BW63" i="1"/>
  <c r="AL66" i="1"/>
  <c r="AL31" i="1"/>
  <c r="BS346" i="1"/>
  <c r="AM349" i="1"/>
  <c r="AM346" i="1"/>
  <c r="BO143" i="1"/>
  <c r="BK213" i="1"/>
  <c r="BK211" i="1"/>
  <c r="BC114" i="1"/>
  <c r="BC81" i="1"/>
  <c r="BC89" i="1"/>
  <c r="BC69" i="1" s="1"/>
  <c r="BC74" i="1"/>
  <c r="W114" i="1"/>
  <c r="W89" i="1"/>
  <c r="W81" i="1"/>
  <c r="W74" i="1"/>
  <c r="AS93" i="1"/>
  <c r="AS94" i="1" s="1"/>
  <c r="AS97" i="1"/>
  <c r="AS101" i="1" s="1"/>
  <c r="D89" i="1"/>
  <c r="D69" i="1" s="1"/>
  <c r="D12" i="1"/>
  <c r="D50" i="1" s="1"/>
  <c r="G373" i="1"/>
  <c r="G315" i="1"/>
  <c r="G208" i="1"/>
  <c r="G63" i="1"/>
  <c r="K373" i="1"/>
  <c r="K315" i="1"/>
  <c r="K208" i="1"/>
  <c r="K63" i="1"/>
  <c r="M77" i="1"/>
  <c r="L74" i="1"/>
  <c r="N77" i="1"/>
  <c r="M373" i="1"/>
  <c r="M315" i="1"/>
  <c r="M208" i="1"/>
  <c r="M63" i="1"/>
  <c r="E74" i="1"/>
  <c r="E81" i="1"/>
  <c r="N373" i="1"/>
  <c r="N315" i="1"/>
  <c r="N208" i="1"/>
  <c r="N63" i="1"/>
  <c r="F74" i="1"/>
  <c r="F81" i="1"/>
  <c r="N223" i="1"/>
  <c r="M130" i="1"/>
  <c r="C166" i="1"/>
  <c r="C150" i="1"/>
  <c r="C105" i="1"/>
  <c r="C112" i="1"/>
  <c r="L161" i="1"/>
  <c r="L168" i="1"/>
  <c r="J157" i="1"/>
  <c r="J166" i="1"/>
  <c r="J105" i="1"/>
  <c r="J161" i="1"/>
  <c r="J168" i="1"/>
  <c r="J108" i="1"/>
  <c r="J86" i="1"/>
  <c r="N163" i="1"/>
  <c r="N167" i="1" s="1"/>
  <c r="H190" i="1"/>
  <c r="H181" i="1"/>
  <c r="G198" i="1"/>
  <c r="G201" i="1" s="1"/>
  <c r="I181" i="1"/>
  <c r="I190" i="1"/>
  <c r="H192" i="1"/>
  <c r="H185" i="1"/>
  <c r="L187" i="1"/>
  <c r="M105" i="1"/>
  <c r="M166" i="1"/>
  <c r="M157" i="1"/>
  <c r="J181" i="1"/>
  <c r="J190" i="1"/>
  <c r="M185" i="1"/>
  <c r="M192" i="1"/>
  <c r="D198" i="1"/>
  <c r="D201" i="1" s="1"/>
  <c r="M318" i="1"/>
  <c r="M298" i="1" s="1"/>
  <c r="M319" i="1"/>
  <c r="M225" i="1"/>
  <c r="M224" i="1" s="1"/>
  <c r="M226" i="1" s="1"/>
  <c r="J247" i="1"/>
  <c r="J379" i="1" s="1"/>
  <c r="K242" i="1"/>
  <c r="D317" i="1"/>
  <c r="D318" i="1"/>
  <c r="D298" i="1" s="1"/>
  <c r="D319" i="1"/>
  <c r="D225" i="1"/>
  <c r="K342" i="1"/>
  <c r="K357" i="1" s="1"/>
  <c r="K286" i="1"/>
  <c r="BB211" i="1"/>
  <c r="BB214" i="1" s="1"/>
  <c r="BB213" i="1"/>
  <c r="AP114" i="1"/>
  <c r="AP89" i="1"/>
  <c r="AP69" i="1" s="1"/>
  <c r="AP81" i="1"/>
  <c r="AP74" i="1"/>
  <c r="V114" i="1"/>
  <c r="V81" i="1"/>
  <c r="V89" i="1"/>
  <c r="V74" i="1"/>
  <c r="J342" i="1"/>
  <c r="J357" i="1" s="1"/>
  <c r="J286" i="1"/>
  <c r="J280" i="1"/>
  <c r="J285" i="1" s="1"/>
  <c r="M323" i="1"/>
  <c r="M286" i="1"/>
  <c r="BJ66" i="1"/>
  <c r="BJ31" i="1"/>
  <c r="AT350" i="1"/>
  <c r="AT33" i="1"/>
  <c r="BN349" i="1"/>
  <c r="BN346" i="1"/>
  <c r="BF349" i="1"/>
  <c r="BF346" i="1"/>
  <c r="AX349" i="1"/>
  <c r="AX346" i="1"/>
  <c r="AP349" i="1"/>
  <c r="AP346" i="1"/>
  <c r="AH349" i="1"/>
  <c r="AH346" i="1"/>
  <c r="Z346" i="1"/>
  <c r="Z349" i="1"/>
  <c r="BR348" i="1"/>
  <c r="AT211" i="1"/>
  <c r="AT213" i="1"/>
  <c r="AD114" i="1"/>
  <c r="AD89" i="1"/>
  <c r="AD81" i="1"/>
  <c r="AD74" i="1"/>
  <c r="N342" i="1"/>
  <c r="N357" i="1" s="1"/>
  <c r="N286" i="1"/>
  <c r="I323" i="1"/>
  <c r="I286" i="1"/>
  <c r="AC350" i="1"/>
  <c r="AC33" i="1"/>
  <c r="AC35" i="1"/>
  <c r="AC1" i="1" s="1"/>
  <c r="BE66" i="1"/>
  <c r="BE31" i="1"/>
  <c r="BQ346" i="1"/>
  <c r="BQ349" i="1"/>
  <c r="BI346" i="1"/>
  <c r="BI349" i="1"/>
  <c r="AW346" i="1"/>
  <c r="AW349" i="1"/>
  <c r="AK346" i="1"/>
  <c r="AK349" i="1"/>
  <c r="AC346" i="1"/>
  <c r="AC349" i="1"/>
  <c r="Y346" i="1"/>
  <c r="Y349" i="1"/>
  <c r="N65" i="1"/>
  <c r="BQ295" i="1"/>
  <c r="BQ296" i="1"/>
  <c r="BQ51" i="1"/>
  <c r="BQ44" i="1"/>
  <c r="BA295" i="1"/>
  <c r="BA296" i="1"/>
  <c r="BA51" i="1"/>
  <c r="BA44" i="1"/>
  <c r="AK295" i="1"/>
  <c r="AK296" i="1"/>
  <c r="AK51" i="1"/>
  <c r="AK44" i="1"/>
  <c r="AG102" i="1"/>
  <c r="AG85" i="1" s="1"/>
  <c r="BQ211" i="1"/>
  <c r="BQ213" i="1"/>
  <c r="BQ348" i="1"/>
  <c r="BI173" i="1"/>
  <c r="BI174" i="1" s="1"/>
  <c r="BI182" i="1" s="1"/>
  <c r="BI183" i="1"/>
  <c r="BA211" i="1"/>
  <c r="BA214" i="1" s="1"/>
  <c r="BA213" i="1"/>
  <c r="BA348" i="1"/>
  <c r="AW211" i="1"/>
  <c r="AW214" i="1" s="1"/>
  <c r="AW213" i="1"/>
  <c r="AW348" i="1"/>
  <c r="AS348" i="1"/>
  <c r="AO211" i="1"/>
  <c r="AO213" i="1"/>
  <c r="AK211" i="1"/>
  <c r="AK213" i="1"/>
  <c r="AG348" i="1"/>
  <c r="Y211" i="1"/>
  <c r="Y213" i="1"/>
  <c r="U114" i="1"/>
  <c r="U89" i="1"/>
  <c r="U74" i="1"/>
  <c r="U81" i="1"/>
  <c r="K38" i="1"/>
  <c r="AF350" i="1"/>
  <c r="AF33" i="1"/>
  <c r="AF35" i="1"/>
  <c r="AF1" i="1" s="1"/>
  <c r="BH66" i="1"/>
  <c r="BH31" i="1"/>
  <c r="AQ66" i="1"/>
  <c r="AQ31" i="1"/>
  <c r="AA66" i="1"/>
  <c r="AA31" i="1"/>
  <c r="X349" i="1"/>
  <c r="X346" i="1"/>
  <c r="N32" i="1"/>
  <c r="L30" i="1"/>
  <c r="J28" i="1"/>
  <c r="E27" i="1"/>
  <c r="D26" i="1"/>
  <c r="M23" i="1"/>
  <c r="L22" i="1"/>
  <c r="K21" i="1"/>
  <c r="L55" i="1" s="1"/>
  <c r="BL18" i="1"/>
  <c r="BM51" i="1" s="1"/>
  <c r="AV295" i="1"/>
  <c r="AV296" i="1"/>
  <c r="AV44" i="1"/>
  <c r="AF295" i="1"/>
  <c r="AF296" i="1"/>
  <c r="AF44" i="1"/>
  <c r="AB102" i="1"/>
  <c r="AB85" i="1" s="1"/>
  <c r="G15" i="1"/>
  <c r="BP138" i="1"/>
  <c r="BP142" i="1"/>
  <c r="BL138" i="1"/>
  <c r="BL142" i="1"/>
  <c r="BH81" i="1"/>
  <c r="BH89" i="1"/>
  <c r="BH69" i="1" s="1"/>
  <c r="BH74" i="1"/>
  <c r="BH213" i="1"/>
  <c r="BH211" i="1"/>
  <c r="BD114" i="1"/>
  <c r="BD81" i="1"/>
  <c r="BD89" i="1"/>
  <c r="BD69" i="1" s="1"/>
  <c r="BD74" i="1"/>
  <c r="BD141" i="1"/>
  <c r="AZ114" i="1"/>
  <c r="AZ89" i="1"/>
  <c r="AZ81" i="1"/>
  <c r="AZ74" i="1"/>
  <c r="AV114" i="1"/>
  <c r="AV81" i="1"/>
  <c r="AV74" i="1"/>
  <c r="AV89" i="1"/>
  <c r="AV141" i="1"/>
  <c r="AR114" i="1"/>
  <c r="AR81" i="1"/>
  <c r="AR74" i="1"/>
  <c r="AR89" i="1"/>
  <c r="AS90" i="1" s="1"/>
  <c r="AN114" i="1"/>
  <c r="AN81" i="1"/>
  <c r="AN74" i="1"/>
  <c r="AN89" i="1"/>
  <c r="AN69" i="1" s="1"/>
  <c r="AN141" i="1"/>
  <c r="AJ348" i="1"/>
  <c r="AF139" i="1"/>
  <c r="AF143" i="1"/>
  <c r="AF213" i="1"/>
  <c r="AF211" i="1"/>
  <c r="AF214" i="1" s="1"/>
  <c r="AB213" i="1"/>
  <c r="AB211" i="1"/>
  <c r="X114" i="1"/>
  <c r="X81" i="1"/>
  <c r="X74" i="1"/>
  <c r="X89" i="1"/>
  <c r="X90" i="1" s="1"/>
  <c r="X141" i="1"/>
  <c r="X213" i="1"/>
  <c r="X211" i="1"/>
  <c r="X214" i="1" s="1"/>
  <c r="T114" i="1"/>
  <c r="T81" i="1"/>
  <c r="T89" i="1"/>
  <c r="T69" i="1" s="1"/>
  <c r="N11" i="1"/>
  <c r="I10" i="1"/>
  <c r="L358" i="1"/>
  <c r="L343" i="1"/>
  <c r="L261" i="1"/>
  <c r="L267" i="1" s="1"/>
  <c r="L2" i="1"/>
  <c r="H286" i="1"/>
  <c r="D358" i="1"/>
  <c r="D343" i="1"/>
  <c r="D261" i="1"/>
  <c r="BS139" i="1"/>
  <c r="BS213" i="1"/>
  <c r="BS211" i="1"/>
  <c r="BG114" i="1"/>
  <c r="BG81" i="1"/>
  <c r="BG74" i="1"/>
  <c r="BG89" i="1"/>
  <c r="BG69" i="1" s="1"/>
  <c r="BG140" i="1"/>
  <c r="BG144" i="1"/>
  <c r="AQ141" i="1"/>
  <c r="AI141" i="1"/>
  <c r="AA114" i="1"/>
  <c r="AA89" i="1"/>
  <c r="AA69" i="1" s="1"/>
  <c r="AA81" i="1"/>
  <c r="AA74" i="1"/>
  <c r="E11" i="1"/>
  <c r="E43" i="1" s="1"/>
  <c r="G272" i="1"/>
  <c r="G280" i="1"/>
  <c r="C343" i="1"/>
  <c r="C358" i="1"/>
  <c r="C261" i="1"/>
  <c r="C267" i="1" s="1"/>
  <c r="C280" i="1"/>
  <c r="C285" i="1" s="1"/>
  <c r="C323" i="1"/>
  <c r="BJ140" i="1"/>
  <c r="BJ144" i="1"/>
  <c r="BJ348" i="1"/>
  <c r="AX139" i="1"/>
  <c r="AX143" i="1"/>
  <c r="AX348" i="1"/>
  <c r="AL139" i="1"/>
  <c r="AL143" i="1"/>
  <c r="Z138" i="1"/>
  <c r="Z142" i="1"/>
  <c r="Z211" i="1"/>
  <c r="Z214" i="1" s="1"/>
  <c r="Z213" i="1"/>
  <c r="P236" i="1"/>
  <c r="P234" i="1"/>
  <c r="P380" i="1"/>
  <c r="F272" i="1"/>
  <c r="E280" i="1"/>
  <c r="BQ350" i="1"/>
  <c r="BQ33" i="1"/>
  <c r="BQ35" i="1"/>
  <c r="BQ1" i="1" s="1"/>
  <c r="BL350" i="1"/>
  <c r="BL33" i="1"/>
  <c r="BL35" i="1"/>
  <c r="BL1" i="1" s="1"/>
  <c r="BN350" i="1"/>
  <c r="BN33" i="1"/>
  <c r="BN35" i="1"/>
  <c r="BN1" i="1" s="1"/>
  <c r="AH329" i="1"/>
  <c r="AH37" i="1"/>
  <c r="BX328" i="1"/>
  <c r="BX326" i="1" s="1"/>
  <c r="O328" i="1"/>
  <c r="AG322" i="1"/>
  <c r="AH263" i="1"/>
  <c r="AG262" i="1"/>
  <c r="AG321" i="1" s="1"/>
  <c r="AM293" i="1"/>
  <c r="AM289" i="1"/>
  <c r="AM290" i="1"/>
  <c r="BL184" i="1"/>
  <c r="BL173" i="1"/>
  <c r="BG191" i="1"/>
  <c r="BO176" i="1"/>
  <c r="BO193" i="1"/>
  <c r="BO61" i="1"/>
  <c r="BC66" i="1"/>
  <c r="BC31" i="1"/>
  <c r="BC349" i="1"/>
  <c r="BC346" i="1"/>
  <c r="AT329" i="1"/>
  <c r="AT37" i="1"/>
  <c r="AT35" i="1" s="1"/>
  <c r="AT1" i="1" s="1"/>
  <c r="AD329" i="1"/>
  <c r="AD37" i="1"/>
  <c r="BU329" i="1"/>
  <c r="BV327" i="1"/>
  <c r="BU37" i="1"/>
  <c r="BA289" i="1"/>
  <c r="BK290" i="1"/>
  <c r="BK293" i="1"/>
  <c r="BK289" i="1"/>
  <c r="AV288" i="1"/>
  <c r="BL363" i="1"/>
  <c r="BL369" i="1" s="1"/>
  <c r="AU363" i="1"/>
  <c r="AT322" i="1"/>
  <c r="AT262" i="1"/>
  <c r="AT321" i="1" s="1"/>
  <c r="AD322" i="1"/>
  <c r="AD262" i="1"/>
  <c r="AD321" i="1" s="1"/>
  <c r="BS289" i="1"/>
  <c r="AA293" i="1"/>
  <c r="AA289" i="1"/>
  <c r="AA292" i="1"/>
  <c r="AA290" i="1"/>
  <c r="BF363" i="1"/>
  <c r="BF369" i="1" s="1"/>
  <c r="AT289" i="1"/>
  <c r="AT290" i="1"/>
  <c r="AT293" i="1"/>
  <c r="BN289" i="1"/>
  <c r="BN293" i="1"/>
  <c r="BN290" i="1"/>
  <c r="BF289" i="1"/>
  <c r="BF290" i="1"/>
  <c r="BF293" i="1"/>
  <c r="AL289" i="1"/>
  <c r="AY281" i="1"/>
  <c r="AY282" i="1" s="1"/>
  <c r="AZ282" i="1"/>
  <c r="AV281" i="1"/>
  <c r="AV282" i="1" s="1"/>
  <c r="BI363" i="1"/>
  <c r="BI369" i="1" s="1"/>
  <c r="AR363" i="1"/>
  <c r="AB363" i="1"/>
  <c r="BW265" i="1"/>
  <c r="BF243" i="1"/>
  <c r="BF251" i="1" s="1"/>
  <c r="BF252" i="1" s="1"/>
  <c r="BG241" i="1"/>
  <c r="AO372" i="1"/>
  <c r="AO374" i="1" s="1"/>
  <c r="AX281" i="1"/>
  <c r="AX282" i="1" s="1"/>
  <c r="AP301" i="1"/>
  <c r="BI251" i="1"/>
  <c r="BI252" i="1" s="1"/>
  <c r="AX201" i="1"/>
  <c r="AY198" i="1"/>
  <c r="AY201" i="1" s="1"/>
  <c r="BS203" i="1"/>
  <c r="BS62" i="1"/>
  <c r="AS184" i="1"/>
  <c r="AS173" i="1"/>
  <c r="AS174" i="1" s="1"/>
  <c r="AS182" i="1" s="1"/>
  <c r="BS201" i="1"/>
  <c r="BJ176" i="1"/>
  <c r="BJ193" i="1"/>
  <c r="BK177" i="1"/>
  <c r="L177" i="1" s="1"/>
  <c r="L193" i="1" s="1"/>
  <c r="BJ61" i="1"/>
  <c r="BB184" i="1"/>
  <c r="BB173" i="1"/>
  <c r="BB174" i="1" s="1"/>
  <c r="BB182" i="1" s="1"/>
  <c r="BJ191" i="1"/>
  <c r="AP149" i="1"/>
  <c r="AP150" i="1" s="1"/>
  <c r="AP107" i="1"/>
  <c r="AP160" i="1"/>
  <c r="BX124" i="1"/>
  <c r="BX120" i="1"/>
  <c r="BW100" i="1"/>
  <c r="BF191" i="1"/>
  <c r="AT167" i="1"/>
  <c r="AW160" i="1"/>
  <c r="AW149" i="1"/>
  <c r="AW150" i="1" s="1"/>
  <c r="AW107" i="1"/>
  <c r="BG169" i="1"/>
  <c r="BG60" i="1"/>
  <c r="AL107" i="1"/>
  <c r="AL160" i="1"/>
  <c r="AL149" i="1"/>
  <c r="AL150" i="1" s="1"/>
  <c r="AD169" i="1"/>
  <c r="AE153" i="1"/>
  <c r="AE167" i="1" s="1"/>
  <c r="AD152" i="1"/>
  <c r="AD60" i="1"/>
  <c r="BN167" i="1"/>
  <c r="BO163" i="1"/>
  <c r="M163" i="1" s="1"/>
  <c r="AH167" i="1"/>
  <c r="AI163" i="1"/>
  <c r="BW125" i="1"/>
  <c r="BT153" i="1"/>
  <c r="BM143" i="1"/>
  <c r="BS342" i="1"/>
  <c r="BS357" i="1" s="1"/>
  <c r="BS359" i="1" s="1"/>
  <c r="BS363" i="1" s="1"/>
  <c r="BS312" i="1"/>
  <c r="BS261" i="1"/>
  <c r="AY66" i="1"/>
  <c r="AY31" i="1"/>
  <c r="AH66" i="1"/>
  <c r="AH31" i="1"/>
  <c r="BO349" i="1"/>
  <c r="BO346" i="1"/>
  <c r="AY349" i="1"/>
  <c r="AY346" i="1"/>
  <c r="AI349" i="1"/>
  <c r="AI346" i="1"/>
  <c r="BL159" i="1"/>
  <c r="BL149" i="1"/>
  <c r="C66" i="1"/>
  <c r="J48" i="1"/>
  <c r="W102" i="1"/>
  <c r="W85" i="1" s="1"/>
  <c r="BO114" i="1"/>
  <c r="BO74" i="1"/>
  <c r="BO89" i="1"/>
  <c r="BO69" i="1" s="1"/>
  <c r="BO81" i="1"/>
  <c r="BO348" i="1"/>
  <c r="AU348" i="1"/>
  <c r="AM213" i="1"/>
  <c r="AM211" i="1"/>
  <c r="AM214" i="1" s="1"/>
  <c r="W213" i="1"/>
  <c r="W211" i="1"/>
  <c r="W212" i="1" s="1"/>
  <c r="C114" i="1"/>
  <c r="C81" i="1"/>
  <c r="D373" i="1"/>
  <c r="D315" i="1"/>
  <c r="D208" i="1"/>
  <c r="D63" i="1"/>
  <c r="H373" i="1"/>
  <c r="H315" i="1"/>
  <c r="H208" i="1"/>
  <c r="H63" i="1"/>
  <c r="H223" i="1"/>
  <c r="D223" i="1"/>
  <c r="I114" i="1"/>
  <c r="I81" i="1"/>
  <c r="K77" i="1"/>
  <c r="J73" i="1"/>
  <c r="H79" i="1"/>
  <c r="H77" i="1"/>
  <c r="E105" i="1"/>
  <c r="E166" i="1"/>
  <c r="E157" i="1"/>
  <c r="J151" i="1"/>
  <c r="J159" i="1" s="1"/>
  <c r="L131" i="1"/>
  <c r="G166" i="1"/>
  <c r="G157" i="1"/>
  <c r="G105" i="1"/>
  <c r="H108" i="1"/>
  <c r="H161" i="1"/>
  <c r="H168" i="1"/>
  <c r="H86" i="1"/>
  <c r="M131" i="1"/>
  <c r="N151" i="1"/>
  <c r="N159" i="1" s="1"/>
  <c r="C168" i="1"/>
  <c r="C86" i="1"/>
  <c r="C108" i="1"/>
  <c r="G112" i="1"/>
  <c r="N157" i="1"/>
  <c r="N166" i="1"/>
  <c r="N105" i="1"/>
  <c r="D151" i="1"/>
  <c r="D159" i="1" s="1"/>
  <c r="N161" i="1"/>
  <c r="N168" i="1"/>
  <c r="N108" i="1"/>
  <c r="G190" i="1"/>
  <c r="G181" i="1"/>
  <c r="F185" i="1"/>
  <c r="F192" i="1"/>
  <c r="K198" i="1"/>
  <c r="K201" i="1" s="1"/>
  <c r="L190" i="1"/>
  <c r="L181" i="1"/>
  <c r="F175" i="1"/>
  <c r="F183" i="1" s="1"/>
  <c r="G192" i="1"/>
  <c r="G185" i="1"/>
  <c r="K187" i="1"/>
  <c r="L198" i="1"/>
  <c r="L201" i="1" s="1"/>
  <c r="M181" i="1"/>
  <c r="M190" i="1"/>
  <c r="G183" i="1"/>
  <c r="L192" i="1"/>
  <c r="L185" i="1"/>
  <c r="K159" i="1"/>
  <c r="E168" i="1"/>
  <c r="E161" i="1"/>
  <c r="E108" i="1"/>
  <c r="E86" i="1"/>
  <c r="N181" i="1"/>
  <c r="N190" i="1"/>
  <c r="D175" i="1"/>
  <c r="D183" i="1" s="1"/>
  <c r="E187" i="1"/>
  <c r="I246" i="1"/>
  <c r="F319" i="1"/>
  <c r="F318" i="1"/>
  <c r="F298" i="1" s="1"/>
  <c r="F225" i="1"/>
  <c r="J329" i="1"/>
  <c r="J37" i="1"/>
  <c r="N329" i="1"/>
  <c r="N37" i="1"/>
  <c r="H327" i="1"/>
  <c r="H372" i="1"/>
  <c r="BN114" i="1"/>
  <c r="BN74" i="1"/>
  <c r="BN89" i="1"/>
  <c r="BN81" i="1"/>
  <c r="BN211" i="1"/>
  <c r="BN213" i="1"/>
  <c r="BB114" i="1"/>
  <c r="BB81" i="1"/>
  <c r="BB89" i="1"/>
  <c r="BB74" i="1"/>
  <c r="AP348" i="1"/>
  <c r="K89" i="1"/>
  <c r="M280" i="1"/>
  <c r="M285" i="1" s="1"/>
  <c r="BF66" i="1"/>
  <c r="BF31" i="1"/>
  <c r="BR114" i="1"/>
  <c r="BR74" i="1"/>
  <c r="BR81" i="1"/>
  <c r="BR89" i="1"/>
  <c r="BR69" i="1" s="1"/>
  <c r="BF211" i="1"/>
  <c r="BF213" i="1"/>
  <c r="AT114" i="1"/>
  <c r="AT89" i="1"/>
  <c r="AT69" i="1" s="1"/>
  <c r="AT81" i="1"/>
  <c r="AT74" i="1"/>
  <c r="G89" i="1"/>
  <c r="G69" i="1" s="1"/>
  <c r="I342" i="1"/>
  <c r="I357" i="1" s="1"/>
  <c r="I280" i="1"/>
  <c r="I285" i="1" s="1"/>
  <c r="AO350" i="1"/>
  <c r="AO35" i="1"/>
  <c r="AO1" i="1" s="1"/>
  <c r="AO33" i="1"/>
  <c r="Y350" i="1"/>
  <c r="Y35" i="1"/>
  <c r="Y1" i="1" s="1"/>
  <c r="Y33" i="1"/>
  <c r="BA66" i="1"/>
  <c r="BA31" i="1"/>
  <c r="BE346" i="1"/>
  <c r="BE349" i="1"/>
  <c r="L48" i="1"/>
  <c r="BM295" i="1"/>
  <c r="BM296" i="1"/>
  <c r="BM44" i="1"/>
  <c r="AW295" i="1"/>
  <c r="AW296" i="1"/>
  <c r="AW51" i="1"/>
  <c r="AW44" i="1"/>
  <c r="AG295" i="1"/>
  <c r="AG296" i="1"/>
  <c r="AG51" i="1"/>
  <c r="AG44" i="1"/>
  <c r="BM89" i="1"/>
  <c r="BM69" i="1" s="1"/>
  <c r="BM74" i="1"/>
  <c r="BM81" i="1"/>
  <c r="BM348" i="1"/>
  <c r="BI211" i="1"/>
  <c r="BI213" i="1"/>
  <c r="BI348" i="1"/>
  <c r="BE211" i="1"/>
  <c r="BE213" i="1"/>
  <c r="BE348" i="1"/>
  <c r="AW114" i="1"/>
  <c r="AW89" i="1"/>
  <c r="AW69" i="1" s="1"/>
  <c r="AW74" i="1"/>
  <c r="AW81" i="1"/>
  <c r="AS114" i="1"/>
  <c r="AS74" i="1"/>
  <c r="AS69" i="1"/>
  <c r="AS81" i="1"/>
  <c r="AO114" i="1"/>
  <c r="AO74" i="1"/>
  <c r="AO89" i="1"/>
  <c r="AO81" i="1"/>
  <c r="AO348" i="1"/>
  <c r="AC114" i="1"/>
  <c r="AC74" i="1"/>
  <c r="AC89" i="1"/>
  <c r="AC81" i="1"/>
  <c r="AB350" i="1"/>
  <c r="AB33" i="1"/>
  <c r="AB35" i="1"/>
  <c r="AB1" i="1" s="1"/>
  <c r="BD66" i="1"/>
  <c r="BD31" i="1"/>
  <c r="AM66" i="1"/>
  <c r="AM31" i="1"/>
  <c r="W66" i="1"/>
  <c r="W31" i="1"/>
  <c r="BP349" i="1"/>
  <c r="BP346" i="1"/>
  <c r="BH349" i="1"/>
  <c r="BH346" i="1"/>
  <c r="BD349" i="1"/>
  <c r="BD346" i="1"/>
  <c r="AZ346" i="1"/>
  <c r="AZ349" i="1"/>
  <c r="AV349" i="1"/>
  <c r="AV346" i="1"/>
  <c r="AR346" i="1"/>
  <c r="AR349" i="1"/>
  <c r="AN349" i="1"/>
  <c r="AN346" i="1"/>
  <c r="AJ349" i="1"/>
  <c r="AJ346" i="1"/>
  <c r="AF349" i="1"/>
  <c r="AF346" i="1"/>
  <c r="AB349" i="1"/>
  <c r="AB346" i="1"/>
  <c r="G21" i="1"/>
  <c r="BH354" i="1"/>
  <c r="BH295" i="1"/>
  <c r="BH296" i="1"/>
  <c r="BH44" i="1"/>
  <c r="AR295" i="1"/>
  <c r="AR296" i="1"/>
  <c r="AR44" i="1"/>
  <c r="AB295" i="1"/>
  <c r="AB296" i="1"/>
  <c r="AB44" i="1"/>
  <c r="AB51" i="1"/>
  <c r="C15" i="1"/>
  <c r="BP139" i="1"/>
  <c r="BP143" i="1"/>
  <c r="BP348" i="1"/>
  <c r="BL139" i="1"/>
  <c r="BL144" i="1"/>
  <c r="BH159" i="1"/>
  <c r="BH149" i="1"/>
  <c r="BD138" i="1"/>
  <c r="BD142" i="1"/>
  <c r="AZ213" i="1"/>
  <c r="AZ211" i="1"/>
  <c r="AZ214" i="1" s="1"/>
  <c r="AV138" i="1"/>
  <c r="AV142" i="1"/>
  <c r="AR213" i="1"/>
  <c r="AR211" i="1"/>
  <c r="AN138" i="1"/>
  <c r="AN142" i="1"/>
  <c r="AJ114" i="1"/>
  <c r="AJ81" i="1"/>
  <c r="AJ89" i="1"/>
  <c r="AJ69" i="1" s="1"/>
  <c r="AJ74" i="1"/>
  <c r="AF140" i="1"/>
  <c r="AF144" i="1"/>
  <c r="AF348" i="1"/>
  <c r="X138" i="1"/>
  <c r="X142" i="1"/>
  <c r="J11" i="1"/>
  <c r="J43" i="1" s="1"/>
  <c r="E10" i="1"/>
  <c r="F42" i="1" s="1"/>
  <c r="H323" i="1"/>
  <c r="H280" i="1"/>
  <c r="D310" i="1"/>
  <c r="BS114" i="1"/>
  <c r="BS74" i="1"/>
  <c r="BS81" i="1"/>
  <c r="BS89" i="1"/>
  <c r="BS69" i="1" s="1"/>
  <c r="BS140" i="1"/>
  <c r="BG141" i="1"/>
  <c r="AQ138" i="1"/>
  <c r="AQ142" i="1"/>
  <c r="AI138" i="1"/>
  <c r="AI142" i="1"/>
  <c r="AA213" i="1"/>
  <c r="AA211" i="1"/>
  <c r="AA214" i="1" s="1"/>
  <c r="H10" i="1"/>
  <c r="H48" i="1" s="1"/>
  <c r="C286" i="1"/>
  <c r="G17" i="1"/>
  <c r="G100" i="1" s="1"/>
  <c r="BJ114" i="1"/>
  <c r="BJ89" i="1"/>
  <c r="BJ69" i="1" s="1"/>
  <c r="BJ74" i="1"/>
  <c r="BJ81" i="1"/>
  <c r="BJ141" i="1"/>
  <c r="AX140" i="1"/>
  <c r="AX144" i="1"/>
  <c r="AX211" i="1"/>
  <c r="AX214" i="1" s="1"/>
  <c r="AX213" i="1"/>
  <c r="AL140" i="1"/>
  <c r="AL144" i="1"/>
  <c r="AL214" i="1"/>
  <c r="AL211" i="1"/>
  <c r="AL213" i="1"/>
  <c r="AL348" i="1"/>
  <c r="Z139" i="1"/>
  <c r="Z143" i="1"/>
  <c r="C10" i="1"/>
  <c r="D42" i="1" s="1"/>
  <c r="P245" i="1"/>
  <c r="P235" i="1"/>
  <c r="F343" i="1"/>
  <c r="F358" i="1"/>
  <c r="F261" i="1"/>
  <c r="F323" i="1"/>
  <c r="E358" i="1"/>
  <c r="E343" i="1"/>
  <c r="E261" i="1"/>
  <c r="E267" i="1" s="1"/>
  <c r="BR350" i="1"/>
  <c r="BR33" i="1"/>
  <c r="BR35" i="1"/>
  <c r="BS351" i="1"/>
  <c r="BS336" i="1"/>
  <c r="BS335" i="1"/>
  <c r="BS231" i="1"/>
  <c r="BS36" i="1"/>
  <c r="BP365" i="1"/>
  <c r="BO367" i="1"/>
  <c r="BG319" i="1"/>
  <c r="BG318" i="1"/>
  <c r="BG298" i="1" s="1"/>
  <c r="BG317" i="1"/>
  <c r="BG225" i="1"/>
  <c r="BG224" i="1" s="1"/>
  <c r="BG226" i="1" s="1"/>
  <c r="AQ245" i="1"/>
  <c r="BJ243" i="1"/>
  <c r="BK241" i="1"/>
  <c r="AH184" i="1"/>
  <c r="AH173" i="1"/>
  <c r="AH174" i="1" s="1"/>
  <c r="AH182" i="1" s="1"/>
  <c r="Z329" i="1"/>
  <c r="Z37" i="1"/>
  <c r="BV303" i="1"/>
  <c r="BW304" i="1"/>
  <c r="Y339" i="1"/>
  <c r="BD363" i="1"/>
  <c r="BD369" i="1" s="1"/>
  <c r="Y322" i="1"/>
  <c r="Z263" i="1"/>
  <c r="Y262" i="1"/>
  <c r="Y321" i="1" s="1"/>
  <c r="AV301" i="1"/>
  <c r="AY363" i="1"/>
  <c r="BJ289" i="1"/>
  <c r="AT363" i="1"/>
  <c r="AO361" i="1"/>
  <c r="AO363" i="1" s="1"/>
  <c r="AO338" i="1"/>
  <c r="AO339" i="1"/>
  <c r="AO281" i="1"/>
  <c r="AO282" i="1" s="1"/>
  <c r="AO285" i="1"/>
  <c r="AS363" i="1"/>
  <c r="AX289" i="1"/>
  <c r="AX293" i="1"/>
  <c r="AX290" i="1"/>
  <c r="BP282" i="1"/>
  <c r="BS319" i="1"/>
  <c r="BS318" i="1"/>
  <c r="BS298" i="1" s="1"/>
  <c r="BS317" i="1"/>
  <c r="BS225" i="1"/>
  <c r="BS224" i="1" s="1"/>
  <c r="BS226" i="1" s="1"/>
  <c r="BR379" i="1"/>
  <c r="BS247" i="1"/>
  <c r="BS379" i="1" s="1"/>
  <c r="BS378" i="1" s="1"/>
  <c r="AT281" i="1"/>
  <c r="AT282" i="1" s="1"/>
  <c r="BC241" i="1"/>
  <c r="BB243" i="1"/>
  <c r="BT187" i="1"/>
  <c r="BU187" i="1" s="1"/>
  <c r="AC184" i="1"/>
  <c r="AC173" i="1"/>
  <c r="AC174" i="1" s="1"/>
  <c r="AC182" i="1" s="1"/>
  <c r="AP193" i="1"/>
  <c r="AQ177" i="1"/>
  <c r="AP176" i="1"/>
  <c r="AP61" i="1"/>
  <c r="AX184" i="1"/>
  <c r="AX173" i="1"/>
  <c r="AX174" i="1" s="1"/>
  <c r="AX182" i="1" s="1"/>
  <c r="BA158" i="1"/>
  <c r="BA115" i="1"/>
  <c r="BA106" i="1"/>
  <c r="BA83" i="1"/>
  <c r="AE203" i="1"/>
  <c r="AE62" i="1"/>
  <c r="AD184" i="1"/>
  <c r="AD173" i="1"/>
  <c r="AD174" i="1" s="1"/>
  <c r="AD182" i="1" s="1"/>
  <c r="BS173" i="1"/>
  <c r="BS174" i="1" s="1"/>
  <c r="BS182" i="1" s="1"/>
  <c r="BP115" i="1"/>
  <c r="BP158" i="1"/>
  <c r="BP106" i="1"/>
  <c r="BP83" i="1"/>
  <c r="BX123" i="1"/>
  <c r="AU203" i="1"/>
  <c r="AU62" i="1"/>
  <c r="AT184" i="1"/>
  <c r="AT173" i="1"/>
  <c r="AT174" i="1" s="1"/>
  <c r="AT182" i="1" s="1"/>
  <c r="BG149" i="1"/>
  <c r="BG150" i="1" s="1"/>
  <c r="BG160" i="1"/>
  <c r="BG107" i="1"/>
  <c r="AR115" i="1"/>
  <c r="AR158" i="1"/>
  <c r="AR106" i="1"/>
  <c r="AR83" i="1"/>
  <c r="BR159" i="1"/>
  <c r="BR149" i="1"/>
  <c r="BR150" i="1" s="1"/>
  <c r="BK203" i="1"/>
  <c r="BK62" i="1"/>
  <c r="BN173" i="1"/>
  <c r="BN174" i="1" s="1"/>
  <c r="BN182" i="1" s="1"/>
  <c r="BN184" i="1"/>
  <c r="BF149" i="1"/>
  <c r="BF150" i="1" s="1"/>
  <c r="BF107" i="1"/>
  <c r="BF160" i="1"/>
  <c r="BQ158" i="1"/>
  <c r="BQ115" i="1"/>
  <c r="BQ106" i="1"/>
  <c r="BQ83" i="1"/>
  <c r="BE158" i="1"/>
  <c r="BE115" i="1"/>
  <c r="BE83" i="1"/>
  <c r="BE106" i="1"/>
  <c r="AJ115" i="1"/>
  <c r="AJ158" i="1"/>
  <c r="AJ106" i="1"/>
  <c r="AJ83" i="1"/>
  <c r="BV126" i="1"/>
  <c r="AQ160" i="1"/>
  <c r="AQ149" i="1"/>
  <c r="AQ150" i="1" s="1"/>
  <c r="AQ107" i="1"/>
  <c r="BM112" i="1"/>
  <c r="BM86" i="1"/>
  <c r="BM79" i="1"/>
  <c r="BM77" i="1"/>
  <c r="BM105" i="1"/>
  <c r="BM108" i="1"/>
  <c r="BM107" i="1"/>
  <c r="BH112" i="1"/>
  <c r="BH105" i="1"/>
  <c r="BH108" i="1"/>
  <c r="BH107" i="1"/>
  <c r="BH86" i="1"/>
  <c r="BH79" i="1"/>
  <c r="BH77" i="1"/>
  <c r="BX247" i="1"/>
  <c r="BX379" i="1" s="1"/>
  <c r="BY38" i="1"/>
  <c r="BP350" i="1"/>
  <c r="BP33" i="1"/>
  <c r="BP35" i="1"/>
  <c r="BP1" i="1" s="1"/>
  <c r="BK66" i="1"/>
  <c r="BK31" i="1"/>
  <c r="AU350" i="1"/>
  <c r="AU35" i="1"/>
  <c r="AU1" i="1" s="1"/>
  <c r="AU33" i="1"/>
  <c r="AD66" i="1"/>
  <c r="AD31" i="1"/>
  <c r="BK349" i="1"/>
  <c r="BK346" i="1"/>
  <c r="AU349" i="1"/>
  <c r="AU346" i="1"/>
  <c r="AE349" i="1"/>
  <c r="AE346" i="1"/>
  <c r="BO211" i="1"/>
  <c r="BK114" i="1"/>
  <c r="BK89" i="1"/>
  <c r="BK69" i="1" s="1"/>
  <c r="BK74" i="1"/>
  <c r="BK81" i="1"/>
  <c r="BC348" i="1"/>
  <c r="AU213" i="1"/>
  <c r="AU211" i="1"/>
  <c r="AU214" i="1" s="1"/>
  <c r="AM114" i="1"/>
  <c r="AM89" i="1"/>
  <c r="AM69" i="1" s="1"/>
  <c r="AM81" i="1"/>
  <c r="AM74" i="1"/>
  <c r="AM348" i="1"/>
  <c r="AE213" i="1"/>
  <c r="AE211" i="1"/>
  <c r="G81" i="1"/>
  <c r="G74" i="1"/>
  <c r="H110" i="1"/>
  <c r="L373" i="1"/>
  <c r="L315" i="1"/>
  <c r="L208" i="1"/>
  <c r="L63" i="1"/>
  <c r="D81" i="1"/>
  <c r="D74" i="1"/>
  <c r="N112" i="1"/>
  <c r="M73" i="1"/>
  <c r="N81" i="1"/>
  <c r="N74" i="1"/>
  <c r="L76" i="1"/>
  <c r="J110" i="1"/>
  <c r="L166" i="1"/>
  <c r="L157" i="1"/>
  <c r="L105" i="1"/>
  <c r="C107" i="1"/>
  <c r="L132" i="1"/>
  <c r="G152" i="1"/>
  <c r="H163" i="1"/>
  <c r="M132" i="1"/>
  <c r="H166" i="1"/>
  <c r="H157" i="1"/>
  <c r="H105" i="1"/>
  <c r="K168" i="1"/>
  <c r="K161" i="1"/>
  <c r="K86" i="1"/>
  <c r="K108" i="1"/>
  <c r="C101" i="1"/>
  <c r="C84" i="1" s="1"/>
  <c r="D166" i="1"/>
  <c r="D157" i="1"/>
  <c r="D105" i="1"/>
  <c r="L163" i="1"/>
  <c r="L167" i="1" s="1"/>
  <c r="H151" i="1"/>
  <c r="H159" i="1" s="1"/>
  <c r="F163" i="1"/>
  <c r="K190" i="1"/>
  <c r="K181" i="1"/>
  <c r="J185" i="1"/>
  <c r="J192" i="1"/>
  <c r="J175" i="1"/>
  <c r="J183" i="1" s="1"/>
  <c r="C190" i="1"/>
  <c r="C174" i="1"/>
  <c r="K192" i="1"/>
  <c r="K185" i="1"/>
  <c r="M176" i="1"/>
  <c r="M184" i="1" s="1"/>
  <c r="D187" i="1"/>
  <c r="H198" i="1"/>
  <c r="I168" i="1"/>
  <c r="I161" i="1"/>
  <c r="I108" i="1"/>
  <c r="I86" i="1"/>
  <c r="H175" i="1"/>
  <c r="H183" i="1" s="1"/>
  <c r="E185" i="1"/>
  <c r="E192" i="1"/>
  <c r="I187" i="1"/>
  <c r="H197" i="1"/>
  <c r="H203" i="1" s="1"/>
  <c r="M238" i="1"/>
  <c r="E318" i="1"/>
  <c r="E298" i="1" s="1"/>
  <c r="E319" i="1"/>
  <c r="E225" i="1"/>
  <c r="H245" i="1"/>
  <c r="G247" i="1"/>
  <c r="G379" i="1" s="1"/>
  <c r="O234" i="1"/>
  <c r="C318" i="1"/>
  <c r="C298" i="1" s="1"/>
  <c r="C319" i="1"/>
  <c r="C225" i="1"/>
  <c r="L329" i="1"/>
  <c r="L37" i="1"/>
  <c r="K329" i="1"/>
  <c r="K37" i="1"/>
  <c r="BB348" i="1"/>
  <c r="AH211" i="1"/>
  <c r="AH214" i="1" s="1"/>
  <c r="AH213" i="1"/>
  <c r="AH348" i="1"/>
  <c r="M358" i="1"/>
  <c r="M343" i="1"/>
  <c r="M261" i="1"/>
  <c r="M267" i="1" s="1"/>
  <c r="M2" i="1"/>
  <c r="BW247" i="1"/>
  <c r="BO350" i="1"/>
  <c r="BO35" i="1"/>
  <c r="BO33" i="1"/>
  <c r="BB66" i="1"/>
  <c r="BB31" i="1"/>
  <c r="BR349" i="1"/>
  <c r="BR346" i="1"/>
  <c r="BJ346" i="1"/>
  <c r="BJ349" i="1"/>
  <c r="BB346" i="1"/>
  <c r="BB349" i="1"/>
  <c r="AT346" i="1"/>
  <c r="AT349" i="1"/>
  <c r="AL349" i="1"/>
  <c r="AL346" i="1"/>
  <c r="AD346" i="1"/>
  <c r="AD349" i="1"/>
  <c r="BR211" i="1"/>
  <c r="BR213" i="1"/>
  <c r="BF114" i="1"/>
  <c r="BF89" i="1"/>
  <c r="BF69" i="1" s="1"/>
  <c r="BF81" i="1"/>
  <c r="BF74" i="1"/>
  <c r="AT348" i="1"/>
  <c r="N343" i="1"/>
  <c r="N358" i="1"/>
  <c r="N261" i="1"/>
  <c r="N267" i="1" s="1"/>
  <c r="N2" i="1"/>
  <c r="N323" i="1"/>
  <c r="I358" i="1"/>
  <c r="I343" i="1"/>
  <c r="I261" i="1"/>
  <c r="I2" i="1"/>
  <c r="AK350" i="1"/>
  <c r="AK33" i="1"/>
  <c r="AK35" i="1"/>
  <c r="AK1" i="1" s="1"/>
  <c r="AW66" i="1"/>
  <c r="AW31" i="1"/>
  <c r="BM346" i="1"/>
  <c r="BM349" i="1"/>
  <c r="BA346" i="1"/>
  <c r="BA349" i="1"/>
  <c r="AS346" i="1"/>
  <c r="AS349" i="1"/>
  <c r="AG346" i="1"/>
  <c r="AG349" i="1"/>
  <c r="BI295" i="1"/>
  <c r="BI296" i="1"/>
  <c r="BI51" i="1"/>
  <c r="BI44" i="1"/>
  <c r="AS295" i="1"/>
  <c r="AS296" i="1"/>
  <c r="AS51" i="1"/>
  <c r="AS44" i="1"/>
  <c r="AC295" i="1"/>
  <c r="AC296" i="1"/>
  <c r="AC51" i="1"/>
  <c r="AC44" i="1"/>
  <c r="BM211" i="1"/>
  <c r="BM213" i="1"/>
  <c r="BI114" i="1"/>
  <c r="BI89" i="1"/>
  <c r="BI69" i="1" s="1"/>
  <c r="BI70" i="1" s="1"/>
  <c r="BI74" i="1"/>
  <c r="BI81" i="1"/>
  <c r="BE114" i="1"/>
  <c r="BE89" i="1"/>
  <c r="BE69" i="1" s="1"/>
  <c r="BE70" i="1" s="1"/>
  <c r="BE74" i="1"/>
  <c r="BE81" i="1"/>
  <c r="BA114" i="1"/>
  <c r="BA89" i="1"/>
  <c r="BA69" i="1" s="1"/>
  <c r="BA74" i="1"/>
  <c r="BA81" i="1"/>
  <c r="AK114" i="1"/>
  <c r="AK89" i="1"/>
  <c r="AK90" i="1" s="1"/>
  <c r="AK74" i="1"/>
  <c r="AK81" i="1"/>
  <c r="AK348" i="1"/>
  <c r="AG211" i="1"/>
  <c r="AG214" i="1" s="1"/>
  <c r="AG213" i="1"/>
  <c r="AC348" i="1"/>
  <c r="J42" i="1"/>
  <c r="AN350" i="1"/>
  <c r="AN33" i="1"/>
  <c r="AN35" i="1"/>
  <c r="AN1" i="1" s="1"/>
  <c r="X350" i="1"/>
  <c r="X35" i="1"/>
  <c r="X1" i="1" s="1"/>
  <c r="X33" i="1"/>
  <c r="AZ66" i="1"/>
  <c r="AZ31" i="1"/>
  <c r="AI66" i="1"/>
  <c r="AI31" i="1"/>
  <c r="D56" i="1"/>
  <c r="D49" i="1"/>
  <c r="BD354" i="1"/>
  <c r="BD295" i="1"/>
  <c r="BD296" i="1"/>
  <c r="BD44" i="1"/>
  <c r="AN295" i="1"/>
  <c r="AN296" i="1"/>
  <c r="AN44" i="1"/>
  <c r="BP140" i="1"/>
  <c r="BP144" i="1"/>
  <c r="BL140" i="1"/>
  <c r="BL211" i="1"/>
  <c r="BL348" i="1"/>
  <c r="BH173" i="1"/>
  <c r="BH183" i="1"/>
  <c r="BH348" i="1"/>
  <c r="BD139" i="1"/>
  <c r="BD143" i="1"/>
  <c r="BD213" i="1"/>
  <c r="BD211" i="1"/>
  <c r="BD348" i="1"/>
  <c r="AZ348" i="1"/>
  <c r="AV139" i="1"/>
  <c r="AV143" i="1"/>
  <c r="AV213" i="1"/>
  <c r="AV211" i="1"/>
  <c r="AV214" i="1" s="1"/>
  <c r="AV348" i="1"/>
  <c r="AR348" i="1"/>
  <c r="AN139" i="1"/>
  <c r="AN143" i="1"/>
  <c r="AN213" i="1"/>
  <c r="AN211" i="1"/>
  <c r="AN214" i="1" s="1"/>
  <c r="AJ213" i="1"/>
  <c r="AJ211" i="1"/>
  <c r="AJ214" i="1" s="1"/>
  <c r="AF114" i="1"/>
  <c r="AF89" i="1"/>
  <c r="AF81" i="1"/>
  <c r="AF74" i="1"/>
  <c r="AF141" i="1"/>
  <c r="AB348" i="1"/>
  <c r="X139" i="1"/>
  <c r="X143" i="1"/>
  <c r="F11" i="1"/>
  <c r="F43" i="1" s="1"/>
  <c r="P366" i="1"/>
  <c r="P276" i="1"/>
  <c r="P275" i="1"/>
  <c r="P260" i="1"/>
  <c r="P279" i="1"/>
  <c r="P266" i="1"/>
  <c r="L323" i="1"/>
  <c r="L286" i="1"/>
  <c r="H342" i="1"/>
  <c r="H357" i="1" s="1"/>
  <c r="D323" i="1"/>
  <c r="D267" i="1"/>
  <c r="D286" i="1"/>
  <c r="BS141" i="1"/>
  <c r="BG138" i="1"/>
  <c r="BG142" i="1"/>
  <c r="BG348" i="1"/>
  <c r="AY213" i="1"/>
  <c r="AY211" i="1"/>
  <c r="AY348" i="1"/>
  <c r="AQ139" i="1"/>
  <c r="AQ143" i="1"/>
  <c r="AQ213" i="1"/>
  <c r="AQ211" i="1"/>
  <c r="AQ348" i="1"/>
  <c r="AI139" i="1"/>
  <c r="AI143" i="1"/>
  <c r="AI213" i="1"/>
  <c r="AI211" i="1"/>
  <c r="AA348" i="1"/>
  <c r="G342" i="1"/>
  <c r="G357" i="1" s="1"/>
  <c r="G286" i="1"/>
  <c r="G285" i="1"/>
  <c r="Z102" i="1"/>
  <c r="Z85" i="1" s="1"/>
  <c r="BJ138" i="1"/>
  <c r="BJ142" i="1"/>
  <c r="BJ211" i="1"/>
  <c r="BJ213" i="1"/>
  <c r="AX114" i="1"/>
  <c r="AX89" i="1"/>
  <c r="AX69" i="1" s="1"/>
  <c r="AX81" i="1"/>
  <c r="AX74" i="1"/>
  <c r="AX141" i="1"/>
  <c r="AL114" i="1"/>
  <c r="AL81" i="1"/>
  <c r="AL89" i="1"/>
  <c r="AL69" i="1" s="1"/>
  <c r="AL74" i="1"/>
  <c r="AL141" i="1"/>
  <c r="Z140" i="1"/>
  <c r="Z144" i="1"/>
  <c r="P110" i="1"/>
  <c r="P249" i="1"/>
  <c r="P244" i="1"/>
  <c r="F280" i="1"/>
  <c r="F285" i="1" s="1"/>
  <c r="BM350" i="1"/>
  <c r="BM33" i="1"/>
  <c r="BM35" i="1"/>
  <c r="BM1" i="1" s="1"/>
  <c r="BL349" i="1"/>
  <c r="BL346" i="1"/>
  <c r="CC17" i="1"/>
  <c r="BG293" i="1"/>
  <c r="BG289" i="1"/>
  <c r="BG290" i="1"/>
  <c r="AU290" i="1"/>
  <c r="AU293" i="1"/>
  <c r="AU289" i="1"/>
  <c r="AY301" i="1"/>
  <c r="BC289" i="1"/>
  <c r="BB289" i="1"/>
  <c r="BB251" i="1"/>
  <c r="BB252" i="1" s="1"/>
  <c r="BC245" i="1"/>
  <c r="AN372" i="1"/>
  <c r="AT379" i="1"/>
  <c r="AU247" i="1"/>
  <c r="BU277" i="1"/>
  <c r="AK158" i="1"/>
  <c r="AK115" i="1"/>
  <c r="AK106" i="1"/>
  <c r="AK83" i="1"/>
  <c r="BX121" i="1"/>
  <c r="AF115" i="1"/>
  <c r="AF158" i="1"/>
  <c r="AF83" i="1"/>
  <c r="AF106" i="1"/>
  <c r="BB107" i="1"/>
  <c r="BB160" i="1"/>
  <c r="BB149" i="1"/>
  <c r="BB150" i="1" s="1"/>
  <c r="AC160" i="1"/>
  <c r="AC149" i="1"/>
  <c r="AC150" i="1" s="1"/>
  <c r="AC107" i="1"/>
  <c r="BI158" i="1"/>
  <c r="BI115" i="1"/>
  <c r="BI106" i="1"/>
  <c r="BI83" i="1"/>
  <c r="AP329" i="1"/>
  <c r="AP37" i="1"/>
  <c r="AO322" i="1"/>
  <c r="AP263" i="1"/>
  <c r="AO262" i="1"/>
  <c r="AO321" i="1" s="1"/>
  <c r="AD363" i="1"/>
  <c r="AQ293" i="1"/>
  <c r="AQ289" i="1"/>
  <c r="AQ290" i="1"/>
  <c r="AP290" i="1"/>
  <c r="AP293" i="1"/>
  <c r="AF363" i="1"/>
  <c r="AS302" i="1"/>
  <c r="BF379" i="1"/>
  <c r="BG247" i="1"/>
  <c r="BG379" i="1" s="1"/>
  <c r="AT301" i="1"/>
  <c r="BT321" i="1"/>
  <c r="BU262" i="1"/>
  <c r="BT264" i="1"/>
  <c r="AL329" i="1"/>
  <c r="F327" i="1"/>
  <c r="AL37" i="1"/>
  <c r="E327" i="1"/>
  <c r="BW326" i="1"/>
  <c r="O326" i="1" s="1"/>
  <c r="X289" i="1"/>
  <c r="AG282" i="1"/>
  <c r="BU362" i="1"/>
  <c r="BV274" i="1"/>
  <c r="BU250" i="1"/>
  <c r="BM322" i="1"/>
  <c r="BN263" i="1"/>
  <c r="BM262" i="1"/>
  <c r="BM321" i="1" s="1"/>
  <c r="BC363" i="1"/>
  <c r="AP361" i="1"/>
  <c r="AP363" i="1" s="1"/>
  <c r="AP338" i="1"/>
  <c r="AP339" i="1"/>
  <c r="AP285" i="1"/>
  <c r="AP288" i="1" s="1"/>
  <c r="AP281" i="1"/>
  <c r="AP282" i="1" s="1"/>
  <c r="BB322" i="1"/>
  <c r="BB262" i="1"/>
  <c r="BB321" i="1" s="1"/>
  <c r="AL322" i="1"/>
  <c r="AL262" i="1"/>
  <c r="AL321" i="1" s="1"/>
  <c r="BO363" i="1"/>
  <c r="AX363" i="1"/>
  <c r="AH363" i="1"/>
  <c r="AE290" i="1"/>
  <c r="AE293" i="1"/>
  <c r="AE289" i="1"/>
  <c r="W293" i="1"/>
  <c r="W289" i="1"/>
  <c r="W290" i="1"/>
  <c r="AS281" i="1"/>
  <c r="AS282" i="1" s="1"/>
  <c r="BN363" i="1"/>
  <c r="BN369" i="1" s="1"/>
  <c r="AW363" i="1"/>
  <c r="AG363" i="1"/>
  <c r="BR289" i="1"/>
  <c r="AH289" i="1"/>
  <c r="AH293" i="1"/>
  <c r="AH290" i="1"/>
  <c r="Z292" i="1"/>
  <c r="Z289" i="1"/>
  <c r="Z290" i="1"/>
  <c r="Z293" i="1"/>
  <c r="BQ363" i="1"/>
  <c r="AZ363" i="1"/>
  <c r="AJ363" i="1"/>
  <c r="BO245" i="1"/>
  <c r="BO251" i="1" s="1"/>
  <c r="BO252" i="1" s="1"/>
  <c r="BN251" i="1"/>
  <c r="BN252" i="1" s="1"/>
  <c r="BC319" i="1"/>
  <c r="BC318" i="1"/>
  <c r="BC298" i="1" s="1"/>
  <c r="BC317" i="1"/>
  <c r="BC225" i="1"/>
  <c r="BC224" i="1" s="1"/>
  <c r="BC226" i="1" s="1"/>
  <c r="BJ317" i="1"/>
  <c r="BJ319" i="1"/>
  <c r="BJ318" i="1"/>
  <c r="BJ298" i="1" s="1"/>
  <c r="BK242" i="1"/>
  <c r="BJ225" i="1"/>
  <c r="BJ224" i="1" s="1"/>
  <c r="BJ226" i="1" s="1"/>
  <c r="BR243" i="1"/>
  <c r="BS241" i="1"/>
  <c r="BS245" i="1"/>
  <c r="AT317" i="1"/>
  <c r="AT319" i="1"/>
  <c r="AT318" i="1"/>
  <c r="AT298" i="1" s="1"/>
  <c r="AT225" i="1"/>
  <c r="AT224" i="1" s="1"/>
  <c r="AT226" i="1" s="1"/>
  <c r="AU242" i="1"/>
  <c r="BK372" i="1" s="1"/>
  <c r="BK374" i="1" s="1"/>
  <c r="BO213" i="1"/>
  <c r="BO175" i="1"/>
  <c r="BO183" i="1" s="1"/>
  <c r="BO151" i="1"/>
  <c r="BO159" i="1" s="1"/>
  <c r="BN201" i="1"/>
  <c r="BO198" i="1"/>
  <c r="BO201" i="1" s="1"/>
  <c r="AH201" i="1"/>
  <c r="AI198" i="1"/>
  <c r="AI201" i="1" s="1"/>
  <c r="BO191" i="1"/>
  <c r="BP184" i="1"/>
  <c r="BP173" i="1"/>
  <c r="AL184" i="1"/>
  <c r="AL173" i="1"/>
  <c r="AL174" i="1" s="1"/>
  <c r="AL182" i="1" s="1"/>
  <c r="AO158" i="1"/>
  <c r="AO115" i="1"/>
  <c r="AO83" i="1"/>
  <c r="AO106" i="1"/>
  <c r="AP191" i="1"/>
  <c r="AE193" i="1"/>
  <c r="AE176" i="1"/>
  <c r="AE61" i="1"/>
  <c r="AH169" i="1"/>
  <c r="AI153" i="1"/>
  <c r="E153" i="1" s="1"/>
  <c r="E169" i="1" s="1"/>
  <c r="AH152" i="1"/>
  <c r="AH60" i="1"/>
  <c r="AN115" i="1"/>
  <c r="AN158" i="1"/>
  <c r="AN83" i="1"/>
  <c r="AN106" i="1"/>
  <c r="BX122" i="1"/>
  <c r="AU193" i="1"/>
  <c r="AU176" i="1"/>
  <c r="AU61" i="1"/>
  <c r="BT163" i="1"/>
  <c r="BU163" i="1" s="1"/>
  <c r="AG160" i="1"/>
  <c r="AG149" i="1"/>
  <c r="AG150" i="1" s="1"/>
  <c r="AG107" i="1"/>
  <c r="BS149" i="1"/>
  <c r="BS150" i="1" s="1"/>
  <c r="BS160" i="1"/>
  <c r="BS107" i="1"/>
  <c r="BN169" i="1"/>
  <c r="BO153" i="1"/>
  <c r="BN152" i="1"/>
  <c r="BN60" i="1"/>
  <c r="AS160" i="1"/>
  <c r="AS149" i="1"/>
  <c r="AS150" i="1" s="1"/>
  <c r="AS107" i="1"/>
  <c r="BD115" i="1"/>
  <c r="BD158" i="1"/>
  <c r="BD83" i="1"/>
  <c r="BD106" i="1"/>
  <c r="AX167" i="1"/>
  <c r="AY163" i="1"/>
  <c r="AY167" i="1" s="1"/>
  <c r="BK152" i="1"/>
  <c r="BK169" i="1"/>
  <c r="BK60" i="1"/>
  <c r="BC160" i="1"/>
  <c r="BC149" i="1"/>
  <c r="BC150" i="1" s="1"/>
  <c r="BC107" i="1"/>
  <c r="BV111" i="1"/>
  <c r="BW75" i="1"/>
  <c r="BV76" i="1"/>
  <c r="BU319" i="1"/>
  <c r="BU198" i="1"/>
  <c r="AU66" i="1"/>
  <c r="BG66" i="1"/>
  <c r="BG31" i="1"/>
  <c r="AP66" i="1"/>
  <c r="AP31" i="1"/>
  <c r="Z66" i="1"/>
  <c r="Z31" i="1"/>
  <c r="BG349" i="1"/>
  <c r="BG346" i="1"/>
  <c r="AQ349" i="1"/>
  <c r="AQ346" i="1"/>
  <c r="AA349" i="1"/>
  <c r="AA346" i="1"/>
  <c r="W349" i="1"/>
  <c r="W346" i="1"/>
  <c r="BK348" i="1"/>
  <c r="BC213" i="1"/>
  <c r="BC211" i="1"/>
  <c r="AU114" i="1"/>
  <c r="AU89" i="1"/>
  <c r="AU69" i="1" s="1"/>
  <c r="AU81" i="1"/>
  <c r="AU74" i="1"/>
  <c r="AM159" i="1"/>
  <c r="AE114" i="1"/>
  <c r="AE89" i="1"/>
  <c r="AE90" i="1" s="1"/>
  <c r="AE81" i="1"/>
  <c r="AE74" i="1"/>
  <c r="AE348" i="1"/>
  <c r="L42" i="1"/>
  <c r="L89" i="1"/>
  <c r="L12" i="1"/>
  <c r="K114" i="1"/>
  <c r="K81" i="1"/>
  <c r="K69" i="1"/>
  <c r="I77" i="1"/>
  <c r="H73" i="1"/>
  <c r="J77" i="1"/>
  <c r="G77" i="1"/>
  <c r="K110" i="1"/>
  <c r="E373" i="1"/>
  <c r="E315" i="1"/>
  <c r="E208" i="1"/>
  <c r="E63" i="1"/>
  <c r="I373" i="1"/>
  <c r="I315" i="1"/>
  <c r="I208" i="1"/>
  <c r="I63" i="1"/>
  <c r="C373" i="1"/>
  <c r="C315" i="1"/>
  <c r="C208" i="1"/>
  <c r="I223" i="1"/>
  <c r="E223" i="1"/>
  <c r="F373" i="1"/>
  <c r="F315" i="1"/>
  <c r="F208" i="1"/>
  <c r="F63" i="1"/>
  <c r="J373" i="1"/>
  <c r="J315" i="1"/>
  <c r="J208" i="1"/>
  <c r="J63" i="1"/>
  <c r="J223" i="1"/>
  <c r="F223" i="1"/>
  <c r="F112" i="1"/>
  <c r="G168" i="1"/>
  <c r="G161" i="1"/>
  <c r="G86" i="1"/>
  <c r="G108" i="1"/>
  <c r="L129" i="1"/>
  <c r="L133" i="1"/>
  <c r="M129" i="1"/>
  <c r="M133" i="1"/>
  <c r="I110" i="1"/>
  <c r="K166" i="1"/>
  <c r="K157" i="1"/>
  <c r="K105" i="1"/>
  <c r="K152" i="1"/>
  <c r="D168" i="1"/>
  <c r="D161" i="1"/>
  <c r="D108" i="1"/>
  <c r="D86" i="1"/>
  <c r="F157" i="1"/>
  <c r="F166" i="1"/>
  <c r="F105" i="1"/>
  <c r="L151" i="1"/>
  <c r="L159" i="1" s="1"/>
  <c r="D153" i="1"/>
  <c r="D169" i="1" s="1"/>
  <c r="F161" i="1"/>
  <c r="F168" i="1"/>
  <c r="F86" i="1"/>
  <c r="F108" i="1"/>
  <c r="J163" i="1"/>
  <c r="J167" i="1" s="1"/>
  <c r="M177" i="1"/>
  <c r="M193" i="1" s="1"/>
  <c r="N185" i="1"/>
  <c r="N192" i="1"/>
  <c r="N197" i="1"/>
  <c r="N203" i="1" s="1"/>
  <c r="D190" i="1"/>
  <c r="D181" i="1"/>
  <c r="N175" i="1"/>
  <c r="N183" i="1" s="1"/>
  <c r="E181" i="1"/>
  <c r="E190" i="1"/>
  <c r="G177" i="1"/>
  <c r="G193" i="1" s="1"/>
  <c r="D192" i="1"/>
  <c r="D185" i="1"/>
  <c r="H187" i="1"/>
  <c r="H191" i="1" s="1"/>
  <c r="N198" i="1"/>
  <c r="I105" i="1"/>
  <c r="I166" i="1"/>
  <c r="I157" i="1"/>
  <c r="K153" i="1"/>
  <c r="K169" i="1" s="1"/>
  <c r="M168" i="1"/>
  <c r="M161" i="1"/>
  <c r="M108" i="1"/>
  <c r="F181" i="1"/>
  <c r="F190" i="1"/>
  <c r="L175" i="1"/>
  <c r="L183" i="1" s="1"/>
  <c r="D177" i="1"/>
  <c r="D193" i="1" s="1"/>
  <c r="I185" i="1"/>
  <c r="I192" i="1"/>
  <c r="M187" i="1"/>
  <c r="M191" i="1" s="1"/>
  <c r="M196" i="1"/>
  <c r="M202" i="1" s="1"/>
  <c r="I318" i="1"/>
  <c r="I298" i="1" s="1"/>
  <c r="I319" i="1"/>
  <c r="I225" i="1"/>
  <c r="K244" i="1"/>
  <c r="N242" i="1"/>
  <c r="G319" i="1"/>
  <c r="G318" i="1"/>
  <c r="G298" i="1" s="1"/>
  <c r="G225" i="1"/>
  <c r="N245" i="1"/>
  <c r="M209" i="1"/>
  <c r="G245" i="1"/>
  <c r="I329" i="1"/>
  <c r="I37" i="1"/>
  <c r="M329" i="1"/>
  <c r="M37" i="1"/>
  <c r="K358" i="1"/>
  <c r="K343" i="1"/>
  <c r="K261" i="1"/>
  <c r="K267" i="1" s="1"/>
  <c r="K2" i="1"/>
  <c r="K280" i="1"/>
  <c r="K285" i="1" s="1"/>
  <c r="K323" i="1"/>
  <c r="BN348" i="1"/>
  <c r="AP211" i="1"/>
  <c r="AP213" i="1"/>
  <c r="AH114" i="1"/>
  <c r="AH89" i="1"/>
  <c r="AH81" i="1"/>
  <c r="AH74" i="1"/>
  <c r="J343" i="1"/>
  <c r="J358" i="1"/>
  <c r="J261" i="1"/>
  <c r="J267" i="1" s="1"/>
  <c r="J2" i="1"/>
  <c r="J323" i="1"/>
  <c r="M365" i="1"/>
  <c r="V315" i="1"/>
  <c r="V316" i="1" s="1"/>
  <c r="V18" i="1"/>
  <c r="AX66" i="1"/>
  <c r="AX31" i="1"/>
  <c r="I48" i="1"/>
  <c r="BF348" i="1"/>
  <c r="AD211" i="1"/>
  <c r="AD214" i="1" s="1"/>
  <c r="AD213" i="1"/>
  <c r="AD348" i="1"/>
  <c r="N280" i="1"/>
  <c r="AG350" i="1"/>
  <c r="AG33" i="1"/>
  <c r="AG35" i="1"/>
  <c r="AG1" i="1" s="1"/>
  <c r="BI66" i="1"/>
  <c r="BI31" i="1"/>
  <c r="AS66" i="1"/>
  <c r="AS31" i="1"/>
  <c r="AO346" i="1"/>
  <c r="AO349" i="1"/>
  <c r="E56" i="1"/>
  <c r="E49" i="1"/>
  <c r="D48" i="1"/>
  <c r="BE295" i="1"/>
  <c r="BE296" i="1"/>
  <c r="BE51" i="1"/>
  <c r="BE44" i="1"/>
  <c r="AO295" i="1"/>
  <c r="AO296" i="1"/>
  <c r="AO51" i="1"/>
  <c r="AO44" i="1"/>
  <c r="BQ114" i="1"/>
  <c r="BQ89" i="1"/>
  <c r="BQ69" i="1" s="1"/>
  <c r="BQ74" i="1"/>
  <c r="BQ81" i="1"/>
  <c r="AS211" i="1"/>
  <c r="AS214" i="1" s="1"/>
  <c r="AS213" i="1"/>
  <c r="AG114" i="1"/>
  <c r="AG74" i="1"/>
  <c r="AG89" i="1"/>
  <c r="AG90" i="1" s="1"/>
  <c r="AG81" i="1"/>
  <c r="AC211" i="1"/>
  <c r="AC214" i="1" s="1"/>
  <c r="AC213" i="1"/>
  <c r="Y114" i="1"/>
  <c r="Y74" i="1"/>
  <c r="Y89" i="1"/>
  <c r="Y90" i="1" s="1"/>
  <c r="Y81" i="1"/>
  <c r="AJ350" i="1"/>
  <c r="AJ33" i="1"/>
  <c r="AJ35" i="1"/>
  <c r="AJ1" i="1" s="1"/>
  <c r="AR350" i="1"/>
  <c r="AR33" i="1"/>
  <c r="AR35" i="1"/>
  <c r="AR1" i="1" s="1"/>
  <c r="AV66" i="1"/>
  <c r="AV31" i="1"/>
  <c r="AE66" i="1"/>
  <c r="AE31" i="1"/>
  <c r="BU210" i="1"/>
  <c r="BV24" i="1"/>
  <c r="N28" i="1"/>
  <c r="I27" i="1"/>
  <c r="I65" i="1" s="1"/>
  <c r="H26" i="1"/>
  <c r="F24" i="1"/>
  <c r="F210" i="1" s="1"/>
  <c r="BP354" i="1"/>
  <c r="BP296" i="1"/>
  <c r="BP295" i="1"/>
  <c r="BP44" i="1"/>
  <c r="AZ354" i="1"/>
  <c r="AZ296" i="1"/>
  <c r="AZ295" i="1"/>
  <c r="AZ44" i="1"/>
  <c r="AJ296" i="1"/>
  <c r="AJ295" i="1"/>
  <c r="AJ44" i="1"/>
  <c r="AF102" i="1"/>
  <c r="AF85" i="1" s="1"/>
  <c r="BP114" i="1"/>
  <c r="BP89" i="1"/>
  <c r="BP69" i="1" s="1"/>
  <c r="BP81" i="1"/>
  <c r="BP74" i="1"/>
  <c r="BP141" i="1"/>
  <c r="BP213" i="1"/>
  <c r="BP211" i="1"/>
  <c r="BL114" i="1"/>
  <c r="BL81" i="1"/>
  <c r="BL89" i="1"/>
  <c r="BL74" i="1"/>
  <c r="BL141" i="1"/>
  <c r="BD140" i="1"/>
  <c r="BD144" i="1"/>
  <c r="AV140" i="1"/>
  <c r="AV144" i="1"/>
  <c r="AN140" i="1"/>
  <c r="AN144" i="1"/>
  <c r="AN348" i="1"/>
  <c r="AF138" i="1"/>
  <c r="AF142" i="1"/>
  <c r="AB114" i="1"/>
  <c r="AB81" i="1"/>
  <c r="AB74" i="1"/>
  <c r="AB89" i="1"/>
  <c r="X140" i="1"/>
  <c r="X144" i="1"/>
  <c r="M10" i="1"/>
  <c r="L342" i="1"/>
  <c r="L357" i="1" s="1"/>
  <c r="L359" i="1" s="1"/>
  <c r="L280" i="1"/>
  <c r="H343" i="1"/>
  <c r="H358" i="1"/>
  <c r="H261" i="1"/>
  <c r="H2" i="1"/>
  <c r="D342" i="1"/>
  <c r="D357" i="1" s="1"/>
  <c r="D280" i="1"/>
  <c r="N15" i="1"/>
  <c r="BS138" i="1"/>
  <c r="BS142" i="1"/>
  <c r="BG139" i="1"/>
  <c r="BG143" i="1"/>
  <c r="BG213" i="1"/>
  <c r="BG211" i="1"/>
  <c r="AY114" i="1"/>
  <c r="AY89" i="1"/>
  <c r="AY81" i="1"/>
  <c r="AY74" i="1"/>
  <c r="AQ114" i="1"/>
  <c r="AQ89" i="1"/>
  <c r="AQ69" i="1" s="1"/>
  <c r="AQ81" i="1"/>
  <c r="AQ74" i="1"/>
  <c r="AQ140" i="1"/>
  <c r="AQ144" i="1"/>
  <c r="AI114" i="1"/>
  <c r="AI89" i="1"/>
  <c r="AI90" i="1" s="1"/>
  <c r="AI81" i="1"/>
  <c r="AI74" i="1"/>
  <c r="AI140" i="1"/>
  <c r="AI144" i="1"/>
  <c r="AI348" i="1"/>
  <c r="M11" i="1"/>
  <c r="Q380" i="1"/>
  <c r="Q235" i="1"/>
  <c r="Q248" i="1"/>
  <c r="Q244" i="1"/>
  <c r="Q236" i="1"/>
  <c r="Q249" i="1"/>
  <c r="Q245" i="1"/>
  <c r="Q234" i="1"/>
  <c r="Q110" i="1"/>
  <c r="Q32" i="1"/>
  <c r="Q28" i="1"/>
  <c r="Q4" i="1"/>
  <c r="G358" i="1"/>
  <c r="G343" i="1"/>
  <c r="G261" i="1"/>
  <c r="G323" i="1"/>
  <c r="C272" i="1"/>
  <c r="BJ139" i="1"/>
  <c r="BJ143" i="1"/>
  <c r="AX138" i="1"/>
  <c r="AX142" i="1"/>
  <c r="AL138" i="1"/>
  <c r="AL142" i="1"/>
  <c r="Z114" i="1"/>
  <c r="Z89" i="1"/>
  <c r="Z81" i="1"/>
  <c r="Z74" i="1"/>
  <c r="Z141" i="1"/>
  <c r="H11" i="1"/>
  <c r="H43" i="1" s="1"/>
  <c r="P248" i="1"/>
  <c r="F342" i="1"/>
  <c r="F357" i="1" s="1"/>
  <c r="F286" i="1"/>
  <c r="E323" i="1"/>
  <c r="E285" i="1"/>
  <c r="E286" i="1"/>
  <c r="BY46" i="1"/>
  <c r="M38" i="1"/>
  <c r="O17" i="1"/>
  <c r="J310" i="1" l="1"/>
  <c r="J50" i="1"/>
  <c r="M359" i="1"/>
  <c r="K42" i="1"/>
  <c r="J89" i="1"/>
  <c r="N48" i="1"/>
  <c r="N89" i="1"/>
  <c r="N69" i="1" s="1"/>
  <c r="G42" i="1"/>
  <c r="F89" i="1"/>
  <c r="J55" i="1"/>
  <c r="F359" i="1"/>
  <c r="E359" i="1"/>
  <c r="G114" i="1"/>
  <c r="AO102" i="1"/>
  <c r="AO85" i="1" s="1"/>
  <c r="BC176" i="1"/>
  <c r="J177" i="1"/>
  <c r="E114" i="1"/>
  <c r="BN372" i="1"/>
  <c r="BN374" i="1" s="1"/>
  <c r="BO214" i="1"/>
  <c r="Z90" i="1"/>
  <c r="L79" i="1"/>
  <c r="Y69" i="1"/>
  <c r="D55" i="1"/>
  <c r="C359" i="1"/>
  <c r="G310" i="1"/>
  <c r="G317" i="1"/>
  <c r="K74" i="1"/>
  <c r="H55" i="1"/>
  <c r="AT70" i="1"/>
  <c r="W214" i="1"/>
  <c r="AY17" i="1"/>
  <c r="I62" i="1"/>
  <c r="D114" i="1"/>
  <c r="K49" i="1"/>
  <c r="G49" i="1"/>
  <c r="L43" i="1"/>
  <c r="BC116" i="1"/>
  <c r="BC52" i="1"/>
  <c r="BD52" i="1"/>
  <c r="J15" i="1"/>
  <c r="BC45" i="1"/>
  <c r="BC96" i="1" s="1"/>
  <c r="AX70" i="1"/>
  <c r="BP70" i="1"/>
  <c r="AY61" i="1"/>
  <c r="AY16" i="1" s="1"/>
  <c r="AY176" i="1"/>
  <c r="AY193" i="1"/>
  <c r="I177" i="1"/>
  <c r="I193" i="1" s="1"/>
  <c r="N12" i="1"/>
  <c r="N303" i="1" s="1"/>
  <c r="N304" i="1" s="1"/>
  <c r="AL15" i="1"/>
  <c r="K167" i="1"/>
  <c r="AE69" i="1"/>
  <c r="BQ214" i="1"/>
  <c r="AM169" i="1"/>
  <c r="AM152" i="1"/>
  <c r="AM60" i="1"/>
  <c r="AM15" i="1" s="1"/>
  <c r="F153" i="1"/>
  <c r="F169" i="1" s="1"/>
  <c r="AY191" i="1"/>
  <c r="AG69" i="1"/>
  <c r="N49" i="1"/>
  <c r="BJ214" i="1"/>
  <c r="K43" i="1"/>
  <c r="E55" i="1"/>
  <c r="K50" i="1"/>
  <c r="BD70" i="1"/>
  <c r="N176" i="1"/>
  <c r="N184" i="1" s="1"/>
  <c r="BR46" i="1"/>
  <c r="BR18" i="1"/>
  <c r="BR53" i="1"/>
  <c r="AX16" i="1"/>
  <c r="BB46" i="1"/>
  <c r="BB53" i="1"/>
  <c r="Z82" i="1"/>
  <c r="AI82" i="1"/>
  <c r="BE82" i="1"/>
  <c r="N114" i="1"/>
  <c r="G82" i="1"/>
  <c r="AN70" i="1"/>
  <c r="BH82" i="1"/>
  <c r="BV172" i="1"/>
  <c r="BV181" i="1" s="1"/>
  <c r="BW11" i="1"/>
  <c r="BV16" i="1"/>
  <c r="BV53" i="1" s="1"/>
  <c r="BC203" i="1"/>
  <c r="BC62" i="1"/>
  <c r="BC17" i="1" s="1"/>
  <c r="BC100" i="1" s="1"/>
  <c r="J197" i="1"/>
  <c r="BC201" i="1"/>
  <c r="AB90" i="1"/>
  <c r="BL82" i="1"/>
  <c r="BP214" i="1"/>
  <c r="BP82" i="1"/>
  <c r="I55" i="1"/>
  <c r="AH90" i="1"/>
  <c r="E198" i="1"/>
  <c r="E201" i="1" s="1"/>
  <c r="N201" i="1"/>
  <c r="F114" i="1"/>
  <c r="AU82" i="1"/>
  <c r="AL82" i="1"/>
  <c r="BI82" i="1"/>
  <c r="BM214" i="1"/>
  <c r="K149" i="1"/>
  <c r="K150" i="1" s="1"/>
  <c r="K158" i="1" s="1"/>
  <c r="BK82" i="1"/>
  <c r="F55" i="1"/>
  <c r="AT82" i="1"/>
  <c r="BF214" i="1"/>
  <c r="X82" i="1"/>
  <c r="BD82" i="1"/>
  <c r="BH214" i="1"/>
  <c r="H153" i="1"/>
  <c r="H169" i="1" s="1"/>
  <c r="F82" i="1"/>
  <c r="D43" i="1"/>
  <c r="BS16" i="1"/>
  <c r="N61" i="1"/>
  <c r="BT61" i="1"/>
  <c r="AH16" i="1"/>
  <c r="BB17" i="1"/>
  <c r="J62" i="1"/>
  <c r="BA82" i="1"/>
  <c r="BS348" i="1"/>
  <c r="BQ82" i="1"/>
  <c r="AE82" i="1"/>
  <c r="AX82" i="1"/>
  <c r="BD214" i="1"/>
  <c r="C48" i="1"/>
  <c r="BF82" i="1"/>
  <c r="BO1" i="1"/>
  <c r="BR1" i="1"/>
  <c r="AO82" i="1"/>
  <c r="AS82" i="1"/>
  <c r="AW82" i="1"/>
  <c r="BR70" i="1"/>
  <c r="BS191" i="1"/>
  <c r="N187" i="1"/>
  <c r="N191" i="1" s="1"/>
  <c r="BO17" i="1"/>
  <c r="M62" i="1"/>
  <c r="CN26" i="1"/>
  <c r="CN27" i="1" s="1"/>
  <c r="CN28" i="1" s="1"/>
  <c r="CN29" i="1" s="1"/>
  <c r="CN30" i="1" s="1"/>
  <c r="CN31" i="1" s="1"/>
  <c r="CN32" i="1" s="1"/>
  <c r="CN33" i="1" s="1"/>
  <c r="CN34" i="1" s="1"/>
  <c r="CN35" i="1" s="1"/>
  <c r="C49" i="1"/>
  <c r="AI61" i="1"/>
  <c r="AI16" i="1" s="1"/>
  <c r="E177" i="1"/>
  <c r="E193" i="1" s="1"/>
  <c r="AI193" i="1"/>
  <c r="AI176" i="1"/>
  <c r="AM193" i="1"/>
  <c r="AM61" i="1"/>
  <c r="AM16" i="1" s="1"/>
  <c r="F177" i="1"/>
  <c r="AM176" i="1"/>
  <c r="AI17" i="1"/>
  <c r="E62" i="1"/>
  <c r="O75" i="1"/>
  <c r="AK82" i="1"/>
  <c r="BC16" i="1"/>
  <c r="J61" i="1"/>
  <c r="AM17" i="1"/>
  <c r="F62" i="1"/>
  <c r="G43" i="1"/>
  <c r="AG82" i="1"/>
  <c r="M43" i="1"/>
  <c r="AQ82" i="1"/>
  <c r="AY82" i="1"/>
  <c r="D359" i="1"/>
  <c r="AB82" i="1"/>
  <c r="F12" i="1"/>
  <c r="F50" i="1" s="1"/>
  <c r="Y82" i="1"/>
  <c r="G224" i="1"/>
  <c r="G226" i="1" s="1"/>
  <c r="K247" i="1"/>
  <c r="K379" i="1" s="1"/>
  <c r="BF70" i="1"/>
  <c r="BR214" i="1"/>
  <c r="D82" i="1"/>
  <c r="BK70" i="1"/>
  <c r="AO90" i="1"/>
  <c r="H374" i="1"/>
  <c r="AL16" i="1"/>
  <c r="BW271" i="1"/>
  <c r="BV240" i="1"/>
  <c r="BG70" i="1"/>
  <c r="BH70" i="1"/>
  <c r="BG307" i="1"/>
  <c r="BG308" i="1" s="1"/>
  <c r="BG305" i="1"/>
  <c r="BG306" i="1" s="1"/>
  <c r="BG212" i="1"/>
  <c r="N45" i="1"/>
  <c r="M89" i="1"/>
  <c r="N90" i="1" s="1"/>
  <c r="M42" i="1"/>
  <c r="M12" i="1"/>
  <c r="BL97" i="1"/>
  <c r="BL93" i="1"/>
  <c r="BL90" i="1"/>
  <c r="BP97" i="1"/>
  <c r="BP93" i="1"/>
  <c r="BP90" i="1"/>
  <c r="AE350" i="1"/>
  <c r="AE35" i="1"/>
  <c r="AE1" i="1" s="1"/>
  <c r="AE33" i="1"/>
  <c r="AJ378" i="1"/>
  <c r="AJ351" i="1"/>
  <c r="AJ335" i="1"/>
  <c r="AJ336" i="1"/>
  <c r="AJ231" i="1"/>
  <c r="AJ36" i="1"/>
  <c r="AS307" i="1"/>
  <c r="AS308" i="1" s="1"/>
  <c r="AS305" i="1"/>
  <c r="AS306" i="1" s="1"/>
  <c r="AS212" i="1"/>
  <c r="AS350" i="1"/>
  <c r="AS33" i="1"/>
  <c r="AS35" i="1"/>
  <c r="AS1" i="1" s="1"/>
  <c r="N361" i="1"/>
  <c r="N338" i="1"/>
  <c r="N339" i="1"/>
  <c r="N281" i="1"/>
  <c r="N282" i="1" s="1"/>
  <c r="V354" i="1"/>
  <c r="V353" i="1"/>
  <c r="V51" i="1"/>
  <c r="V44" i="1"/>
  <c r="Y292" i="1"/>
  <c r="X292" i="1"/>
  <c r="W51" i="1"/>
  <c r="J302" i="1"/>
  <c r="J301" i="1"/>
  <c r="K107" i="1"/>
  <c r="K160" i="1"/>
  <c r="N142" i="1"/>
  <c r="M142" i="1"/>
  <c r="L120" i="1"/>
  <c r="C321" i="1"/>
  <c r="C322" i="1"/>
  <c r="I321" i="1"/>
  <c r="I322" i="1"/>
  <c r="E322" i="1"/>
  <c r="E321" i="1"/>
  <c r="AU93" i="1"/>
  <c r="AU90" i="1"/>
  <c r="Z350" i="1"/>
  <c r="Z35" i="1"/>
  <c r="Z1" i="1" s="1"/>
  <c r="Z33" i="1"/>
  <c r="BG350" i="1"/>
  <c r="BG35" i="1"/>
  <c r="BG1" i="1" s="1"/>
  <c r="BG33" i="1"/>
  <c r="BK15" i="1"/>
  <c r="L60" i="1"/>
  <c r="AS158" i="1"/>
  <c r="AS115" i="1"/>
  <c r="AS106" i="1"/>
  <c r="AS83" i="1"/>
  <c r="BO152" i="1"/>
  <c r="BO169" i="1"/>
  <c r="BO60" i="1"/>
  <c r="BO15" i="1" s="1"/>
  <c r="AG158" i="1"/>
  <c r="AG115" i="1"/>
  <c r="AG83" i="1"/>
  <c r="AG106" i="1"/>
  <c r="AU16" i="1"/>
  <c r="H61" i="1"/>
  <c r="BR251" i="1"/>
  <c r="BR252" i="1" s="1"/>
  <c r="BQ372" i="1"/>
  <c r="BQ374" i="1" s="1"/>
  <c r="W292" i="1"/>
  <c r="F329" i="1"/>
  <c r="F37" i="1"/>
  <c r="AP289" i="1"/>
  <c r="BB158" i="1"/>
  <c r="BB106" i="1"/>
  <c r="BB115" i="1"/>
  <c r="BB83" i="1"/>
  <c r="AU379" i="1"/>
  <c r="AU378" i="1" s="1"/>
  <c r="AW247" i="1"/>
  <c r="AI305" i="1"/>
  <c r="AI306" i="1" s="1"/>
  <c r="AI307" i="1"/>
  <c r="AI308" i="1" s="1"/>
  <c r="AI212" i="1"/>
  <c r="AY305" i="1"/>
  <c r="AY306" i="1" s="1"/>
  <c r="AY307" i="1"/>
  <c r="AY308" i="1" s="1"/>
  <c r="AY212" i="1"/>
  <c r="AJ307" i="1"/>
  <c r="AJ308" i="1" s="1"/>
  <c r="AJ305" i="1"/>
  <c r="AJ306" i="1" s="1"/>
  <c r="AJ212" i="1"/>
  <c r="BH174" i="1"/>
  <c r="BH182" i="1" s="1"/>
  <c r="AK69" i="1"/>
  <c r="AK70" i="1" s="1"/>
  <c r="BE93" i="1"/>
  <c r="BE97" i="1"/>
  <c r="BE101" i="1" s="1"/>
  <c r="BE90" i="1"/>
  <c r="I56" i="1"/>
  <c r="BR307" i="1"/>
  <c r="BR308" i="1" s="1"/>
  <c r="BR305" i="1"/>
  <c r="BR306" i="1" s="1"/>
  <c r="BR212" i="1"/>
  <c r="BO378" i="1"/>
  <c r="BO351" i="1"/>
  <c r="BO336" i="1"/>
  <c r="BO335" i="1"/>
  <c r="BO231" i="1"/>
  <c r="BO240" i="1" s="1"/>
  <c r="BO36" i="1"/>
  <c r="L123" i="1"/>
  <c r="L77" i="1"/>
  <c r="AM82" i="1"/>
  <c r="BK350" i="1"/>
  <c r="BK35" i="1"/>
  <c r="BK1" i="1" s="1"/>
  <c r="BK33" i="1"/>
  <c r="BM116" i="1"/>
  <c r="M112" i="1"/>
  <c r="BW126" i="1"/>
  <c r="BF158" i="1"/>
  <c r="BF106" i="1"/>
  <c r="BF115" i="1"/>
  <c r="BF83" i="1"/>
  <c r="AU17" i="1"/>
  <c r="H62" i="1"/>
  <c r="AE17" i="1"/>
  <c r="D62" i="1"/>
  <c r="AP16" i="1"/>
  <c r="BS372" i="1"/>
  <c r="BS374" i="1" s="1"/>
  <c r="Z322" i="1"/>
  <c r="Z262" i="1"/>
  <c r="Z321" i="1" s="1"/>
  <c r="BX304" i="1"/>
  <c r="BW303" i="1"/>
  <c r="BK243" i="1"/>
  <c r="BR378" i="1"/>
  <c r="BR351" i="1"/>
  <c r="BR335" i="1"/>
  <c r="BR336" i="1"/>
  <c r="BR231" i="1"/>
  <c r="BR240" i="1" s="1"/>
  <c r="BR36" i="1"/>
  <c r="E301" i="1"/>
  <c r="E302" i="1"/>
  <c r="AL307" i="1"/>
  <c r="AL308" i="1" s="1"/>
  <c r="AL305" i="1"/>
  <c r="AL306" i="1" s="1"/>
  <c r="AL212" i="1"/>
  <c r="BJ90" i="1"/>
  <c r="BJ97" i="1"/>
  <c r="BJ101" i="1" s="1"/>
  <c r="BJ93" i="1"/>
  <c r="AA307" i="1"/>
  <c r="AA308" i="1" s="1"/>
  <c r="AA305" i="1"/>
  <c r="AA306" i="1" s="1"/>
  <c r="AA212" i="1"/>
  <c r="BT81" i="1"/>
  <c r="BS82" i="1"/>
  <c r="AJ90" i="1"/>
  <c r="H56" i="1"/>
  <c r="N348" i="1"/>
  <c r="N206" i="1"/>
  <c r="N219" i="1"/>
  <c r="N135" i="1"/>
  <c r="N123" i="1"/>
  <c r="N124" i="1"/>
  <c r="N120" i="1"/>
  <c r="AW93" i="1"/>
  <c r="AW90" i="1"/>
  <c r="AW97" i="1"/>
  <c r="AW101" i="1" s="1"/>
  <c r="M49" i="1"/>
  <c r="Y378" i="1"/>
  <c r="Y351" i="1"/>
  <c r="Y336" i="1"/>
  <c r="Y335" i="1"/>
  <c r="Y231" i="1"/>
  <c r="Y241" i="1" s="1"/>
  <c r="Y36" i="1"/>
  <c r="I359" i="1"/>
  <c r="F49" i="1"/>
  <c r="BN82" i="1"/>
  <c r="L122" i="1"/>
  <c r="J114" i="1"/>
  <c r="J69" i="1"/>
  <c r="J81" i="1"/>
  <c r="J74" i="1"/>
  <c r="AI167" i="1"/>
  <c r="AD15" i="1"/>
  <c r="AL158" i="1"/>
  <c r="AL106" i="1"/>
  <c r="AL115" i="1"/>
  <c r="AL83" i="1"/>
  <c r="BJ173" i="1"/>
  <c r="BJ174" i="1" s="1"/>
  <c r="BJ182" i="1" s="1"/>
  <c r="BJ184" i="1"/>
  <c r="BT62" i="1"/>
  <c r="BS17" i="1"/>
  <c r="N62" i="1"/>
  <c r="BV372" i="1"/>
  <c r="BV329" i="1"/>
  <c r="BW327" i="1"/>
  <c r="BV37" i="1"/>
  <c r="BO184" i="1"/>
  <c r="BO173" i="1"/>
  <c r="BO174" i="1" s="1"/>
  <c r="BO182" i="1" s="1"/>
  <c r="BQ378" i="1"/>
  <c r="BQ351" i="1"/>
  <c r="BQ336" i="1"/>
  <c r="BQ335" i="1"/>
  <c r="BQ231" i="1"/>
  <c r="BQ240" i="1" s="1"/>
  <c r="BQ36" i="1"/>
  <c r="Z307" i="1"/>
  <c r="Z308" i="1" s="1"/>
  <c r="Z305" i="1"/>
  <c r="Z306" i="1" s="1"/>
  <c r="Z212" i="1"/>
  <c r="C301" i="1"/>
  <c r="C302" i="1"/>
  <c r="X307" i="1"/>
  <c r="X308" i="1" s="1"/>
  <c r="X305" i="1"/>
  <c r="X306" i="1" s="1"/>
  <c r="X212" i="1"/>
  <c r="X69" i="1"/>
  <c r="AF307" i="1"/>
  <c r="AF308" i="1" s="1"/>
  <c r="AF305" i="1"/>
  <c r="AF306" i="1" s="1"/>
  <c r="AF212" i="1"/>
  <c r="AV82" i="1"/>
  <c r="BD97" i="1"/>
  <c r="BD90" i="1"/>
  <c r="BD93" i="1"/>
  <c r="BH307" i="1"/>
  <c r="BH308" i="1" s="1"/>
  <c r="BH305" i="1"/>
  <c r="BH306" i="1" s="1"/>
  <c r="BH212" i="1"/>
  <c r="AA350" i="1"/>
  <c r="AA35" i="1"/>
  <c r="AA1" i="1" s="1"/>
  <c r="AA33" i="1"/>
  <c r="BH350" i="1"/>
  <c r="BH33" i="1"/>
  <c r="BH35" i="1"/>
  <c r="BH1" i="1" s="1"/>
  <c r="I288" i="1"/>
  <c r="I287" i="1"/>
  <c r="N285" i="1"/>
  <c r="N288" i="1" s="1"/>
  <c r="J49" i="1"/>
  <c r="BB307" i="1"/>
  <c r="BB308" i="1" s="1"/>
  <c r="BB305" i="1"/>
  <c r="BB306" i="1" s="1"/>
  <c r="BB212" i="1"/>
  <c r="K359" i="1"/>
  <c r="L191" i="1"/>
  <c r="L108" i="1"/>
  <c r="AS84" i="1"/>
  <c r="AS102" i="1"/>
  <c r="AS85" i="1" s="1"/>
  <c r="BC82" i="1"/>
  <c r="AL350" i="1"/>
  <c r="AL33" i="1"/>
  <c r="AL35" i="1"/>
  <c r="AL1" i="1" s="1"/>
  <c r="AU169" i="1"/>
  <c r="AU152" i="1"/>
  <c r="AU60" i="1"/>
  <c r="AU15" i="1" s="1"/>
  <c r="AX149" i="1"/>
  <c r="AX107" i="1"/>
  <c r="AX160" i="1"/>
  <c r="BF16" i="1"/>
  <c r="BR372" i="1"/>
  <c r="BR374" i="1" s="1"/>
  <c r="E163" i="1"/>
  <c r="E167" i="1" s="1"/>
  <c r="L242" i="1"/>
  <c r="H247" i="1"/>
  <c r="H379" i="1" s="1"/>
  <c r="BZ46" i="1"/>
  <c r="F287" i="1"/>
  <c r="F288" i="1"/>
  <c r="G302" i="1"/>
  <c r="G301" i="1"/>
  <c r="Z69" i="1"/>
  <c r="Z70" i="1" s="1"/>
  <c r="G267" i="1"/>
  <c r="AQ97" i="1"/>
  <c r="AQ101" i="1" s="1"/>
  <c r="AQ90" i="1"/>
  <c r="BG214" i="1"/>
  <c r="D361" i="1"/>
  <c r="D338" i="1"/>
  <c r="D339" i="1"/>
  <c r="D281" i="1"/>
  <c r="D282" i="1" s="1"/>
  <c r="H301" i="1"/>
  <c r="H302" i="1"/>
  <c r="L361" i="1"/>
  <c r="L363" i="1" s="1"/>
  <c r="L338" i="1"/>
  <c r="L339" i="1"/>
  <c r="L281" i="1"/>
  <c r="L282" i="1" s="1"/>
  <c r="AB69" i="1"/>
  <c r="AB70" i="1" s="1"/>
  <c r="BL69" i="1"/>
  <c r="BL70" i="1" s="1"/>
  <c r="BP307" i="1"/>
  <c r="BP308" i="1" s="1"/>
  <c r="BP305" i="1"/>
  <c r="BP306" i="1" s="1"/>
  <c r="BP212" i="1"/>
  <c r="AR351" i="1"/>
  <c r="AR335" i="1"/>
  <c r="AR336" i="1"/>
  <c r="AR231" i="1"/>
  <c r="AR36" i="1"/>
  <c r="AR378" i="1"/>
  <c r="AG378" i="1"/>
  <c r="AG351" i="1"/>
  <c r="AG335" i="1"/>
  <c r="AG336" i="1"/>
  <c r="AG231" i="1"/>
  <c r="AG241" i="1" s="1"/>
  <c r="AG36" i="1"/>
  <c r="AD305" i="1"/>
  <c r="AD306" i="1" s="1"/>
  <c r="AD307" i="1"/>
  <c r="AD308" i="1" s="1"/>
  <c r="AD212" i="1"/>
  <c r="AH82" i="1"/>
  <c r="N319" i="1"/>
  <c r="N318" i="1"/>
  <c r="N298" i="1" s="1"/>
  <c r="N225" i="1"/>
  <c r="N224" i="1" s="1"/>
  <c r="N226" i="1" s="1"/>
  <c r="N138" i="1"/>
  <c r="M138" i="1"/>
  <c r="K70" i="1"/>
  <c r="L348" i="1"/>
  <c r="L303" i="1"/>
  <c r="L304" i="1" s="1"/>
  <c r="L219" i="1"/>
  <c r="L206" i="1"/>
  <c r="L135" i="1"/>
  <c r="L134" i="1"/>
  <c r="L41" i="1"/>
  <c r="AU70" i="1"/>
  <c r="BV224" i="1"/>
  <c r="BV225" i="1" s="1"/>
  <c r="BV242" i="1" s="1"/>
  <c r="BV112" i="1"/>
  <c r="BV79" i="1"/>
  <c r="BV77" i="1"/>
  <c r="AU184" i="1"/>
  <c r="AU173" i="1"/>
  <c r="AH15" i="1"/>
  <c r="AE16" i="1"/>
  <c r="D61" i="1"/>
  <c r="BO372" i="1"/>
  <c r="BO374" i="1" s="1"/>
  <c r="AU319" i="1"/>
  <c r="AU318" i="1"/>
  <c r="AU298" i="1" s="1"/>
  <c r="AU317" i="1"/>
  <c r="AU225" i="1"/>
  <c r="AU224" i="1" s="1"/>
  <c r="AU226" i="1" s="1"/>
  <c r="AW372" i="1"/>
  <c r="AW374" i="1" s="1"/>
  <c r="AY372" i="1"/>
  <c r="AY374" i="1" s="1"/>
  <c r="BC372" i="1"/>
  <c r="BC374" i="1" s="1"/>
  <c r="BI372" i="1"/>
  <c r="BI374" i="1" s="1"/>
  <c r="BB372" i="1"/>
  <c r="BB374" i="1" s="1"/>
  <c r="BL372" i="1"/>
  <c r="BD372" i="1"/>
  <c r="BF372" i="1"/>
  <c r="BF374" i="1" s="1"/>
  <c r="AZ372" i="1"/>
  <c r="BM372" i="1"/>
  <c r="BM374" i="1" s="1"/>
  <c r="BE372" i="1"/>
  <c r="BE374" i="1" s="1"/>
  <c r="BJ372" i="1"/>
  <c r="BJ374" i="1" s="1"/>
  <c r="BG372" i="1"/>
  <c r="BG374" i="1" s="1"/>
  <c r="AX372" i="1"/>
  <c r="AX374" i="1" s="1"/>
  <c r="AV372" i="1"/>
  <c r="BA372" i="1"/>
  <c r="BA374" i="1" s="1"/>
  <c r="BH372" i="1"/>
  <c r="BT372" i="1"/>
  <c r="BV362" i="1"/>
  <c r="BW274" i="1"/>
  <c r="BV250" i="1"/>
  <c r="AP322" i="1"/>
  <c r="AP262" i="1"/>
  <c r="AP321" i="1" s="1"/>
  <c r="CD17" i="1"/>
  <c r="F361" i="1"/>
  <c r="F363" i="1" s="1"/>
  <c r="F338" i="1"/>
  <c r="F339" i="1"/>
  <c r="F281" i="1"/>
  <c r="AL90" i="1"/>
  <c r="AX90" i="1"/>
  <c r="AX93" i="1"/>
  <c r="BJ305" i="1"/>
  <c r="BJ306" i="1" s="1"/>
  <c r="BJ307" i="1"/>
  <c r="BJ308" i="1" s="1"/>
  <c r="BJ212" i="1"/>
  <c r="G287" i="1"/>
  <c r="G288" i="1"/>
  <c r="AI214" i="1"/>
  <c r="AY214" i="1"/>
  <c r="D287" i="1"/>
  <c r="H359" i="1"/>
  <c r="AF82" i="1"/>
  <c r="BD307" i="1"/>
  <c r="BD308" i="1" s="1"/>
  <c r="BD305" i="1"/>
  <c r="BD306" i="1" s="1"/>
  <c r="BD212" i="1"/>
  <c r="AZ350" i="1"/>
  <c r="AZ33" i="1"/>
  <c r="AZ35" i="1"/>
  <c r="AZ1" i="1" s="1"/>
  <c r="J348" i="1"/>
  <c r="J303" i="1"/>
  <c r="J304" i="1" s="1"/>
  <c r="J206" i="1"/>
  <c r="J219" i="1"/>
  <c r="J135" i="1"/>
  <c r="J134" i="1"/>
  <c r="J133" i="1"/>
  <c r="J132" i="1"/>
  <c r="J131" i="1"/>
  <c r="J130" i="1"/>
  <c r="J129" i="1"/>
  <c r="AG307" i="1"/>
  <c r="AG308" i="1" s="1"/>
  <c r="AG305" i="1"/>
  <c r="AG306" i="1" s="1"/>
  <c r="AG212" i="1"/>
  <c r="BI93" i="1"/>
  <c r="BI90" i="1"/>
  <c r="BI97" i="1"/>
  <c r="BI101" i="1" s="1"/>
  <c r="BM307" i="1"/>
  <c r="BM308" i="1" s="1"/>
  <c r="BM305" i="1"/>
  <c r="BM306" i="1" s="1"/>
  <c r="BM212" i="1"/>
  <c r="N302" i="1"/>
  <c r="N301" i="1"/>
  <c r="BF90" i="1"/>
  <c r="BF93" i="1"/>
  <c r="BF97" i="1"/>
  <c r="BF101" i="1" s="1"/>
  <c r="AH307" i="1"/>
  <c r="AH308" i="1" s="1"/>
  <c r="AH305" i="1"/>
  <c r="AH306" i="1" s="1"/>
  <c r="AH212" i="1"/>
  <c r="N141" i="1"/>
  <c r="M141" i="1"/>
  <c r="M114" i="1"/>
  <c r="M81" i="1"/>
  <c r="M74" i="1"/>
  <c r="AM90" i="1"/>
  <c r="BO305" i="1"/>
  <c r="BO306" i="1" s="1"/>
  <c r="BO307" i="1"/>
  <c r="BO308" i="1" s="1"/>
  <c r="BO212" i="1"/>
  <c r="AU351" i="1"/>
  <c r="AU336" i="1"/>
  <c r="AU335" i="1"/>
  <c r="AU231" i="1"/>
  <c r="AU241" i="1" s="1"/>
  <c r="AU36" i="1"/>
  <c r="BZ38" i="1"/>
  <c r="BH116" i="1"/>
  <c r="L112" i="1"/>
  <c r="BR158" i="1"/>
  <c r="BR106" i="1"/>
  <c r="BR115" i="1"/>
  <c r="BR83" i="1"/>
  <c r="BG158" i="1"/>
  <c r="BG115" i="1"/>
  <c r="BG106" i="1"/>
  <c r="BG83" i="1"/>
  <c r="AP184" i="1"/>
  <c r="AP173" i="1"/>
  <c r="BC243" i="1"/>
  <c r="BP372" i="1"/>
  <c r="BJ251" i="1"/>
  <c r="BJ252" i="1" s="1"/>
  <c r="AX307" i="1"/>
  <c r="AX308" i="1" s="1"/>
  <c r="AX305" i="1"/>
  <c r="AX306" i="1" s="1"/>
  <c r="AX212" i="1"/>
  <c r="BJ70" i="1"/>
  <c r="C287" i="1"/>
  <c r="C288" i="1"/>
  <c r="H361" i="1"/>
  <c r="H338" i="1"/>
  <c r="H339" i="1"/>
  <c r="H281" i="1"/>
  <c r="L310" i="1"/>
  <c r="AJ82" i="1"/>
  <c r="AR307" i="1"/>
  <c r="AR308" i="1" s="1"/>
  <c r="AR305" i="1"/>
  <c r="AR306" i="1" s="1"/>
  <c r="AR212" i="1"/>
  <c r="AM350" i="1"/>
  <c r="AM35" i="1"/>
  <c r="AM1" i="1" s="1"/>
  <c r="AM33" i="1"/>
  <c r="N42" i="1"/>
  <c r="AC82" i="1"/>
  <c r="AO69" i="1"/>
  <c r="AO70" i="1" s="1"/>
  <c r="BE305" i="1"/>
  <c r="BE306" i="1" s="1"/>
  <c r="BE307" i="1"/>
  <c r="BE308" i="1" s="1"/>
  <c r="BE212" i="1"/>
  <c r="BI307" i="1"/>
  <c r="BI308" i="1" s="1"/>
  <c r="BI305" i="1"/>
  <c r="BI306" i="1" s="1"/>
  <c r="BI212" i="1"/>
  <c r="M56" i="1"/>
  <c r="G348" i="1"/>
  <c r="G303" i="1"/>
  <c r="G304" i="1" s="1"/>
  <c r="G219" i="1"/>
  <c r="G206" i="1"/>
  <c r="G134" i="1"/>
  <c r="G133" i="1"/>
  <c r="G132" i="1"/>
  <c r="G131" i="1"/>
  <c r="G130" i="1"/>
  <c r="G129" i="1"/>
  <c r="BR90" i="1"/>
  <c r="BR97" i="1"/>
  <c r="BR101" i="1" s="1"/>
  <c r="BR93" i="1"/>
  <c r="G50" i="1"/>
  <c r="M361" i="1"/>
  <c r="M363" i="1" s="1"/>
  <c r="M338" i="1"/>
  <c r="M339" i="1"/>
  <c r="M281" i="1"/>
  <c r="M282" i="1" s="1"/>
  <c r="K90" i="1"/>
  <c r="K93" i="1"/>
  <c r="BB90" i="1"/>
  <c r="BB97" i="1"/>
  <c r="BB101" i="1" s="1"/>
  <c r="BB93" i="1"/>
  <c r="BN90" i="1"/>
  <c r="BN93" i="1"/>
  <c r="C102" i="1"/>
  <c r="C85" i="1" s="1"/>
  <c r="I43" i="1"/>
  <c r="K56" i="1"/>
  <c r="BL150" i="1"/>
  <c r="AH350" i="1"/>
  <c r="AH33" i="1"/>
  <c r="AH35" i="1"/>
  <c r="AH1" i="1" s="1"/>
  <c r="BT169" i="1"/>
  <c r="AD107" i="1"/>
  <c r="AD160" i="1"/>
  <c r="AD149" i="1"/>
  <c r="AD150" i="1" s="1"/>
  <c r="BY124" i="1"/>
  <c r="AP158" i="1"/>
  <c r="AP106" i="1"/>
  <c r="AP115" i="1"/>
  <c r="AP83" i="1"/>
  <c r="BJ16" i="1"/>
  <c r="BL378" i="1"/>
  <c r="BL351" i="1"/>
  <c r="BL335" i="1"/>
  <c r="BL336" i="1"/>
  <c r="BL231" i="1"/>
  <c r="BL36" i="1"/>
  <c r="BG93" i="1"/>
  <c r="BG90" i="1"/>
  <c r="BS307" i="1"/>
  <c r="BS308" i="1" s="1"/>
  <c r="BT308" i="1" s="1"/>
  <c r="BS305" i="1"/>
  <c r="BS306" i="1" s="1"/>
  <c r="BS212" i="1"/>
  <c r="AB307" i="1"/>
  <c r="AB308" i="1" s="1"/>
  <c r="AB305" i="1"/>
  <c r="AB306" i="1" s="1"/>
  <c r="AB212" i="1"/>
  <c r="AN90" i="1"/>
  <c r="AR82" i="1"/>
  <c r="AV97" i="1"/>
  <c r="AV93" i="1"/>
  <c r="AV90" i="1"/>
  <c r="AZ82" i="1"/>
  <c r="BH97" i="1"/>
  <c r="BH90" i="1"/>
  <c r="BH93" i="1"/>
  <c r="G116" i="1"/>
  <c r="G45" i="1"/>
  <c r="BL354" i="1"/>
  <c r="BL295" i="1"/>
  <c r="BL296" i="1"/>
  <c r="BL44" i="1"/>
  <c r="BL353" i="1"/>
  <c r="U90" i="1"/>
  <c r="Y305" i="1"/>
  <c r="Y306" i="1" s="1"/>
  <c r="Y309" i="1" s="1"/>
  <c r="Y307" i="1"/>
  <c r="Y308" i="1" s="1"/>
  <c r="Y212" i="1"/>
  <c r="AK307" i="1"/>
  <c r="AK308" i="1" s="1"/>
  <c r="AK305" i="1"/>
  <c r="AK306" i="1" s="1"/>
  <c r="AK212" i="1"/>
  <c r="AO305" i="1"/>
  <c r="AO306" i="1" s="1"/>
  <c r="AO307" i="1"/>
  <c r="AO308" i="1" s="1"/>
  <c r="AO212" i="1"/>
  <c r="N287" i="1"/>
  <c r="AD82" i="1"/>
  <c r="BJ350" i="1"/>
  <c r="BJ35" i="1"/>
  <c r="BJ1" i="1" s="1"/>
  <c r="BJ33" i="1"/>
  <c r="V90" i="1"/>
  <c r="AP97" i="1"/>
  <c r="AP101" i="1" s="1"/>
  <c r="AP90" i="1"/>
  <c r="C115" i="1"/>
  <c r="C106" i="1"/>
  <c r="C83" i="1"/>
  <c r="E82" i="1"/>
  <c r="L81" i="1"/>
  <c r="D348" i="1"/>
  <c r="D303" i="1"/>
  <c r="D304" i="1" s="1"/>
  <c r="D219" i="1"/>
  <c r="D206" i="1"/>
  <c r="W82" i="1"/>
  <c r="AY169" i="1"/>
  <c r="AY152" i="1"/>
  <c r="AY60" i="1"/>
  <c r="AY15" i="1" s="1"/>
  <c r="BG193" i="1"/>
  <c r="BG61" i="1"/>
  <c r="BG16" i="1" s="1"/>
  <c r="BG176" i="1"/>
  <c r="AX322" i="1"/>
  <c r="AX262" i="1"/>
  <c r="AX321" i="1" s="1"/>
  <c r="C350" i="1"/>
  <c r="C35" i="1"/>
  <c r="C1" i="1" s="1"/>
  <c r="C33" i="1"/>
  <c r="J245" i="1"/>
  <c r="M245" i="1"/>
  <c r="D167" i="1"/>
  <c r="J224" i="1"/>
  <c r="J226" i="1" s="1"/>
  <c r="N247" i="1"/>
  <c r="N379" i="1" s="1"/>
  <c r="AQ70" i="1"/>
  <c r="AY90" i="1"/>
  <c r="AY93" i="1"/>
  <c r="BV210" i="1"/>
  <c r="BW24" i="1"/>
  <c r="O24" i="1" s="1"/>
  <c r="O210" i="1" s="1"/>
  <c r="AV350" i="1"/>
  <c r="AV33" i="1"/>
  <c r="AV35" i="1"/>
  <c r="AV1" i="1" s="1"/>
  <c r="AC307" i="1"/>
  <c r="AC308" i="1" s="1"/>
  <c r="AC305" i="1"/>
  <c r="AC306" i="1" s="1"/>
  <c r="AC212" i="1"/>
  <c r="BQ70" i="1"/>
  <c r="BI350" i="1"/>
  <c r="BI33" i="1"/>
  <c r="BI35" i="1"/>
  <c r="BI1" i="1" s="1"/>
  <c r="AX350" i="1"/>
  <c r="AX33" i="1"/>
  <c r="AX35" i="1"/>
  <c r="AX1" i="1" s="1"/>
  <c r="AP307" i="1"/>
  <c r="AP308" i="1" s="1"/>
  <c r="AP305" i="1"/>
  <c r="AP306" i="1" s="1"/>
  <c r="AP212" i="1"/>
  <c r="K106" i="1"/>
  <c r="K83" i="1"/>
  <c r="H114" i="1"/>
  <c r="H81" i="1"/>
  <c r="H74" i="1"/>
  <c r="L90" i="1"/>
  <c r="L93" i="1"/>
  <c r="BC307" i="1"/>
  <c r="BC308" i="1" s="1"/>
  <c r="BC305" i="1"/>
  <c r="BC306" i="1" s="1"/>
  <c r="BC212" i="1"/>
  <c r="AP350" i="1"/>
  <c r="AP33" i="1"/>
  <c r="AP35" i="1"/>
  <c r="AP1" i="1" s="1"/>
  <c r="BW223" i="1"/>
  <c r="BW111" i="1"/>
  <c r="BX75" i="1"/>
  <c r="BC158" i="1"/>
  <c r="BC115" i="1"/>
  <c r="BC106" i="1"/>
  <c r="BC83" i="1"/>
  <c r="BK149" i="1"/>
  <c r="BK150" i="1" s="1"/>
  <c r="BK160" i="1"/>
  <c r="BK107" i="1"/>
  <c r="L152" i="1"/>
  <c r="BN15" i="1"/>
  <c r="M60" i="1"/>
  <c r="BS158" i="1"/>
  <c r="BS115" i="1"/>
  <c r="BS106" i="1"/>
  <c r="BS83" i="1"/>
  <c r="AH149" i="1"/>
  <c r="AH150" i="1" s="1"/>
  <c r="AH107" i="1"/>
  <c r="AH160" i="1"/>
  <c r="AE184" i="1"/>
  <c r="AE173" i="1"/>
  <c r="BS243" i="1"/>
  <c r="BS240" i="1"/>
  <c r="BK319" i="1"/>
  <c r="BK318" i="1"/>
  <c r="BK298" i="1" s="1"/>
  <c r="BK317" i="1"/>
  <c r="BK225" i="1"/>
  <c r="BK224" i="1" s="1"/>
  <c r="BK226" i="1" s="1"/>
  <c r="BN322" i="1"/>
  <c r="BN262" i="1"/>
  <c r="BN321" i="1" s="1"/>
  <c r="E329" i="1"/>
  <c r="E37" i="1"/>
  <c r="BT323" i="1"/>
  <c r="BU59" i="1"/>
  <c r="AC158" i="1"/>
  <c r="AC115" i="1"/>
  <c r="AC106" i="1"/>
  <c r="AC83" i="1"/>
  <c r="BV277" i="1"/>
  <c r="BU372" i="1"/>
  <c r="BM378" i="1"/>
  <c r="BM351" i="1"/>
  <c r="BM335" i="1"/>
  <c r="BM336" i="1"/>
  <c r="BM231" i="1"/>
  <c r="BM240" i="1" s="1"/>
  <c r="BM36" i="1"/>
  <c r="G359" i="1"/>
  <c r="AQ307" i="1"/>
  <c r="AQ308" i="1" s="1"/>
  <c r="AQ305" i="1"/>
  <c r="AQ306" i="1" s="1"/>
  <c r="AQ212" i="1"/>
  <c r="D285" i="1"/>
  <c r="D288" i="1" s="1"/>
  <c r="L287" i="1"/>
  <c r="AF90" i="1"/>
  <c r="AV307" i="1"/>
  <c r="AV308" i="1" s="1"/>
  <c r="AV305" i="1"/>
  <c r="AV306" i="1" s="1"/>
  <c r="AV212" i="1"/>
  <c r="BL307" i="1"/>
  <c r="BL308" i="1" s="1"/>
  <c r="BL305" i="1"/>
  <c r="BL306" i="1" s="1"/>
  <c r="BL212" i="1"/>
  <c r="AK378" i="1"/>
  <c r="AK336" i="1"/>
  <c r="AK351" i="1"/>
  <c r="AK335" i="1"/>
  <c r="AK231" i="1"/>
  <c r="AK241" i="1" s="1"/>
  <c r="AK36" i="1"/>
  <c r="I301" i="1"/>
  <c r="I302" i="1"/>
  <c r="M55" i="1"/>
  <c r="BB350" i="1"/>
  <c r="BB33" i="1"/>
  <c r="BB35" i="1"/>
  <c r="BB1" i="1" s="1"/>
  <c r="H201" i="1"/>
  <c r="L316" i="1"/>
  <c r="L322" i="1"/>
  <c r="L321" i="1"/>
  <c r="AE307" i="1"/>
  <c r="AE308" i="1" s="1"/>
  <c r="AE305" i="1"/>
  <c r="AE306" i="1" s="1"/>
  <c r="AE212" i="1"/>
  <c r="AM70" i="1"/>
  <c r="G56" i="1"/>
  <c r="AQ158" i="1"/>
  <c r="AQ115" i="1"/>
  <c r="AQ106" i="1"/>
  <c r="AQ83" i="1"/>
  <c r="BY123" i="1"/>
  <c r="AQ193" i="1"/>
  <c r="AQ176" i="1"/>
  <c r="AQ61" i="1"/>
  <c r="AQ16" i="1" s="1"/>
  <c r="AO288" i="1"/>
  <c r="AO289" i="1"/>
  <c r="BO369" i="1"/>
  <c r="M369" i="1" s="1"/>
  <c r="M367" i="1"/>
  <c r="F302" i="1"/>
  <c r="F301" i="1"/>
  <c r="BJ82" i="1"/>
  <c r="BS70" i="1"/>
  <c r="E89" i="1"/>
  <c r="E42" i="1"/>
  <c r="E12" i="1"/>
  <c r="E316" i="1" s="1"/>
  <c r="AZ307" i="1"/>
  <c r="AZ308" i="1" s="1"/>
  <c r="AZ305" i="1"/>
  <c r="AZ306" i="1" s="1"/>
  <c r="AZ212" i="1"/>
  <c r="C116" i="1"/>
  <c r="C45" i="1"/>
  <c r="G55" i="1"/>
  <c r="G48" i="1"/>
  <c r="AB378" i="1"/>
  <c r="AB351" i="1"/>
  <c r="AB335" i="1"/>
  <c r="AB336" i="1"/>
  <c r="AB231" i="1"/>
  <c r="AB36" i="1"/>
  <c r="N93" i="1"/>
  <c r="AC90" i="1"/>
  <c r="BM93" i="1"/>
  <c r="BM90" i="1"/>
  <c r="BM97" i="1"/>
  <c r="BM101" i="1" s="1"/>
  <c r="BA350" i="1"/>
  <c r="BA33" i="1"/>
  <c r="BA35" i="1"/>
  <c r="BA1" i="1" s="1"/>
  <c r="I361" i="1"/>
  <c r="I338" i="1"/>
  <c r="I339" i="1"/>
  <c r="I281" i="1"/>
  <c r="BR82" i="1"/>
  <c r="BB82" i="1"/>
  <c r="BN307" i="1"/>
  <c r="BN308" i="1" s="1"/>
  <c r="BN305" i="1"/>
  <c r="BN306" i="1" s="1"/>
  <c r="BN212" i="1"/>
  <c r="G149" i="1"/>
  <c r="G150" i="1" s="1"/>
  <c r="H176" i="1"/>
  <c r="H184" i="1" s="1"/>
  <c r="N140" i="1"/>
  <c r="M140" i="1"/>
  <c r="BO82" i="1"/>
  <c r="BS301" i="1"/>
  <c r="BS302" i="1"/>
  <c r="BS267" i="1"/>
  <c r="BS282" i="1" s="1"/>
  <c r="BX125" i="1"/>
  <c r="BO167" i="1"/>
  <c r="AE169" i="1"/>
  <c r="AE152" i="1"/>
  <c r="AE60" i="1"/>
  <c r="AE15" i="1" s="1"/>
  <c r="AW158" i="1"/>
  <c r="AW115" i="1"/>
  <c r="AW83" i="1"/>
  <c r="AW106" i="1"/>
  <c r="BK176" i="1"/>
  <c r="L176" i="1" s="1"/>
  <c r="L184" i="1" s="1"/>
  <c r="BK193" i="1"/>
  <c r="BK61" i="1"/>
  <c r="BK16" i="1" s="1"/>
  <c r="BG243" i="1"/>
  <c r="BC350" i="1"/>
  <c r="BC35" i="1"/>
  <c r="BC1" i="1" s="1"/>
  <c r="BC33" i="1"/>
  <c r="BO16" i="1"/>
  <c r="M61" i="1"/>
  <c r="BL174" i="1"/>
  <c r="BL182" i="1" s="1"/>
  <c r="M173" i="1"/>
  <c r="M174" i="1" s="1"/>
  <c r="M182" i="1" s="1"/>
  <c r="AH322" i="1"/>
  <c r="AH262" i="1"/>
  <c r="AH321" i="1" s="1"/>
  <c r="P328" i="1"/>
  <c r="BY328" i="1"/>
  <c r="BY326" i="1" s="1"/>
  <c r="BN378" i="1"/>
  <c r="BN351" i="1"/>
  <c r="BN335" i="1"/>
  <c r="BN336" i="1"/>
  <c r="BN231" i="1"/>
  <c r="BN240" i="1" s="1"/>
  <c r="BN36" i="1"/>
  <c r="C361" i="1"/>
  <c r="C363" i="1" s="1"/>
  <c r="C339" i="1"/>
  <c r="C338" i="1"/>
  <c r="C281" i="1"/>
  <c r="C282" i="1" s="1"/>
  <c r="AA82" i="1"/>
  <c r="BS214" i="1"/>
  <c r="D301" i="1"/>
  <c r="D302" i="1"/>
  <c r="H287" i="1"/>
  <c r="L301" i="1"/>
  <c r="L302" i="1"/>
  <c r="I89" i="1"/>
  <c r="J90" i="1" s="1"/>
  <c r="I42" i="1"/>
  <c r="I12" i="1"/>
  <c r="AR90" i="1"/>
  <c r="AR97" i="1"/>
  <c r="AV69" i="1"/>
  <c r="AV70" i="1" s="1"/>
  <c r="AZ97" i="1"/>
  <c r="AZ93" i="1"/>
  <c r="AZ90" i="1"/>
  <c r="K55" i="1"/>
  <c r="K48" i="1"/>
  <c r="AQ350" i="1"/>
  <c r="AQ35" i="1"/>
  <c r="AQ1" i="1" s="1"/>
  <c r="AQ33" i="1"/>
  <c r="U82" i="1"/>
  <c r="AW307" i="1"/>
  <c r="AW308" i="1" s="1"/>
  <c r="AW305" i="1"/>
  <c r="AW306" i="1" s="1"/>
  <c r="AW212" i="1"/>
  <c r="BA307" i="1"/>
  <c r="BA308" i="1" s="1"/>
  <c r="BA305" i="1"/>
  <c r="BA306" i="1" s="1"/>
  <c r="BA212" i="1"/>
  <c r="AC378" i="1"/>
  <c r="AC351" i="1"/>
  <c r="AC335" i="1"/>
  <c r="AC336" i="1"/>
  <c r="AC231" i="1"/>
  <c r="AC241" i="1" s="1"/>
  <c r="AC36" i="1"/>
  <c r="I267" i="1"/>
  <c r="N359" i="1"/>
  <c r="AD90" i="1"/>
  <c r="AT305" i="1"/>
  <c r="AT306" i="1" s="1"/>
  <c r="AT307" i="1"/>
  <c r="AT308" i="1" s="1"/>
  <c r="AT212" i="1"/>
  <c r="E48" i="1"/>
  <c r="AT378" i="1"/>
  <c r="AT351" i="1"/>
  <c r="AT336" i="1"/>
  <c r="AT335" i="1"/>
  <c r="AT231" i="1"/>
  <c r="AT241" i="1" s="1"/>
  <c r="AT36" i="1"/>
  <c r="J287" i="1"/>
  <c r="J288" i="1"/>
  <c r="V82" i="1"/>
  <c r="D224" i="1"/>
  <c r="D226" i="1" s="1"/>
  <c r="L121" i="1"/>
  <c r="F69" i="1"/>
  <c r="W90" i="1"/>
  <c r="BK307" i="1"/>
  <c r="BK308" i="1" s="1"/>
  <c r="BK305" i="1"/>
  <c r="BK306" i="1" s="1"/>
  <c r="BK212" i="1"/>
  <c r="BM158" i="1"/>
  <c r="BM115" i="1"/>
  <c r="BM83" i="1"/>
  <c r="BM106" i="1"/>
  <c r="AT15" i="1"/>
  <c r="H60" i="1"/>
  <c r="C349" i="1"/>
  <c r="M153" i="1"/>
  <c r="M169" i="1" s="1"/>
  <c r="G191" i="1"/>
  <c r="I163" i="1"/>
  <c r="I167" i="1" s="1"/>
  <c r="E288" i="1"/>
  <c r="E287" i="1"/>
  <c r="Q366" i="1"/>
  <c r="Q276" i="1"/>
  <c r="Q279" i="1"/>
  <c r="Q266" i="1"/>
  <c r="Q275" i="1"/>
  <c r="Q260" i="1"/>
  <c r="AI69" i="1"/>
  <c r="AY69" i="1"/>
  <c r="AY70" i="1" s="1"/>
  <c r="F348" i="1"/>
  <c r="F303" i="1"/>
  <c r="F304" i="1" s="1"/>
  <c r="F134" i="1"/>
  <c r="F143" i="1" s="1"/>
  <c r="F133" i="1"/>
  <c r="F142" i="1" s="1"/>
  <c r="F130" i="1"/>
  <c r="F139" i="1" s="1"/>
  <c r="F129" i="1"/>
  <c r="BQ93" i="1"/>
  <c r="BQ97" i="1"/>
  <c r="BQ101" i="1" s="1"/>
  <c r="BQ90" i="1"/>
  <c r="N56" i="1"/>
  <c r="AH69" i="1"/>
  <c r="AH70" i="1" s="1"/>
  <c r="AP214" i="1"/>
  <c r="K361" i="1"/>
  <c r="K339" i="1"/>
  <c r="K338" i="1"/>
  <c r="K281" i="1"/>
  <c r="K282" i="1" s="1"/>
  <c r="K302" i="1"/>
  <c r="K301" i="1"/>
  <c r="I224" i="1"/>
  <c r="I226" i="1" s="1"/>
  <c r="J149" i="1"/>
  <c r="J150" i="1" s="1"/>
  <c r="L124" i="1"/>
  <c r="J316" i="1"/>
  <c r="J322" i="1"/>
  <c r="J321" i="1"/>
  <c r="F316" i="1"/>
  <c r="F321" i="1"/>
  <c r="F322" i="1"/>
  <c r="K82" i="1"/>
  <c r="BC214" i="1"/>
  <c r="BW76" i="1"/>
  <c r="BN149" i="1"/>
  <c r="BN150" i="1" s="1"/>
  <c r="BN107" i="1"/>
  <c r="BN160" i="1"/>
  <c r="M152" i="1"/>
  <c r="BT164" i="1"/>
  <c r="BT167" i="1"/>
  <c r="BY122" i="1"/>
  <c r="AI169" i="1"/>
  <c r="AI152" i="1"/>
  <c r="E152" i="1" s="1"/>
  <c r="AI60" i="1"/>
  <c r="AI15" i="1" s="1"/>
  <c r="BP174" i="1"/>
  <c r="BP182" i="1" s="1"/>
  <c r="N173" i="1"/>
  <c r="N174" i="1" s="1"/>
  <c r="N182" i="1" s="1"/>
  <c r="BS251" i="1"/>
  <c r="BS252" i="1" s="1"/>
  <c r="BW372" i="1"/>
  <c r="BV262" i="1"/>
  <c r="BY121" i="1"/>
  <c r="AN374" i="1"/>
  <c r="G372" i="1"/>
  <c r="G374" i="1" s="1"/>
  <c r="F310" i="1"/>
  <c r="AQ214" i="1"/>
  <c r="L285" i="1"/>
  <c r="L288" i="1" s="1"/>
  <c r="AF69" i="1"/>
  <c r="AF70" i="1" s="1"/>
  <c r="AN307" i="1"/>
  <c r="AN308" i="1" s="1"/>
  <c r="AN305" i="1"/>
  <c r="AN306" i="1" s="1"/>
  <c r="AN212" i="1"/>
  <c r="BL214" i="1"/>
  <c r="AI350" i="1"/>
  <c r="AI35" i="1"/>
  <c r="AI1" i="1" s="1"/>
  <c r="AI33" i="1"/>
  <c r="X378" i="1"/>
  <c r="X351" i="1"/>
  <c r="X335" i="1"/>
  <c r="X336" i="1"/>
  <c r="X231" i="1"/>
  <c r="X36" i="1"/>
  <c r="AN378" i="1"/>
  <c r="AN351" i="1"/>
  <c r="AN335" i="1"/>
  <c r="AN336" i="1"/>
  <c r="AN231" i="1"/>
  <c r="AN36" i="1"/>
  <c r="J93" i="1"/>
  <c r="BA93" i="1"/>
  <c r="BA97" i="1"/>
  <c r="BA101" i="1" s="1"/>
  <c r="BA90" i="1"/>
  <c r="AW350" i="1"/>
  <c r="AW33" i="1"/>
  <c r="AW35" i="1"/>
  <c r="AW1" i="1" s="1"/>
  <c r="M48" i="1"/>
  <c r="BW379" i="1"/>
  <c r="O247" i="1"/>
  <c r="O379" i="1" s="1"/>
  <c r="M301" i="1"/>
  <c r="M302" i="1"/>
  <c r="E224" i="1"/>
  <c r="E226" i="1" s="1"/>
  <c r="D191" i="1"/>
  <c r="G107" i="1"/>
  <c r="G160" i="1"/>
  <c r="AE214" i="1"/>
  <c r="AU307" i="1"/>
  <c r="AU308" i="1" s="1"/>
  <c r="AU305" i="1"/>
  <c r="AU306" i="1" s="1"/>
  <c r="AU212" i="1"/>
  <c r="BK93" i="1"/>
  <c r="BK90" i="1"/>
  <c r="AD350" i="1"/>
  <c r="AD35" i="1"/>
  <c r="AD1" i="1" s="1"/>
  <c r="AD33" i="1"/>
  <c r="BP378" i="1"/>
  <c r="BP351" i="1"/>
  <c r="BP335" i="1"/>
  <c r="BP336" i="1"/>
  <c r="BP231" i="1"/>
  <c r="BP36" i="1"/>
  <c r="BK17" i="1"/>
  <c r="L62" i="1"/>
  <c r="AQ191" i="1"/>
  <c r="BP367" i="1"/>
  <c r="BP369" i="1" s="1"/>
  <c r="BQ365" i="1"/>
  <c r="F267" i="1"/>
  <c r="C89" i="1"/>
  <c r="C69" i="1" s="1"/>
  <c r="D70" i="1" s="1"/>
  <c r="C12" i="1"/>
  <c r="C316" i="1" s="1"/>
  <c r="H42" i="1"/>
  <c r="H89" i="1"/>
  <c r="H90" i="1" s="1"/>
  <c r="H12" i="1"/>
  <c r="H316" i="1" s="1"/>
  <c r="BS97" i="1"/>
  <c r="BS101" i="1" s="1"/>
  <c r="BS84" i="1" s="1"/>
  <c r="BS90" i="1"/>
  <c r="BS93" i="1"/>
  <c r="H267" i="1"/>
  <c r="AR214" i="1"/>
  <c r="BH150" i="1"/>
  <c r="L149" i="1"/>
  <c r="L150" i="1" s="1"/>
  <c r="H49" i="1"/>
  <c r="W350" i="1"/>
  <c r="W35" i="1"/>
  <c r="W1" i="1" s="1"/>
  <c r="W33" i="1"/>
  <c r="BD350" i="1"/>
  <c r="BD33" i="1"/>
  <c r="BD35" i="1"/>
  <c r="BD1" i="1" s="1"/>
  <c r="AC69" i="1"/>
  <c r="AC70" i="1" s="1"/>
  <c r="BE214" i="1"/>
  <c r="BI214" i="1"/>
  <c r="BM82" i="1"/>
  <c r="BM114" i="1"/>
  <c r="AO351" i="1"/>
  <c r="AO336" i="1"/>
  <c r="AO335" i="1"/>
  <c r="AO231" i="1"/>
  <c r="AO241" i="1" s="1"/>
  <c r="AO36" i="1"/>
  <c r="AO378" i="1"/>
  <c r="G90" i="1"/>
  <c r="AT90" i="1"/>
  <c r="AT93" i="1"/>
  <c r="AT94" i="1" s="1"/>
  <c r="BF307" i="1"/>
  <c r="BF308" i="1" s="1"/>
  <c r="BF305" i="1"/>
  <c r="BF306" i="1" s="1"/>
  <c r="BF212" i="1"/>
  <c r="F56" i="1"/>
  <c r="BF350" i="1"/>
  <c r="BF33" i="1"/>
  <c r="BF35" i="1"/>
  <c r="BF1" i="1" s="1"/>
  <c r="K348" i="1"/>
  <c r="K303" i="1"/>
  <c r="K304" i="1" s="1"/>
  <c r="K219" i="1"/>
  <c r="K206" i="1"/>
  <c r="K135" i="1"/>
  <c r="K134" i="1"/>
  <c r="K133" i="1"/>
  <c r="K132" i="1"/>
  <c r="K141" i="1" s="1"/>
  <c r="K131" i="1"/>
  <c r="K130" i="1"/>
  <c r="K129" i="1"/>
  <c r="K41" i="1"/>
  <c r="BB69" i="1"/>
  <c r="BB70" i="1" s="1"/>
  <c r="BN214" i="1"/>
  <c r="BN69" i="1"/>
  <c r="BN70" i="1" s="1"/>
  <c r="H329" i="1"/>
  <c r="H37" i="1"/>
  <c r="F224" i="1"/>
  <c r="F226" i="1" s="1"/>
  <c r="M175" i="1"/>
  <c r="M183" i="1" s="1"/>
  <c r="M151" i="1"/>
  <c r="M159" i="1" s="1"/>
  <c r="I74" i="1"/>
  <c r="H322" i="1"/>
  <c r="H321" i="1"/>
  <c r="D316" i="1"/>
  <c r="D321" i="1"/>
  <c r="D322" i="1"/>
  <c r="AM307" i="1"/>
  <c r="AM308" i="1" s="1"/>
  <c r="AM305" i="1"/>
  <c r="AM306" i="1" s="1"/>
  <c r="AM212" i="1"/>
  <c r="BO90" i="1"/>
  <c r="BO93" i="1"/>
  <c r="L50" i="1"/>
  <c r="AY350" i="1"/>
  <c r="AY35" i="1"/>
  <c r="AY1" i="1" s="1"/>
  <c r="AY33" i="1"/>
  <c r="BG15" i="1"/>
  <c r="K60" i="1"/>
  <c r="BY120" i="1"/>
  <c r="BX100" i="1"/>
  <c r="BX265" i="1"/>
  <c r="O265" i="1"/>
  <c r="N55" i="1"/>
  <c r="E361" i="1"/>
  <c r="E339" i="1"/>
  <c r="E338" i="1"/>
  <c r="E281" i="1"/>
  <c r="E282" i="1" s="1"/>
  <c r="G361" i="1"/>
  <c r="G339" i="1"/>
  <c r="G338" i="1"/>
  <c r="G281" i="1"/>
  <c r="G282" i="1" s="1"/>
  <c r="AA90" i="1"/>
  <c r="BG82" i="1"/>
  <c r="H285" i="1"/>
  <c r="H288" i="1" s="1"/>
  <c r="N43" i="1"/>
  <c r="AB214" i="1"/>
  <c r="AN82" i="1"/>
  <c r="AR69" i="1"/>
  <c r="AR70" i="1" s="1"/>
  <c r="AZ69" i="1"/>
  <c r="BH114" i="1"/>
  <c r="L56" i="1"/>
  <c r="L49" i="1"/>
  <c r="AF378" i="1"/>
  <c r="AF351" i="1"/>
  <c r="AF335" i="1"/>
  <c r="AF336" i="1"/>
  <c r="AF231" i="1"/>
  <c r="AF36" i="1"/>
  <c r="U69" i="1"/>
  <c r="U70" i="1" s="1"/>
  <c r="Y214" i="1"/>
  <c r="AK214" i="1"/>
  <c r="AO214" i="1"/>
  <c r="BQ307" i="1"/>
  <c r="BQ308" i="1" s="1"/>
  <c r="BQ305" i="1"/>
  <c r="BQ306" i="1" s="1"/>
  <c r="BQ212" i="1"/>
  <c r="BE350" i="1"/>
  <c r="BE35" i="1"/>
  <c r="BE1" i="1" s="1"/>
  <c r="BE33" i="1"/>
  <c r="AD69" i="1"/>
  <c r="AT214" i="1"/>
  <c r="J56" i="1"/>
  <c r="M288" i="1"/>
  <c r="M287" i="1"/>
  <c r="J361" i="1"/>
  <c r="J338" i="1"/>
  <c r="J339" i="1"/>
  <c r="J281" i="1"/>
  <c r="J282" i="1" s="1"/>
  <c r="J359" i="1"/>
  <c r="V69" i="1"/>
  <c r="V70" i="1" s="1"/>
  <c r="AP82" i="1"/>
  <c r="K287" i="1"/>
  <c r="K288" i="1"/>
  <c r="K318" i="1"/>
  <c r="K298" i="1" s="1"/>
  <c r="K319" i="1"/>
  <c r="K317" i="1"/>
  <c r="K225" i="1"/>
  <c r="K224" i="1" s="1"/>
  <c r="K226" i="1" s="1"/>
  <c r="K177" i="1"/>
  <c r="K193" i="1" s="1"/>
  <c r="N139" i="1"/>
  <c r="M139" i="1"/>
  <c r="N149" i="1"/>
  <c r="N150" i="1" s="1"/>
  <c r="N316" i="1"/>
  <c r="N322" i="1"/>
  <c r="N321" i="1"/>
  <c r="M322" i="1"/>
  <c r="M321" i="1"/>
  <c r="L69" i="1"/>
  <c r="L70" i="1" s="1"/>
  <c r="K316" i="1"/>
  <c r="K321" i="1"/>
  <c r="K322" i="1"/>
  <c r="G316" i="1"/>
  <c r="G321" i="1"/>
  <c r="G322" i="1"/>
  <c r="W69" i="1"/>
  <c r="BC97" i="1"/>
  <c r="BC101" i="1" s="1"/>
  <c r="BC90" i="1"/>
  <c r="BC93" i="1"/>
  <c r="BK214" i="1"/>
  <c r="BS349" i="1"/>
  <c r="BX63" i="1"/>
  <c r="AT107" i="1"/>
  <c r="AT160" i="1"/>
  <c r="AT149" i="1"/>
  <c r="AX15" i="1"/>
  <c r="I60" i="1"/>
  <c r="BK191" i="1"/>
  <c r="BF184" i="1"/>
  <c r="BF173" i="1"/>
  <c r="K176" i="1"/>
  <c r="K184" i="1" s="1"/>
  <c r="D176" i="1"/>
  <c r="D184" i="1" s="1"/>
  <c r="D152" i="1"/>
  <c r="M198" i="1"/>
  <c r="M201" i="1" s="1"/>
  <c r="H242" i="1"/>
  <c r="I198" i="1"/>
  <c r="I201" i="1" s="1"/>
  <c r="J317" i="1"/>
  <c r="E363" i="1" l="1"/>
  <c r="BQ94" i="1"/>
  <c r="J193" i="1"/>
  <c r="J191" i="1"/>
  <c r="AV309" i="1"/>
  <c r="BC184" i="1"/>
  <c r="BC173" i="1"/>
  <c r="J176" i="1"/>
  <c r="J184" i="1" s="1"/>
  <c r="J363" i="1"/>
  <c r="AZ70" i="1"/>
  <c r="AK309" i="1"/>
  <c r="F60" i="1"/>
  <c r="N82" i="1"/>
  <c r="N363" i="1"/>
  <c r="BM94" i="1"/>
  <c r="K140" i="1"/>
  <c r="K144" i="1"/>
  <c r="N317" i="1"/>
  <c r="N121" i="1"/>
  <c r="N122" i="1"/>
  <c r="D363" i="1"/>
  <c r="BC94" i="1"/>
  <c r="AZ94" i="1"/>
  <c r="F131" i="1"/>
  <c r="F140" i="1" s="1"/>
  <c r="F219" i="1"/>
  <c r="K115" i="1"/>
  <c r="AY94" i="1"/>
  <c r="M123" i="1"/>
  <c r="F317" i="1"/>
  <c r="BF94" i="1"/>
  <c r="M316" i="1"/>
  <c r="F41" i="1"/>
  <c r="F132" i="1"/>
  <c r="F141" i="1" s="1"/>
  <c r="F206" i="1"/>
  <c r="F213" i="1" s="1"/>
  <c r="G41" i="1"/>
  <c r="M69" i="1"/>
  <c r="N70" i="1" s="1"/>
  <c r="F167" i="1"/>
  <c r="I191" i="1"/>
  <c r="J116" i="1"/>
  <c r="J45" i="1"/>
  <c r="AY100" i="1"/>
  <c r="I17" i="1"/>
  <c r="I100" i="1" s="1"/>
  <c r="AP309" i="1"/>
  <c r="AF309" i="1"/>
  <c r="X309" i="1"/>
  <c r="AY184" i="1"/>
  <c r="I176" i="1"/>
  <c r="I184" i="1" s="1"/>
  <c r="AY173" i="1"/>
  <c r="AY53" i="1"/>
  <c r="AZ53" i="1"/>
  <c r="AY46" i="1"/>
  <c r="W70" i="1"/>
  <c r="BO94" i="1"/>
  <c r="M122" i="1"/>
  <c r="BR296" i="1"/>
  <c r="BR295" i="1"/>
  <c r="BR354" i="1"/>
  <c r="BR51" i="1"/>
  <c r="BR44" i="1"/>
  <c r="BR353" i="1"/>
  <c r="D90" i="1"/>
  <c r="M121" i="1"/>
  <c r="K142" i="1"/>
  <c r="N41" i="1"/>
  <c r="I61" i="1"/>
  <c r="AL45" i="1"/>
  <c r="AL101" i="1"/>
  <c r="AL52" i="1"/>
  <c r="F15" i="1"/>
  <c r="AL116" i="1"/>
  <c r="AM160" i="1"/>
  <c r="AM107" i="1"/>
  <c r="AM149" i="1"/>
  <c r="F152" i="1"/>
  <c r="BK94" i="1"/>
  <c r="BA94" i="1"/>
  <c r="AL70" i="1"/>
  <c r="AT309" i="1"/>
  <c r="M124" i="1"/>
  <c r="BH94" i="1"/>
  <c r="M120" i="1"/>
  <c r="K143" i="1"/>
  <c r="BN309" i="1"/>
  <c r="L94" i="1"/>
  <c r="AV94" i="1"/>
  <c r="AX94" i="1"/>
  <c r="M50" i="1"/>
  <c r="AY309" i="1"/>
  <c r="F61" i="1"/>
  <c r="AX46" i="1"/>
  <c r="AX53" i="1"/>
  <c r="I16" i="1"/>
  <c r="I46" i="1" s="1"/>
  <c r="AN52" i="1"/>
  <c r="AM101" i="1"/>
  <c r="AM84" i="1" s="1"/>
  <c r="AM52" i="1"/>
  <c r="AM45" i="1"/>
  <c r="AM116" i="1"/>
  <c r="N310" i="1"/>
  <c r="N50" i="1"/>
  <c r="AD70" i="1"/>
  <c r="AN309" i="1"/>
  <c r="AW309" i="1"/>
  <c r="AE309" i="1"/>
  <c r="O111" i="1"/>
  <c r="L82" i="1"/>
  <c r="L114" i="1"/>
  <c r="AD309" i="1"/>
  <c r="AA309" i="1"/>
  <c r="BR309" i="1"/>
  <c r="AL46" i="1"/>
  <c r="F16" i="1"/>
  <c r="AL18" i="1"/>
  <c r="AL53" i="1"/>
  <c r="BC46" i="1"/>
  <c r="BD53" i="1"/>
  <c r="BC53" i="1"/>
  <c r="BC18" i="1"/>
  <c r="J16" i="1"/>
  <c r="O223" i="1"/>
  <c r="F193" i="1"/>
  <c r="F191" i="1"/>
  <c r="E176" i="1"/>
  <c r="E184" i="1" s="1"/>
  <c r="AI173" i="1"/>
  <c r="AI184" i="1"/>
  <c r="BO100" i="1"/>
  <c r="M17" i="1"/>
  <c r="H167" i="1"/>
  <c r="E61" i="1"/>
  <c r="BS46" i="1"/>
  <c r="BS53" i="1"/>
  <c r="N16" i="1"/>
  <c r="BT53" i="1"/>
  <c r="O76" i="1"/>
  <c r="O79" i="1" s="1"/>
  <c r="AQ309" i="1"/>
  <c r="AG309" i="1"/>
  <c r="J82" i="1"/>
  <c r="AS309" i="1"/>
  <c r="AM46" i="1"/>
  <c r="AM53" i="1"/>
  <c r="AM18" i="1"/>
  <c r="AN53" i="1"/>
  <c r="E191" i="1"/>
  <c r="AH46" i="1"/>
  <c r="AH53" i="1"/>
  <c r="E16" i="1"/>
  <c r="E46" i="1" s="1"/>
  <c r="J203" i="1"/>
  <c r="J201" i="1"/>
  <c r="BW16" i="1"/>
  <c r="BX11" i="1"/>
  <c r="BW172" i="1"/>
  <c r="O11" i="1"/>
  <c r="K138" i="1"/>
  <c r="F138" i="1"/>
  <c r="I282" i="1"/>
  <c r="BX271" i="1"/>
  <c r="BW240" i="1"/>
  <c r="O240" i="1" s="1"/>
  <c r="O271" i="1"/>
  <c r="AM100" i="1"/>
  <c r="F17" i="1"/>
  <c r="F100" i="1" s="1"/>
  <c r="AI100" i="1"/>
  <c r="E17" i="1"/>
  <c r="E100" i="1" s="1"/>
  <c r="CN36" i="1"/>
  <c r="CN37" i="1" s="1"/>
  <c r="CN38" i="1" s="1"/>
  <c r="CN39" i="1" s="1"/>
  <c r="CN40" i="1" s="1"/>
  <c r="CN41" i="1" s="1"/>
  <c r="CN42" i="1" s="1"/>
  <c r="CN43" i="1" s="1"/>
  <c r="CN44" i="1" s="1"/>
  <c r="CN45" i="1" s="1"/>
  <c r="CN46" i="1" s="1"/>
  <c r="CN47" i="1" s="1"/>
  <c r="CN48" i="1" s="1"/>
  <c r="CN49" i="1" s="1"/>
  <c r="CN50" i="1" s="1"/>
  <c r="CN51" i="1" s="1"/>
  <c r="CN52" i="1" s="1"/>
  <c r="CN53" i="1" s="1"/>
  <c r="CN54" i="1" s="1"/>
  <c r="CN55" i="1" s="1"/>
  <c r="CN56" i="1" s="1"/>
  <c r="CN57" i="1" s="1"/>
  <c r="CN58" i="1" s="1"/>
  <c r="CN59" i="1" s="1"/>
  <c r="CN60" i="1" s="1"/>
  <c r="CN61" i="1" s="1"/>
  <c r="CN62" i="1" s="1"/>
  <c r="CN63" i="1" s="1"/>
  <c r="CN64" i="1" s="1"/>
  <c r="CN65" i="1" s="1"/>
  <c r="CN66" i="1" s="1"/>
  <c r="CN67" i="1" s="1"/>
  <c r="CN68" i="1" s="1"/>
  <c r="CN69" i="1" s="1"/>
  <c r="CN70" i="1" s="1"/>
  <c r="CN71" i="1" s="1"/>
  <c r="CN72" i="1" s="1"/>
  <c r="CN73" i="1" s="1"/>
  <c r="CN74" i="1" s="1"/>
  <c r="CN75" i="1" s="1"/>
  <c r="CN76" i="1" s="1"/>
  <c r="CN77" i="1" s="1"/>
  <c r="CN78" i="1" s="1"/>
  <c r="CN79" i="1" s="1"/>
  <c r="CN80" i="1" s="1"/>
  <c r="CN81" i="1" s="1"/>
  <c r="CN82" i="1" s="1"/>
  <c r="CN83" i="1" s="1"/>
  <c r="CN84" i="1" s="1"/>
  <c r="CN85" i="1" s="1"/>
  <c r="CN86" i="1" s="1"/>
  <c r="CN87" i="1" s="1"/>
  <c r="CN88" i="1" s="1"/>
  <c r="CN89" i="1" s="1"/>
  <c r="CN90" i="1" s="1"/>
  <c r="CN91" i="1" s="1"/>
  <c r="CN92" i="1" s="1"/>
  <c r="CN93" i="1" s="1"/>
  <c r="CN94" i="1" s="1"/>
  <c r="CN95" i="1" s="1"/>
  <c r="CN96" i="1" s="1"/>
  <c r="CN97" i="1" s="1"/>
  <c r="CN98" i="1" s="1"/>
  <c r="CN99" i="1" s="1"/>
  <c r="CN100" i="1" s="1"/>
  <c r="CN101" i="1" s="1"/>
  <c r="CN102" i="1" s="1"/>
  <c r="CN103" i="1" s="1"/>
  <c r="CN104" i="1" s="1"/>
  <c r="CN105" i="1" s="1"/>
  <c r="CN106" i="1" s="1"/>
  <c r="CN107" i="1" s="1"/>
  <c r="CN108" i="1" s="1"/>
  <c r="CN109" i="1" s="1"/>
  <c r="CN110" i="1" s="1"/>
  <c r="CN111" i="1" s="1"/>
  <c r="CN112" i="1" s="1"/>
  <c r="CN113" i="1" s="1"/>
  <c r="CN114" i="1" s="1"/>
  <c r="CN115" i="1" s="1"/>
  <c r="CN116" i="1" s="1"/>
  <c r="CN117" i="1" s="1"/>
  <c r="CN118" i="1" s="1"/>
  <c r="CN119" i="1" s="1"/>
  <c r="CN120" i="1" s="1"/>
  <c r="CN121" i="1" s="1"/>
  <c r="CN122" i="1" s="1"/>
  <c r="CN123" i="1" s="1"/>
  <c r="CN124" i="1" s="1"/>
  <c r="CN125" i="1" s="1"/>
  <c r="CN126" i="1" s="1"/>
  <c r="CN127" i="1" s="1"/>
  <c r="CN128" i="1" s="1"/>
  <c r="CN129" i="1" s="1"/>
  <c r="CN130" i="1" s="1"/>
  <c r="CN131" i="1" s="1"/>
  <c r="CN132" i="1" s="1"/>
  <c r="CN133" i="1" s="1"/>
  <c r="CN134" i="1" s="1"/>
  <c r="CN135" i="1" s="1"/>
  <c r="CN136" i="1" s="1"/>
  <c r="CN137" i="1" s="1"/>
  <c r="CN138" i="1" s="1"/>
  <c r="CN139" i="1" s="1"/>
  <c r="CN140" i="1" s="1"/>
  <c r="CN141" i="1" s="1"/>
  <c r="CN142" i="1" s="1"/>
  <c r="CN143" i="1" s="1"/>
  <c r="CN144" i="1" s="1"/>
  <c r="CN145" i="1" s="1"/>
  <c r="CN146" i="1" s="1"/>
  <c r="CN147" i="1" s="1"/>
  <c r="CN148" i="1" s="1"/>
  <c r="CN149" i="1" s="1"/>
  <c r="CN150" i="1" s="1"/>
  <c r="CN151" i="1" s="1"/>
  <c r="CN152" i="1" s="1"/>
  <c r="CN153" i="1" s="1"/>
  <c r="CN154" i="1" s="1"/>
  <c r="CN155" i="1" s="1"/>
  <c r="CN156" i="1" s="1"/>
  <c r="CN157" i="1" s="1"/>
  <c r="CN158" i="1" s="1"/>
  <c r="CN159" i="1" s="1"/>
  <c r="CN160" i="1" s="1"/>
  <c r="CN161" i="1" s="1"/>
  <c r="CN162" i="1" s="1"/>
  <c r="CN163" i="1" s="1"/>
  <c r="CN164" i="1" s="1"/>
  <c r="CN165" i="1" s="1"/>
  <c r="CN166" i="1" s="1"/>
  <c r="CN167" i="1" s="1"/>
  <c r="CN168" i="1" s="1"/>
  <c r="CN169" i="1" s="1"/>
  <c r="CN170" i="1" s="1"/>
  <c r="CN171" i="1" s="1"/>
  <c r="CN172" i="1" s="1"/>
  <c r="CN173" i="1" s="1"/>
  <c r="CN174" i="1" s="1"/>
  <c r="CN175" i="1" s="1"/>
  <c r="CN176" i="1" s="1"/>
  <c r="CN177" i="1" s="1"/>
  <c r="CN178" i="1" s="1"/>
  <c r="CN179" i="1" s="1"/>
  <c r="CN180" i="1" s="1"/>
  <c r="CN181" i="1" s="1"/>
  <c r="CN182" i="1" s="1"/>
  <c r="CN183" i="1" s="1"/>
  <c r="CN184" i="1" s="1"/>
  <c r="CN185" i="1" s="1"/>
  <c r="CN186" i="1" s="1"/>
  <c r="CN187" i="1" s="1"/>
  <c r="CN188" i="1" s="1"/>
  <c r="CN189" i="1" s="1"/>
  <c r="CN190" i="1" s="1"/>
  <c r="CN191" i="1" s="1"/>
  <c r="CN192" i="1" s="1"/>
  <c r="CN193" i="1" s="1"/>
  <c r="CN194" i="1" s="1"/>
  <c r="CN195" i="1" s="1"/>
  <c r="CN196" i="1" s="1"/>
  <c r="CN197" i="1" s="1"/>
  <c r="CN198" i="1" s="1"/>
  <c r="CN199" i="1" s="1"/>
  <c r="CN200" i="1" s="1"/>
  <c r="CN201" i="1" s="1"/>
  <c r="CN202" i="1" s="1"/>
  <c r="CN203" i="1" s="1"/>
  <c r="CN204" i="1" s="1"/>
  <c r="CN205" i="1" s="1"/>
  <c r="CN206" i="1" s="1"/>
  <c r="CN207" i="1" s="1"/>
  <c r="CN208" i="1" s="1"/>
  <c r="CN209" i="1" s="1"/>
  <c r="CN210" i="1" s="1"/>
  <c r="CN211" i="1" s="1"/>
  <c r="CN212" i="1" s="1"/>
  <c r="CN213" i="1" s="1"/>
  <c r="CN214" i="1" s="1"/>
  <c r="CN215" i="1" s="1"/>
  <c r="CN216" i="1" s="1"/>
  <c r="CN217" i="1" s="1"/>
  <c r="CN218" i="1" s="1"/>
  <c r="CN219" i="1" s="1"/>
  <c r="CN220" i="1" s="1"/>
  <c r="CN221" i="1" s="1"/>
  <c r="CN222" i="1" s="1"/>
  <c r="CN223" i="1" s="1"/>
  <c r="CN224" i="1" s="1"/>
  <c r="CN225" i="1" s="1"/>
  <c r="CN226" i="1" s="1"/>
  <c r="CN227" i="1" s="1"/>
  <c r="CN228" i="1" s="1"/>
  <c r="CN229" i="1" s="1"/>
  <c r="CN230" i="1" s="1"/>
  <c r="CN231" i="1" s="1"/>
  <c r="CN232" i="1" s="1"/>
  <c r="CN233" i="1" s="1"/>
  <c r="CN234" i="1" s="1"/>
  <c r="CN235" i="1" s="1"/>
  <c r="CN236" i="1" s="1"/>
  <c r="CN237" i="1" s="1"/>
  <c r="CN238" i="1" s="1"/>
  <c r="CN239" i="1" s="1"/>
  <c r="CN240" i="1" s="1"/>
  <c r="CN241" i="1" s="1"/>
  <c r="CN242" i="1" s="1"/>
  <c r="BB100" i="1"/>
  <c r="BB18" i="1"/>
  <c r="J17" i="1"/>
  <c r="J100" i="1" s="1"/>
  <c r="BT177" i="1"/>
  <c r="BT22" i="1"/>
  <c r="AI70" i="1"/>
  <c r="BX76" i="1"/>
  <c r="H82" i="1"/>
  <c r="BG94" i="1"/>
  <c r="AM184" i="1"/>
  <c r="AM173" i="1"/>
  <c r="F176" i="1"/>
  <c r="F184" i="1" s="1"/>
  <c r="AI53" i="1"/>
  <c r="AJ53" i="1"/>
  <c r="AI46" i="1"/>
  <c r="E160" i="1"/>
  <c r="E107" i="1"/>
  <c r="BF174" i="1"/>
  <c r="BF182" i="1" s="1"/>
  <c r="AX116" i="1"/>
  <c r="AX52" i="1"/>
  <c r="AX45" i="1"/>
  <c r="AX96" i="1" s="1"/>
  <c r="AX97" i="1" s="1"/>
  <c r="AX101" i="1" s="1"/>
  <c r="AX18" i="1"/>
  <c r="I15" i="1"/>
  <c r="BG116" i="1"/>
  <c r="BG52" i="1"/>
  <c r="BG45" i="1"/>
  <c r="BG96" i="1" s="1"/>
  <c r="BG97" i="1" s="1"/>
  <c r="K97" i="1" s="1"/>
  <c r="K96" i="1" s="1"/>
  <c r="BG18" i="1"/>
  <c r="BG353" i="1" s="1"/>
  <c r="BH52" i="1"/>
  <c r="K15" i="1"/>
  <c r="K191" i="1"/>
  <c r="BF378" i="1"/>
  <c r="BF351" i="1"/>
  <c r="BF336" i="1"/>
  <c r="BF335" i="1"/>
  <c r="BF231" i="1"/>
  <c r="BF240" i="1" s="1"/>
  <c r="BF36" i="1"/>
  <c r="BF309" i="1"/>
  <c r="AO354" i="1"/>
  <c r="AO243" i="1"/>
  <c r="W351" i="1"/>
  <c r="W336" i="1"/>
  <c r="W335" i="1"/>
  <c r="W231" i="1"/>
  <c r="W241" i="1" s="1"/>
  <c r="W36" i="1"/>
  <c r="L158" i="1"/>
  <c r="L115" i="1"/>
  <c r="L83" i="1"/>
  <c r="L106" i="1"/>
  <c r="BS94" i="1"/>
  <c r="BT93" i="1"/>
  <c r="BP240" i="1"/>
  <c r="N240" i="1" s="1"/>
  <c r="N231" i="1"/>
  <c r="AU309" i="1"/>
  <c r="X241" i="1"/>
  <c r="BZ121" i="1"/>
  <c r="L142" i="1"/>
  <c r="AT243" i="1"/>
  <c r="AZ101" i="1"/>
  <c r="J97" i="1"/>
  <c r="J96" i="1" s="1"/>
  <c r="I348" i="1"/>
  <c r="I303" i="1"/>
  <c r="I304" i="1" s="1"/>
  <c r="I206" i="1"/>
  <c r="I219" i="1"/>
  <c r="I135" i="1"/>
  <c r="J144" i="1" s="1"/>
  <c r="I134" i="1"/>
  <c r="J143" i="1" s="1"/>
  <c r="I133" i="1"/>
  <c r="J142" i="1" s="1"/>
  <c r="I132" i="1"/>
  <c r="J141" i="1" s="1"/>
  <c r="I131" i="1"/>
  <c r="J140" i="1" s="1"/>
  <c r="I130" i="1"/>
  <c r="J139" i="1" s="1"/>
  <c r="I129" i="1"/>
  <c r="I41" i="1"/>
  <c r="I310" i="1"/>
  <c r="I50" i="1"/>
  <c r="I317" i="1"/>
  <c r="BK46" i="1"/>
  <c r="BK53" i="1"/>
  <c r="BL53" i="1"/>
  <c r="AE116" i="1"/>
  <c r="AE101" i="1"/>
  <c r="AE84" i="1" s="1"/>
  <c r="AE52" i="1"/>
  <c r="AE45" i="1"/>
  <c r="AE18" i="1"/>
  <c r="AF52" i="1"/>
  <c r="G115" i="1"/>
  <c r="G158" i="1"/>
  <c r="G106" i="1"/>
  <c r="G83" i="1"/>
  <c r="AW70" i="1"/>
  <c r="AZ309" i="1"/>
  <c r="AQ184" i="1"/>
  <c r="AQ173" i="1"/>
  <c r="AQ174" i="1" s="1"/>
  <c r="AQ182" i="1" s="1"/>
  <c r="BB378" i="1"/>
  <c r="BB351" i="1"/>
  <c r="BB335" i="1"/>
  <c r="BB336" i="1"/>
  <c r="BB231" i="1"/>
  <c r="BB240" i="1" s="1"/>
  <c r="BB36" i="1"/>
  <c r="BL309" i="1"/>
  <c r="G363" i="1"/>
  <c r="BW277" i="1"/>
  <c r="L160" i="1"/>
  <c r="L107" i="1"/>
  <c r="BC309" i="1"/>
  <c r="H69" i="1"/>
  <c r="H70" i="1" s="1"/>
  <c r="BI378" i="1"/>
  <c r="BI351" i="1"/>
  <c r="BI335" i="1"/>
  <c r="BI336" i="1"/>
  <c r="BI231" i="1"/>
  <c r="BI240" i="1" s="1"/>
  <c r="BI36" i="1"/>
  <c r="AV378" i="1"/>
  <c r="AV351" i="1"/>
  <c r="AV335" i="1"/>
  <c r="AV336" i="1"/>
  <c r="AV231" i="1"/>
  <c r="AV36" i="1"/>
  <c r="BG53" i="1"/>
  <c r="BG46" i="1"/>
  <c r="BH53" i="1"/>
  <c r="D213" i="1"/>
  <c r="BJ378" i="1"/>
  <c r="BJ351" i="1"/>
  <c r="BJ336" i="1"/>
  <c r="BJ335" i="1"/>
  <c r="BJ231" i="1"/>
  <c r="BJ240" i="1" s="1"/>
  <c r="BJ36" i="1"/>
  <c r="AO309" i="1"/>
  <c r="BT306" i="1"/>
  <c r="BS309" i="1"/>
  <c r="BO70" i="1"/>
  <c r="BR94" i="1"/>
  <c r="G138" i="1"/>
  <c r="G142" i="1"/>
  <c r="BI309" i="1"/>
  <c r="BE309" i="1"/>
  <c r="AM378" i="1"/>
  <c r="AM351" i="1"/>
  <c r="AM336" i="1"/>
  <c r="AM335" i="1"/>
  <c r="AM231" i="1"/>
  <c r="AM241" i="1" s="1"/>
  <c r="AM36" i="1"/>
  <c r="AR309" i="1"/>
  <c r="H282" i="1"/>
  <c r="AX309" i="1"/>
  <c r="BP374" i="1"/>
  <c r="N372" i="1"/>
  <c r="N374" i="1" s="1"/>
  <c r="G176" i="1"/>
  <c r="G184" i="1" s="1"/>
  <c r="AU243" i="1"/>
  <c r="BJ309" i="1"/>
  <c r="BT374" i="1"/>
  <c r="O372" i="1"/>
  <c r="BL374" i="1"/>
  <c r="M372" i="1"/>
  <c r="M374" i="1" s="1"/>
  <c r="AE46" i="1"/>
  <c r="AE53" i="1"/>
  <c r="AF53" i="1"/>
  <c r="D16" i="1"/>
  <c r="L144" i="1"/>
  <c r="AG354" i="1"/>
  <c r="AG243" i="1"/>
  <c r="AR241" i="1"/>
  <c r="CA46" i="1"/>
  <c r="BF46" i="1"/>
  <c r="BF53" i="1"/>
  <c r="BF18" i="1"/>
  <c r="K16" i="1"/>
  <c r="AU116" i="1"/>
  <c r="AU52" i="1"/>
  <c r="AU45" i="1"/>
  <c r="AU96" i="1" s="1"/>
  <c r="AU97" i="1" s="1"/>
  <c r="AU101" i="1" s="1"/>
  <c r="AU84" i="1" s="1"/>
  <c r="AU18" i="1"/>
  <c r="AV52" i="1"/>
  <c r="AL351" i="1"/>
  <c r="AL378" i="1"/>
  <c r="AL335" i="1"/>
  <c r="AL336" i="1"/>
  <c r="AL231" i="1"/>
  <c r="AL241" i="1" s="1"/>
  <c r="AL36" i="1"/>
  <c r="BH378" i="1"/>
  <c r="BH351" i="1"/>
  <c r="BH335" i="1"/>
  <c r="BH336" i="1"/>
  <c r="BH231" i="1"/>
  <c r="BH36" i="1"/>
  <c r="BH309" i="1"/>
  <c r="BD101" i="1"/>
  <c r="Z309" i="1"/>
  <c r="BT197" i="1"/>
  <c r="BU62" i="1"/>
  <c r="BT23" i="1"/>
  <c r="D60" i="1"/>
  <c r="Y354" i="1"/>
  <c r="Y243" i="1"/>
  <c r="AW94" i="1"/>
  <c r="BT73" i="1"/>
  <c r="BU81" i="1"/>
  <c r="BJ94" i="1"/>
  <c r="AL309" i="1"/>
  <c r="BK251" i="1"/>
  <c r="BK252" i="1" s="1"/>
  <c r="BX303" i="1"/>
  <c r="BY304" i="1"/>
  <c r="G61" i="1"/>
  <c r="BE94" i="1"/>
  <c r="AI309" i="1"/>
  <c r="BO149" i="1"/>
  <c r="BO150" i="1" s="1"/>
  <c r="BO160" i="1"/>
  <c r="BO107" i="1"/>
  <c r="Z378" i="1"/>
  <c r="Z351" i="1"/>
  <c r="Z336" i="1"/>
  <c r="Z335" i="1"/>
  <c r="Z231" i="1"/>
  <c r="Z241" i="1" s="1"/>
  <c r="Z36" i="1"/>
  <c r="AU94" i="1"/>
  <c r="L86" i="1"/>
  <c r="AS351" i="1"/>
  <c r="AS335" i="1"/>
  <c r="AS336" i="1"/>
  <c r="AS231" i="1"/>
  <c r="AS241" i="1" s="1"/>
  <c r="AS36" i="1"/>
  <c r="AS378" i="1"/>
  <c r="AE378" i="1"/>
  <c r="AE351" i="1"/>
  <c r="AE336" i="1"/>
  <c r="AE335" i="1"/>
  <c r="AE231" i="1"/>
  <c r="AE241" i="1" s="1"/>
  <c r="AE36" i="1"/>
  <c r="BP94" i="1"/>
  <c r="BL101" i="1"/>
  <c r="BA70" i="1"/>
  <c r="AA70" i="1"/>
  <c r="D160" i="1"/>
  <c r="D107" i="1"/>
  <c r="AT150" i="1"/>
  <c r="BY63" i="1"/>
  <c r="BZ120" i="1"/>
  <c r="BY100" i="1"/>
  <c r="AY351" i="1"/>
  <c r="AY336" i="1"/>
  <c r="AY335" i="1"/>
  <c r="AY231" i="1"/>
  <c r="AY36" i="1"/>
  <c r="AM309" i="1"/>
  <c r="K139" i="1"/>
  <c r="L139" i="1"/>
  <c r="BH115" i="1"/>
  <c r="BH158" i="1"/>
  <c r="BH106" i="1"/>
  <c r="BH83" i="1"/>
  <c r="AD378" i="1"/>
  <c r="AD336" i="1"/>
  <c r="AD351" i="1"/>
  <c r="AD335" i="1"/>
  <c r="AD231" i="1"/>
  <c r="AD241" i="1" s="1"/>
  <c r="AD36" i="1"/>
  <c r="BA84" i="1"/>
  <c r="BA102" i="1"/>
  <c r="BA85" i="1" s="1"/>
  <c r="AI378" i="1"/>
  <c r="AI351" i="1"/>
  <c r="AI336" i="1"/>
  <c r="AI335" i="1"/>
  <c r="AI231" i="1"/>
  <c r="AI241" i="1" s="1"/>
  <c r="AI36" i="1"/>
  <c r="BZ122" i="1"/>
  <c r="BN158" i="1"/>
  <c r="BN106" i="1"/>
  <c r="BN115" i="1"/>
  <c r="BN83" i="1"/>
  <c r="BK309" i="1"/>
  <c r="AC354" i="1"/>
  <c r="AC243" i="1"/>
  <c r="AQ351" i="1"/>
  <c r="AQ336" i="1"/>
  <c r="AQ335" i="1"/>
  <c r="AQ231" i="1"/>
  <c r="AQ241" i="1" s="1"/>
  <c r="AQ36" i="1"/>
  <c r="AQ378" i="1"/>
  <c r="H289" i="1"/>
  <c r="H290" i="1"/>
  <c r="BO53" i="1"/>
  <c r="BO46" i="1"/>
  <c r="BP53" i="1"/>
  <c r="M16" i="1"/>
  <c r="BG251" i="1"/>
  <c r="BG252" i="1" s="1"/>
  <c r="AE160" i="1"/>
  <c r="AE149" i="1"/>
  <c r="AE107" i="1"/>
  <c r="BY125" i="1"/>
  <c r="BM84" i="1"/>
  <c r="BM102" i="1"/>
  <c r="BM85" i="1" s="1"/>
  <c r="AS70" i="1"/>
  <c r="E90" i="1"/>
  <c r="E69" i="1"/>
  <c r="E70" i="1" s="1"/>
  <c r="AE174" i="1"/>
  <c r="AE182" i="1" s="1"/>
  <c r="D173" i="1"/>
  <c r="D174" i="1" s="1"/>
  <c r="D182" i="1" s="1"/>
  <c r="AH158" i="1"/>
  <c r="AH106" i="1"/>
  <c r="AH115" i="1"/>
  <c r="AH83" i="1"/>
  <c r="BX223" i="1"/>
  <c r="BX111" i="1"/>
  <c r="BY75" i="1"/>
  <c r="AP351" i="1"/>
  <c r="AP336" i="1"/>
  <c r="AP335" i="1"/>
  <c r="AP231" i="1"/>
  <c r="AP241" i="1" s="1"/>
  <c r="AP36" i="1"/>
  <c r="AP378" i="1"/>
  <c r="AX378" i="1"/>
  <c r="AX351" i="1"/>
  <c r="AX335" i="1"/>
  <c r="AX336" i="1"/>
  <c r="AX231" i="1"/>
  <c r="AX36" i="1"/>
  <c r="AC309" i="1"/>
  <c r="BC70" i="1"/>
  <c r="N290" i="1"/>
  <c r="N289" i="1"/>
  <c r="BH101" i="1"/>
  <c r="AV101" i="1"/>
  <c r="AB309" i="1"/>
  <c r="BT307" i="1"/>
  <c r="BU308" i="1"/>
  <c r="L61" i="1"/>
  <c r="AD158" i="1"/>
  <c r="AD106" i="1"/>
  <c r="AD115" i="1"/>
  <c r="AD83" i="1"/>
  <c r="K94" i="1"/>
  <c r="BR84" i="1"/>
  <c r="BR102" i="1"/>
  <c r="BR85" i="1" s="1"/>
  <c r="G139" i="1"/>
  <c r="G143" i="1"/>
  <c r="C292" i="1"/>
  <c r="C293" i="1"/>
  <c r="C290" i="1"/>
  <c r="C289" i="1"/>
  <c r="AP174" i="1"/>
  <c r="AP182" i="1" s="1"/>
  <c r="CA38" i="1"/>
  <c r="G70" i="1"/>
  <c r="AH309" i="1"/>
  <c r="BM309" i="1"/>
  <c r="BI94" i="1"/>
  <c r="J41" i="1"/>
  <c r="BD309" i="1"/>
  <c r="H363" i="1"/>
  <c r="F282" i="1"/>
  <c r="BH374" i="1"/>
  <c r="L372" i="1"/>
  <c r="L374" i="1" s="1"/>
  <c r="AZ374" i="1"/>
  <c r="J372" i="1"/>
  <c r="J374" i="1" s="1"/>
  <c r="E60" i="1"/>
  <c r="AE70" i="1"/>
  <c r="L213" i="1"/>
  <c r="F90" i="1"/>
  <c r="BP309" i="1"/>
  <c r="AQ84" i="1"/>
  <c r="AQ102" i="1"/>
  <c r="AQ85" i="1" s="1"/>
  <c r="AU160" i="1"/>
  <c r="AU149" i="1"/>
  <c r="AU150" i="1" s="1"/>
  <c r="AU107" i="1"/>
  <c r="H152" i="1"/>
  <c r="BB309" i="1"/>
  <c r="I289" i="1"/>
  <c r="I290" i="1"/>
  <c r="X70" i="1"/>
  <c r="AD101" i="1"/>
  <c r="AD116" i="1"/>
  <c r="AD18" i="1"/>
  <c r="AD52" i="1"/>
  <c r="AD45" i="1"/>
  <c r="D15" i="1"/>
  <c r="L140" i="1"/>
  <c r="N213" i="1"/>
  <c r="BJ84" i="1"/>
  <c r="BJ102" i="1"/>
  <c r="BJ85" i="1" s="1"/>
  <c r="AP46" i="1"/>
  <c r="AP53" i="1"/>
  <c r="AP18" i="1"/>
  <c r="G16" i="1"/>
  <c r="AU100" i="1"/>
  <c r="H17" i="1"/>
  <c r="H100" i="1" s="1"/>
  <c r="AJ309" i="1"/>
  <c r="BC251" i="1"/>
  <c r="BC252" i="1" s="1"/>
  <c r="AU46" i="1"/>
  <c r="AU53" i="1"/>
  <c r="AV53" i="1"/>
  <c r="H16" i="1"/>
  <c r="BG351" i="1"/>
  <c r="BG378" i="1"/>
  <c r="BG336" i="1"/>
  <c r="BG335" i="1"/>
  <c r="BG231" i="1"/>
  <c r="BG240" i="1" s="1"/>
  <c r="BG36" i="1"/>
  <c r="Y70" i="1"/>
  <c r="BP101" i="1"/>
  <c r="N97" i="1"/>
  <c r="N96" i="1" s="1"/>
  <c r="M348" i="1"/>
  <c r="M303" i="1"/>
  <c r="M304" i="1" s="1"/>
  <c r="M206" i="1"/>
  <c r="M219" i="1"/>
  <c r="M135" i="1"/>
  <c r="M144" i="1" s="1"/>
  <c r="M134" i="1"/>
  <c r="M41" i="1"/>
  <c r="M310" i="1"/>
  <c r="M317" i="1"/>
  <c r="BG309" i="1"/>
  <c r="BM70" i="1"/>
  <c r="K290" i="1"/>
  <c r="K289" i="1"/>
  <c r="M289" i="1"/>
  <c r="M290" i="1"/>
  <c r="AF241" i="1"/>
  <c r="BY265" i="1"/>
  <c r="BD351" i="1"/>
  <c r="BD335" i="1"/>
  <c r="BD336" i="1"/>
  <c r="BD231" i="1"/>
  <c r="BD36" i="1"/>
  <c r="BD378" i="1"/>
  <c r="BR365" i="1"/>
  <c r="BQ367" i="1"/>
  <c r="BQ369" i="1" s="1"/>
  <c r="BK100" i="1"/>
  <c r="L17" i="1"/>
  <c r="L100" i="1" s="1"/>
  <c r="AW351" i="1"/>
  <c r="AW335" i="1"/>
  <c r="AW336" i="1"/>
  <c r="AW231" i="1"/>
  <c r="AW241" i="1" s="1"/>
  <c r="AW36" i="1"/>
  <c r="AN241" i="1"/>
  <c r="AI116" i="1"/>
  <c r="AI101" i="1"/>
  <c r="AI52" i="1"/>
  <c r="AI45" i="1"/>
  <c r="AI18" i="1"/>
  <c r="AJ52" i="1"/>
  <c r="M160" i="1"/>
  <c r="M107" i="1"/>
  <c r="BW224" i="1"/>
  <c r="BW225" i="1" s="1"/>
  <c r="BW242" i="1" s="1"/>
  <c r="BW112" i="1"/>
  <c r="BW79" i="1"/>
  <c r="BW77" i="1"/>
  <c r="J106" i="1"/>
  <c r="J158" i="1"/>
  <c r="J115" i="1"/>
  <c r="J83" i="1"/>
  <c r="BQ84" i="1"/>
  <c r="BQ102" i="1"/>
  <c r="BQ85" i="1" s="1"/>
  <c r="E289" i="1"/>
  <c r="E290" i="1"/>
  <c r="J290" i="1"/>
  <c r="J289" i="1"/>
  <c r="AR101" i="1"/>
  <c r="I93" i="1"/>
  <c r="I94" i="1" s="1"/>
  <c r="I90" i="1"/>
  <c r="I69" i="1"/>
  <c r="J70" i="1" s="1"/>
  <c r="Q328" i="1"/>
  <c r="BZ328" i="1"/>
  <c r="BZ326" i="1" s="1"/>
  <c r="BC378" i="1"/>
  <c r="BC351" i="1"/>
  <c r="BC336" i="1"/>
  <c r="BC335" i="1"/>
  <c r="BC231" i="1"/>
  <c r="BC240" i="1" s="1"/>
  <c r="BC36" i="1"/>
  <c r="BK184" i="1"/>
  <c r="BK173" i="1"/>
  <c r="BK174" i="1" s="1"/>
  <c r="BK182" i="1" s="1"/>
  <c r="AB241" i="1"/>
  <c r="AJ70" i="1"/>
  <c r="BZ123" i="1"/>
  <c r="AK354" i="1"/>
  <c r="AK243" i="1"/>
  <c r="L289" i="1"/>
  <c r="L290" i="1"/>
  <c r="C351" i="1"/>
  <c r="C336" i="1"/>
  <c r="C335" i="1"/>
  <c r="C36" i="1"/>
  <c r="C378" i="1"/>
  <c r="AY116" i="1"/>
  <c r="AY52" i="1"/>
  <c r="AY45" i="1"/>
  <c r="AY96" i="1" s="1"/>
  <c r="AY97" i="1" s="1"/>
  <c r="AY101" i="1" s="1"/>
  <c r="AY18" i="1"/>
  <c r="AZ52" i="1"/>
  <c r="AP84" i="1"/>
  <c r="G101" i="1"/>
  <c r="AP102" i="1"/>
  <c r="AP85" i="1" s="1"/>
  <c r="BL240" i="1"/>
  <c r="M240" i="1" s="1"/>
  <c r="M231" i="1"/>
  <c r="BJ46" i="1"/>
  <c r="BJ53" i="1"/>
  <c r="BJ18" i="1"/>
  <c r="L16" i="1"/>
  <c r="BL115" i="1"/>
  <c r="BL158" i="1"/>
  <c r="BL83" i="1"/>
  <c r="BL106" i="1"/>
  <c r="BB94" i="1"/>
  <c r="G213" i="1"/>
  <c r="BY247" i="1"/>
  <c r="J213" i="1"/>
  <c r="AZ351" i="1"/>
  <c r="AZ335" i="1"/>
  <c r="AZ336" i="1"/>
  <c r="AZ231" i="1"/>
  <c r="AZ36" i="1"/>
  <c r="AZ378" i="1"/>
  <c r="D289" i="1"/>
  <c r="D290" i="1"/>
  <c r="CE17" i="1"/>
  <c r="Q17" i="1" s="1"/>
  <c r="BW362" i="1"/>
  <c r="BX274" i="1"/>
  <c r="O274" i="1"/>
  <c r="O362" i="1" s="1"/>
  <c r="BW250" i="1"/>
  <c r="AH101" i="1"/>
  <c r="AH116" i="1"/>
  <c r="AH52" i="1"/>
  <c r="AH45" i="1"/>
  <c r="AH18" i="1"/>
  <c r="E15" i="1"/>
  <c r="BV319" i="1"/>
  <c r="BV198" i="1"/>
  <c r="BV187" i="1"/>
  <c r="BV163" i="1"/>
  <c r="F290" i="1"/>
  <c r="F289" i="1"/>
  <c r="L317" i="1"/>
  <c r="L319" i="1"/>
  <c r="L318" i="1"/>
  <c r="L298" i="1" s="1"/>
  <c r="L225" i="1"/>
  <c r="L224" i="1" s="1"/>
  <c r="L226" i="1" s="1"/>
  <c r="AA351" i="1"/>
  <c r="AA378" i="1"/>
  <c r="AA336" i="1"/>
  <c r="AA335" i="1"/>
  <c r="AA231" i="1"/>
  <c r="AA241" i="1" s="1"/>
  <c r="AA36" i="1"/>
  <c r="BD94" i="1"/>
  <c r="I363" i="1"/>
  <c r="AW84" i="1"/>
  <c r="AW102" i="1"/>
  <c r="AW85" i="1" s="1"/>
  <c r="BX126" i="1"/>
  <c r="BK378" i="1"/>
  <c r="BK351" i="1"/>
  <c r="BK336" i="1"/>
  <c r="BK335" i="1"/>
  <c r="BK231" i="1"/>
  <c r="BK240" i="1" s="1"/>
  <c r="BK36" i="1"/>
  <c r="L141" i="1"/>
  <c r="AW379" i="1"/>
  <c r="AW378" i="1" s="1"/>
  <c r="AY247" i="1"/>
  <c r="I247" i="1" s="1"/>
  <c r="BO116" i="1"/>
  <c r="BO52" i="1"/>
  <c r="BO45" i="1"/>
  <c r="BO96" i="1" s="1"/>
  <c r="BO97" i="1" s="1"/>
  <c r="BO101" i="1" s="1"/>
  <c r="BO18" i="1"/>
  <c r="BP52" i="1"/>
  <c r="BK116" i="1"/>
  <c r="BK52" i="1"/>
  <c r="BK45" i="1"/>
  <c r="BK96" i="1" s="1"/>
  <c r="BK97" i="1" s="1"/>
  <c r="L97" i="1" s="1"/>
  <c r="L96" i="1" s="1"/>
  <c r="BK18" i="1"/>
  <c r="BL52" i="1"/>
  <c r="L15" i="1"/>
  <c r="H317" i="1"/>
  <c r="H318" i="1"/>
  <c r="H298" i="1" s="1"/>
  <c r="H319" i="1"/>
  <c r="H225" i="1"/>
  <c r="H224" i="1" s="1"/>
  <c r="H226" i="1" s="1"/>
  <c r="BC84" i="1"/>
  <c r="BC102" i="1"/>
  <c r="BC85" i="1" s="1"/>
  <c r="N158" i="1"/>
  <c r="N106" i="1"/>
  <c r="N115" i="1"/>
  <c r="N83" i="1"/>
  <c r="BE351" i="1"/>
  <c r="BE336" i="1"/>
  <c r="BE335" i="1"/>
  <c r="BE231" i="1"/>
  <c r="BE240" i="1" s="1"/>
  <c r="BE36" i="1"/>
  <c r="BE378" i="1"/>
  <c r="BQ309" i="1"/>
  <c r="K213" i="1"/>
  <c r="H348" i="1"/>
  <c r="H303" i="1"/>
  <c r="H304" i="1" s="1"/>
  <c r="H219" i="1"/>
  <c r="H206" i="1"/>
  <c r="H135" i="1"/>
  <c r="H144" i="1" s="1"/>
  <c r="H134" i="1"/>
  <c r="H143" i="1" s="1"/>
  <c r="H133" i="1"/>
  <c r="H142" i="1" s="1"/>
  <c r="H132" i="1"/>
  <c r="H141" i="1" s="1"/>
  <c r="H131" i="1"/>
  <c r="H140" i="1" s="1"/>
  <c r="H130" i="1"/>
  <c r="H139" i="1" s="1"/>
  <c r="H129" i="1"/>
  <c r="H41" i="1"/>
  <c r="H310" i="1"/>
  <c r="H50" i="1"/>
  <c r="C348" i="1"/>
  <c r="C219" i="1"/>
  <c r="C206" i="1"/>
  <c r="C44" i="1"/>
  <c r="C54" i="1"/>
  <c r="C47" i="1"/>
  <c r="C317" i="1"/>
  <c r="C50" i="1"/>
  <c r="AI160" i="1"/>
  <c r="AI149" i="1"/>
  <c r="AI107" i="1"/>
  <c r="C346" i="1"/>
  <c r="AT116" i="1"/>
  <c r="AT18" i="1"/>
  <c r="AT354" i="1" s="1"/>
  <c r="AT52" i="1"/>
  <c r="AT45" i="1"/>
  <c r="AT96" i="1" s="1"/>
  <c r="AT97" i="1" s="1"/>
  <c r="H15" i="1"/>
  <c r="BA309" i="1"/>
  <c r="BA378" i="1"/>
  <c r="BA351" i="1"/>
  <c r="BA336" i="1"/>
  <c r="BA335" i="1"/>
  <c r="BA231" i="1"/>
  <c r="BA240" i="1" s="1"/>
  <c r="BA36" i="1"/>
  <c r="E348" i="1"/>
  <c r="E303" i="1"/>
  <c r="E304" i="1" s="1"/>
  <c r="E219" i="1"/>
  <c r="E206" i="1"/>
  <c r="E41" i="1"/>
  <c r="E317" i="1"/>
  <c r="E50" i="1"/>
  <c r="E310" i="1"/>
  <c r="AQ53" i="1"/>
  <c r="AQ46" i="1"/>
  <c r="AR53" i="1"/>
  <c r="AQ18" i="1"/>
  <c r="BU373" i="1"/>
  <c r="BU374" i="1" s="1"/>
  <c r="BU315" i="1"/>
  <c r="BU232" i="1"/>
  <c r="BU208" i="1"/>
  <c r="BU263" i="1"/>
  <c r="BU61" i="1"/>
  <c r="BU60" i="1"/>
  <c r="BU318" i="1"/>
  <c r="BU298" i="1" s="1"/>
  <c r="BN116" i="1"/>
  <c r="BN52" i="1"/>
  <c r="BN45" i="1"/>
  <c r="BN96" i="1" s="1"/>
  <c r="BN97" i="1" s="1"/>
  <c r="BN18" i="1"/>
  <c r="M15" i="1"/>
  <c r="BK158" i="1"/>
  <c r="BK115" i="1"/>
  <c r="BK106" i="1"/>
  <c r="BK83" i="1"/>
  <c r="AG70" i="1"/>
  <c r="BW210" i="1"/>
  <c r="BX24" i="1"/>
  <c r="BG184" i="1"/>
  <c r="BG173" i="1"/>
  <c r="BG174" i="1" s="1"/>
  <c r="BG182" i="1" s="1"/>
  <c r="AY160" i="1"/>
  <c r="AY149" i="1"/>
  <c r="AY150" i="1" s="1"/>
  <c r="AY107" i="1"/>
  <c r="I152" i="1"/>
  <c r="D41" i="1"/>
  <c r="BZ124" i="1"/>
  <c r="AH378" i="1"/>
  <c r="AH351" i="1"/>
  <c r="AH335" i="1"/>
  <c r="AH336" i="1"/>
  <c r="AH231" i="1"/>
  <c r="AH241" i="1" s="1"/>
  <c r="AH36" i="1"/>
  <c r="BN94" i="1"/>
  <c r="BB84" i="1"/>
  <c r="BB102" i="1"/>
  <c r="BB85" i="1" s="1"/>
  <c r="G141" i="1"/>
  <c r="BO309" i="1"/>
  <c r="M82" i="1"/>
  <c r="BF84" i="1"/>
  <c r="BF102" i="1"/>
  <c r="BF85" i="1" s="1"/>
  <c r="BI84" i="1"/>
  <c r="BI102" i="1"/>
  <c r="BI85" i="1" s="1"/>
  <c r="G290" i="1"/>
  <c r="G289" i="1"/>
  <c r="AV374" i="1"/>
  <c r="I372" i="1"/>
  <c r="I374" i="1" s="1"/>
  <c r="BD374" i="1"/>
  <c r="K372" i="1"/>
  <c r="K374" i="1" s="1"/>
  <c r="AU174" i="1"/>
  <c r="AU182" i="1" s="1"/>
  <c r="H173" i="1"/>
  <c r="H174" i="1" s="1"/>
  <c r="H182" i="1" s="1"/>
  <c r="L143" i="1"/>
  <c r="K61" i="1"/>
  <c r="AX150" i="1"/>
  <c r="K363" i="1"/>
  <c r="BW329" i="1"/>
  <c r="BX327" i="1"/>
  <c r="BW37" i="1"/>
  <c r="O327" i="1"/>
  <c r="BS100" i="1"/>
  <c r="BS102" i="1" s="1"/>
  <c r="BS85" i="1" s="1"/>
  <c r="BS18" i="1"/>
  <c r="N17" i="1"/>
  <c r="I82" i="1"/>
  <c r="N86" i="1"/>
  <c r="AE100" i="1"/>
  <c r="AE102" i="1" s="1"/>
  <c r="AE85" i="1" s="1"/>
  <c r="D17" i="1"/>
  <c r="D100" i="1" s="1"/>
  <c r="M167" i="1"/>
  <c r="BE84" i="1"/>
  <c r="BE102" i="1"/>
  <c r="BE85" i="1" s="1"/>
  <c r="I316" i="1"/>
  <c r="L138" i="1"/>
  <c r="AJ241" i="1"/>
  <c r="BL94" i="1"/>
  <c r="M93" i="1"/>
  <c r="M94" i="1" s="1"/>
  <c r="M90" i="1"/>
  <c r="N116" i="1"/>
  <c r="AP70" i="1"/>
  <c r="M70" i="1" l="1"/>
  <c r="BC174" i="1"/>
  <c r="BC182" i="1" s="1"/>
  <c r="J173" i="1"/>
  <c r="J174" i="1" s="1"/>
  <c r="J182" i="1" s="1"/>
  <c r="M97" i="1"/>
  <c r="M96" i="1" s="1"/>
  <c r="G140" i="1"/>
  <c r="J94" i="1"/>
  <c r="M86" i="1"/>
  <c r="L173" i="1"/>
  <c r="L174" i="1" s="1"/>
  <c r="L182" i="1" s="1"/>
  <c r="D231" i="1"/>
  <c r="D241" i="1" s="1"/>
  <c r="G173" i="1"/>
  <c r="G174" i="1" s="1"/>
  <c r="G182" i="1" s="1"/>
  <c r="O77" i="1"/>
  <c r="BX77" i="1"/>
  <c r="AL84" i="1"/>
  <c r="AL102" i="1"/>
  <c r="AL85" i="1" s="1"/>
  <c r="F101" i="1"/>
  <c r="F84" i="1" s="1"/>
  <c r="F231" i="1"/>
  <c r="F241" i="1" s="1"/>
  <c r="I149" i="1"/>
  <c r="I150" i="1" s="1"/>
  <c r="I158" i="1" s="1"/>
  <c r="M100" i="1"/>
  <c r="J138" i="1"/>
  <c r="I70" i="1"/>
  <c r="AM102" i="1"/>
  <c r="AM85" i="1" s="1"/>
  <c r="F107" i="1"/>
  <c r="F160" i="1"/>
  <c r="AY174" i="1"/>
  <c r="AY182" i="1" s="1"/>
  <c r="I173" i="1"/>
  <c r="I174" i="1" s="1"/>
  <c r="I182" i="1" s="1"/>
  <c r="N144" i="1"/>
  <c r="AM150" i="1"/>
  <c r="F149" i="1"/>
  <c r="F150" i="1" s="1"/>
  <c r="F116" i="1"/>
  <c r="G52" i="1"/>
  <c r="F45" i="1"/>
  <c r="G231" i="1"/>
  <c r="G241" i="1" s="1"/>
  <c r="CN243" i="1"/>
  <c r="BW53" i="1"/>
  <c r="O16" i="1"/>
  <c r="F53" i="1"/>
  <c r="F46" i="1"/>
  <c r="F18" i="1"/>
  <c r="F354" i="1" s="1"/>
  <c r="N18" i="1"/>
  <c r="N295" i="1" s="1"/>
  <c r="BN101" i="1"/>
  <c r="BN84" i="1" s="1"/>
  <c r="BY76" i="1"/>
  <c r="BX79" i="1"/>
  <c r="BB295" i="1"/>
  <c r="BB44" i="1"/>
  <c r="BB296" i="1"/>
  <c r="BB354" i="1"/>
  <c r="BB51" i="1"/>
  <c r="BE292" i="1"/>
  <c r="BD292" i="1"/>
  <c r="BC292" i="1"/>
  <c r="BB353" i="1"/>
  <c r="O43" i="1"/>
  <c r="AM296" i="1"/>
  <c r="AM295" i="1"/>
  <c r="AN51" i="1"/>
  <c r="AM51" i="1"/>
  <c r="AM44" i="1"/>
  <c r="N46" i="1"/>
  <c r="J18" i="1"/>
  <c r="J46" i="1"/>
  <c r="J53" i="1"/>
  <c r="N100" i="1"/>
  <c r="I97" i="1"/>
  <c r="I96" i="1" s="1"/>
  <c r="M149" i="1"/>
  <c r="M150" i="1" s="1"/>
  <c r="M83" i="1" s="1"/>
  <c r="BG101" i="1"/>
  <c r="BG102" i="1" s="1"/>
  <c r="BG85" i="1" s="1"/>
  <c r="BX112" i="1"/>
  <c r="BT178" i="1"/>
  <c r="BT49" i="1"/>
  <c r="BT56" i="1"/>
  <c r="BW181" i="1"/>
  <c r="O172" i="1"/>
  <c r="O181" i="1" s="1"/>
  <c r="AI174" i="1"/>
  <c r="AI182" i="1" s="1"/>
  <c r="E173" i="1"/>
  <c r="E174" i="1" s="1"/>
  <c r="E182" i="1" s="1"/>
  <c r="BC295" i="1"/>
  <c r="BC51" i="1"/>
  <c r="BD51" i="1"/>
  <c r="BC44" i="1"/>
  <c r="BC296" i="1"/>
  <c r="BC354" i="1"/>
  <c r="BK101" i="1"/>
  <c r="BK84" i="1" s="1"/>
  <c r="H97" i="1"/>
  <c r="H96" i="1" s="1"/>
  <c r="H138" i="1"/>
  <c r="AU102" i="1"/>
  <c r="AU85" i="1" s="1"/>
  <c r="BX224" i="1"/>
  <c r="BX225" i="1" s="1"/>
  <c r="BX242" i="1" s="1"/>
  <c r="AM174" i="1"/>
  <c r="AM182" i="1" s="1"/>
  <c r="F173" i="1"/>
  <c r="F174" i="1" s="1"/>
  <c r="F182" i="1" s="1"/>
  <c r="BT191" i="1"/>
  <c r="BT193" i="1"/>
  <c r="BT188" i="1"/>
  <c r="BT190" i="1" s="1"/>
  <c r="BY271" i="1"/>
  <c r="BX240" i="1"/>
  <c r="BX16" i="1"/>
  <c r="BX53" i="1" s="1"/>
  <c r="BX172" i="1"/>
  <c r="BX181" i="1" s="1"/>
  <c r="BY11" i="1"/>
  <c r="AL295" i="1"/>
  <c r="AO292" i="1"/>
  <c r="AL44" i="1"/>
  <c r="AL296" i="1"/>
  <c r="AL51" i="1"/>
  <c r="AM292" i="1"/>
  <c r="AN292" i="1"/>
  <c r="BC353" i="1"/>
  <c r="AX84" i="1"/>
  <c r="AX102" i="1"/>
  <c r="AX85" i="1" s="1"/>
  <c r="BO84" i="1"/>
  <c r="BO102" i="1"/>
  <c r="BO85" i="1" s="1"/>
  <c r="AJ354" i="1"/>
  <c r="AJ243" i="1"/>
  <c r="N296" i="1"/>
  <c r="I83" i="1"/>
  <c r="AH354" i="1"/>
  <c r="AH243" i="1"/>
  <c r="BN296" i="1"/>
  <c r="BN295" i="1"/>
  <c r="BN51" i="1"/>
  <c r="BN44" i="1"/>
  <c r="BP292" i="1"/>
  <c r="BQ292" i="1"/>
  <c r="BN354" i="1"/>
  <c r="BN353" i="1"/>
  <c r="BO292" i="1"/>
  <c r="BU177" i="1"/>
  <c r="BU22" i="1"/>
  <c r="AQ296" i="1"/>
  <c r="AQ295" i="1"/>
  <c r="AQ51" i="1"/>
  <c r="AQ44" i="1"/>
  <c r="AT292" i="1"/>
  <c r="AR51" i="1"/>
  <c r="E213" i="1"/>
  <c r="N94" i="1"/>
  <c r="H116" i="1"/>
  <c r="H52" i="1"/>
  <c r="H45" i="1"/>
  <c r="H18" i="1"/>
  <c r="BK296" i="1"/>
  <c r="BK295" i="1"/>
  <c r="BK51" i="1"/>
  <c r="BK44" i="1"/>
  <c r="BN292" i="1"/>
  <c r="BL51" i="1"/>
  <c r="BK354" i="1"/>
  <c r="I379" i="1"/>
  <c r="BY126" i="1"/>
  <c r="AA354" i="1"/>
  <c r="AA243" i="1"/>
  <c r="AZ240" i="1"/>
  <c r="J240" i="1" s="1"/>
  <c r="J231" i="1"/>
  <c r="BJ296" i="1"/>
  <c r="BJ295" i="1"/>
  <c r="BM292" i="1"/>
  <c r="BJ51" i="1"/>
  <c r="BJ44" i="1"/>
  <c r="BL292" i="1"/>
  <c r="BJ354" i="1"/>
  <c r="BK292" i="1"/>
  <c r="BJ353" i="1"/>
  <c r="AK353" i="1"/>
  <c r="AK251" i="1"/>
  <c r="AK252" i="1" s="1"/>
  <c r="AB354" i="1"/>
  <c r="AB243" i="1"/>
  <c r="BW262" i="1"/>
  <c r="BD240" i="1"/>
  <c r="K240" i="1" s="1"/>
  <c r="K231" i="1"/>
  <c r="M213" i="1"/>
  <c r="BP84" i="1"/>
  <c r="N101" i="1"/>
  <c r="N84" i="1" s="1"/>
  <c r="BP102" i="1"/>
  <c r="BP85" i="1" s="1"/>
  <c r="H46" i="1"/>
  <c r="H53" i="1"/>
  <c r="I53" i="1"/>
  <c r="BX372" i="1"/>
  <c r="AD84" i="1"/>
  <c r="D101" i="1"/>
  <c r="D84" i="1" s="1"/>
  <c r="AD102" i="1"/>
  <c r="AD85" i="1" s="1"/>
  <c r="H160" i="1"/>
  <c r="H107" i="1"/>
  <c r="CB38" i="1"/>
  <c r="AE150" i="1"/>
  <c r="D149" i="1"/>
  <c r="D150" i="1" s="1"/>
  <c r="M46" i="1"/>
  <c r="M53" i="1"/>
  <c r="N53" i="1"/>
  <c r="AT158" i="1"/>
  <c r="AT106" i="1"/>
  <c r="AT115" i="1"/>
  <c r="AT83" i="1"/>
  <c r="BO158" i="1"/>
  <c r="BO115" i="1"/>
  <c r="BO106" i="1"/>
  <c r="BO83" i="1"/>
  <c r="BZ304" i="1"/>
  <c r="BY303" i="1"/>
  <c r="BK353" i="1"/>
  <c r="BT114" i="1"/>
  <c r="BT74" i="1"/>
  <c r="BT203" i="1"/>
  <c r="BT199" i="1"/>
  <c r="BT201" i="1"/>
  <c r="AL354" i="1"/>
  <c r="AL243" i="1"/>
  <c r="BI292" i="1"/>
  <c r="BF296" i="1"/>
  <c r="BF295" i="1"/>
  <c r="BF51" i="1"/>
  <c r="BF44" i="1"/>
  <c r="BF292" i="1"/>
  <c r="BG292" i="1"/>
  <c r="BF354" i="1"/>
  <c r="BH292" i="1"/>
  <c r="BF353" i="1"/>
  <c r="CB46" i="1"/>
  <c r="BT309" i="1"/>
  <c r="BT305" i="1"/>
  <c r="BU306" i="1"/>
  <c r="AV241" i="1"/>
  <c r="AX241" i="1" s="1"/>
  <c r="I231" i="1"/>
  <c r="I139" i="1"/>
  <c r="I143" i="1"/>
  <c r="AT353" i="1"/>
  <c r="AT251" i="1"/>
  <c r="AT252" i="1" s="1"/>
  <c r="N241" i="1"/>
  <c r="K173" i="1"/>
  <c r="K174" i="1" s="1"/>
  <c r="K182" i="1" s="1"/>
  <c r="BS296" i="1"/>
  <c r="BS295" i="1"/>
  <c r="BS51" i="1"/>
  <c r="BS44" i="1"/>
  <c r="BS292" i="1"/>
  <c r="BS354" i="1"/>
  <c r="BX329" i="1"/>
  <c r="BY327" i="1"/>
  <c r="BX37" i="1"/>
  <c r="AX158" i="1"/>
  <c r="AX106" i="1"/>
  <c r="AX115" i="1"/>
  <c r="AX83" i="1"/>
  <c r="CA124" i="1"/>
  <c r="I160" i="1"/>
  <c r="I107" i="1"/>
  <c r="BS353" i="1"/>
  <c r="BU322" i="1"/>
  <c r="BU264" i="1"/>
  <c r="BU321" i="1"/>
  <c r="AT101" i="1"/>
  <c r="H101" i="1" s="1"/>
  <c r="AI150" i="1"/>
  <c r="E149" i="1"/>
  <c r="E150" i="1" s="1"/>
  <c r="C211" i="1"/>
  <c r="C212" i="1" s="1"/>
  <c r="C213" i="1"/>
  <c r="AY379" i="1"/>
  <c r="AY378" i="1" s="1"/>
  <c r="E116" i="1"/>
  <c r="E52" i="1"/>
  <c r="E18" i="1"/>
  <c r="E45" i="1"/>
  <c r="F52" i="1"/>
  <c r="BX362" i="1"/>
  <c r="BY274" i="1"/>
  <c r="BY379" i="1"/>
  <c r="AY84" i="1"/>
  <c r="AY102" i="1"/>
  <c r="AY85" i="1" s="1"/>
  <c r="CA328" i="1"/>
  <c r="CA247" i="1" s="1"/>
  <c r="CA379" i="1" s="1"/>
  <c r="AI84" i="1"/>
  <c r="AI102" i="1"/>
  <c r="AI85" i="1" s="1"/>
  <c r="AW354" i="1"/>
  <c r="AW243" i="1"/>
  <c r="BR367" i="1"/>
  <c r="BR369" i="1" s="1"/>
  <c r="BS365" i="1"/>
  <c r="BZ265" i="1"/>
  <c r="N143" i="1"/>
  <c r="M143" i="1"/>
  <c r="G53" i="1"/>
  <c r="G46" i="1"/>
  <c r="G18" i="1"/>
  <c r="BZ247" i="1"/>
  <c r="BZ379" i="1" s="1"/>
  <c r="M106" i="1"/>
  <c r="BH84" i="1"/>
  <c r="BH102" i="1"/>
  <c r="BH85" i="1" s="1"/>
  <c r="L101" i="1"/>
  <c r="L84" i="1" s="1"/>
  <c r="AP354" i="1"/>
  <c r="AP243" i="1"/>
  <c r="AS354" i="1"/>
  <c r="AS243" i="1"/>
  <c r="Z354" i="1"/>
  <c r="Z243" i="1"/>
  <c r="H231" i="1"/>
  <c r="H241" i="1" s="1"/>
  <c r="I140" i="1"/>
  <c r="I144" i="1"/>
  <c r="C231" i="1"/>
  <c r="C241" i="1" s="1"/>
  <c r="W354" i="1"/>
  <c r="W243" i="1"/>
  <c r="AO353" i="1"/>
  <c r="AO251" i="1"/>
  <c r="AO252" i="1" s="1"/>
  <c r="BG296" i="1"/>
  <c r="BG295" i="1"/>
  <c r="BG51" i="1"/>
  <c r="BG44" i="1"/>
  <c r="BJ292" i="1"/>
  <c r="BH51" i="1"/>
  <c r="BG354" i="1"/>
  <c r="BW319" i="1"/>
  <c r="BW198" i="1"/>
  <c r="O198" i="1" s="1"/>
  <c r="BW187" i="1"/>
  <c r="BW163" i="1"/>
  <c r="O163" i="1" s="1"/>
  <c r="H213" i="1"/>
  <c r="L116" i="1"/>
  <c r="L52" i="1"/>
  <c r="L18" i="1"/>
  <c r="L45" i="1"/>
  <c r="BO296" i="1"/>
  <c r="BO295" i="1"/>
  <c r="BO51" i="1"/>
  <c r="BO44" i="1"/>
  <c r="BO354" i="1"/>
  <c r="BR292" i="1"/>
  <c r="BP51" i="1"/>
  <c r="BO353" i="1"/>
  <c r="O242" i="1"/>
  <c r="AH296" i="1"/>
  <c r="AH295" i="1"/>
  <c r="AH51" i="1"/>
  <c r="AH44" i="1"/>
  <c r="AK292" i="1"/>
  <c r="AJ292" i="1"/>
  <c r="AI292" i="1"/>
  <c r="AH84" i="1"/>
  <c r="AH102" i="1"/>
  <c r="AH85" i="1" s="1"/>
  <c r="E101" i="1"/>
  <c r="G84" i="1"/>
  <c r="G102" i="1"/>
  <c r="G85" i="1" s="1"/>
  <c r="AY296" i="1"/>
  <c r="AY295" i="1"/>
  <c r="AY51" i="1"/>
  <c r="AY44" i="1"/>
  <c r="BB292" i="1"/>
  <c r="AZ51" i="1"/>
  <c r="CA123" i="1"/>
  <c r="AI296" i="1"/>
  <c r="AI295" i="1"/>
  <c r="AI51" i="1"/>
  <c r="AI44" i="1"/>
  <c r="AL292" i="1"/>
  <c r="AJ51" i="1"/>
  <c r="G243" i="1"/>
  <c r="E231" i="1"/>
  <c r="E241" i="1" s="1"/>
  <c r="AS292" i="1"/>
  <c r="AP296" i="1"/>
  <c r="AP295" i="1"/>
  <c r="AP51" i="1"/>
  <c r="AP44" i="1"/>
  <c r="AP292" i="1"/>
  <c r="AQ292" i="1"/>
  <c r="AR292" i="1"/>
  <c r="AD296" i="1"/>
  <c r="AD295" i="1"/>
  <c r="AG292" i="1"/>
  <c r="AD51" i="1"/>
  <c r="AD44" i="1"/>
  <c r="AD292" i="1"/>
  <c r="AF292" i="1"/>
  <c r="AE292" i="1"/>
  <c r="AU158" i="1"/>
  <c r="AU115" i="1"/>
  <c r="AU106" i="1"/>
  <c r="AU83" i="1"/>
  <c r="BY77" i="1"/>
  <c r="BZ125" i="1"/>
  <c r="AQ354" i="1"/>
  <c r="AQ243" i="1"/>
  <c r="AC353" i="1"/>
  <c r="AC251" i="1"/>
  <c r="AC252" i="1" s="1"/>
  <c r="BZ63" i="1"/>
  <c r="AE354" i="1"/>
  <c r="AE243" i="1"/>
  <c r="Y353" i="1"/>
  <c r="Y251" i="1"/>
  <c r="Y252" i="1" s="1"/>
  <c r="BT209" i="1"/>
  <c r="BT196" i="1"/>
  <c r="BH240" i="1"/>
  <c r="L240" i="1" s="1"/>
  <c r="L231" i="1"/>
  <c r="AU296" i="1"/>
  <c r="AU295" i="1"/>
  <c r="AU51" i="1"/>
  <c r="AU44" i="1"/>
  <c r="AV51" i="1"/>
  <c r="AX292" i="1"/>
  <c r="AR354" i="1"/>
  <c r="AR243" i="1"/>
  <c r="D46" i="1"/>
  <c r="D53" i="1"/>
  <c r="E53" i="1"/>
  <c r="AU353" i="1"/>
  <c r="AU251" i="1"/>
  <c r="AU252" i="1" s="1"/>
  <c r="I141" i="1"/>
  <c r="F70" i="1"/>
  <c r="X354" i="1"/>
  <c r="X243" i="1"/>
  <c r="BU93" i="1"/>
  <c r="BT89" i="1"/>
  <c r="I116" i="1"/>
  <c r="I52" i="1"/>
  <c r="I45" i="1"/>
  <c r="I18" i="1"/>
  <c r="J52" i="1"/>
  <c r="BX250" i="1"/>
  <c r="F243" i="1"/>
  <c r="O329" i="1"/>
  <c r="O37" i="1"/>
  <c r="AY158" i="1"/>
  <c r="AY115" i="1"/>
  <c r="AY106" i="1"/>
  <c r="AY83" i="1"/>
  <c r="BX210" i="1"/>
  <c r="BY24" i="1"/>
  <c r="M116" i="1"/>
  <c r="M52" i="1"/>
  <c r="M18" i="1"/>
  <c r="M45" i="1"/>
  <c r="N52" i="1"/>
  <c r="BU153" i="1"/>
  <c r="AT296" i="1"/>
  <c r="AT295" i="1"/>
  <c r="AW292" i="1"/>
  <c r="AT51" i="1"/>
  <c r="AT44" i="1"/>
  <c r="AV292" i="1"/>
  <c r="AU292" i="1"/>
  <c r="L46" i="1"/>
  <c r="L53" i="1"/>
  <c r="M241" i="1"/>
  <c r="D243" i="1"/>
  <c r="AR84" i="1"/>
  <c r="AR102" i="1"/>
  <c r="AR85" i="1" s="1"/>
  <c r="AN354" i="1"/>
  <c r="AN243" i="1"/>
  <c r="BK102" i="1"/>
  <c r="BK85" i="1" s="1"/>
  <c r="AF354" i="1"/>
  <c r="AF243" i="1"/>
  <c r="D116" i="1"/>
  <c r="D52" i="1"/>
  <c r="D45" i="1"/>
  <c r="D18" i="1"/>
  <c r="P38" i="1"/>
  <c r="BV308" i="1"/>
  <c r="BU307" i="1"/>
  <c r="AV84" i="1"/>
  <c r="AV102" i="1"/>
  <c r="AV85" i="1" s="1"/>
  <c r="I101" i="1"/>
  <c r="BY223" i="1"/>
  <c r="BY111" i="1"/>
  <c r="BZ75" i="1"/>
  <c r="CA122" i="1"/>
  <c r="AI354" i="1"/>
  <c r="AI243" i="1"/>
  <c r="AD354" i="1"/>
  <c r="AD243" i="1"/>
  <c r="CA120" i="1"/>
  <c r="BZ100" i="1"/>
  <c r="H149" i="1"/>
  <c r="H150" i="1" s="1"/>
  <c r="BL84" i="1"/>
  <c r="BL102" i="1"/>
  <c r="BL85" i="1" s="1"/>
  <c r="BV81" i="1"/>
  <c r="BU73" i="1"/>
  <c r="BU197" i="1"/>
  <c r="BU23" i="1"/>
  <c r="BD84" i="1"/>
  <c r="BD102" i="1"/>
  <c r="BD85" i="1" s="1"/>
  <c r="K101" i="1"/>
  <c r="K53" i="1"/>
  <c r="K46" i="1"/>
  <c r="AG353" i="1"/>
  <c r="AG251" i="1"/>
  <c r="AG252" i="1" s="1"/>
  <c r="AU354" i="1"/>
  <c r="AM354" i="1"/>
  <c r="AM243" i="1"/>
  <c r="BX277" i="1"/>
  <c r="O277" i="1"/>
  <c r="AE296" i="1"/>
  <c r="AE295" i="1"/>
  <c r="AE51" i="1"/>
  <c r="AE44" i="1"/>
  <c r="AF51" i="1"/>
  <c r="AH292" i="1"/>
  <c r="I138" i="1"/>
  <c r="I142" i="1"/>
  <c r="I213" i="1"/>
  <c r="AZ84" i="1"/>
  <c r="AZ102" i="1"/>
  <c r="AZ85" i="1" s="1"/>
  <c r="J101" i="1"/>
  <c r="CA121" i="1"/>
  <c r="K116" i="1"/>
  <c r="K45" i="1"/>
  <c r="K52" i="1"/>
  <c r="K18" i="1"/>
  <c r="AX296" i="1"/>
  <c r="AX295" i="1"/>
  <c r="AX51" i="1"/>
  <c r="AX44" i="1"/>
  <c r="AZ292" i="1"/>
  <c r="AY292" i="1"/>
  <c r="BA292" i="1"/>
  <c r="I115" i="1" l="1"/>
  <c r="I106" i="1"/>
  <c r="BX187" i="1"/>
  <c r="M158" i="1"/>
  <c r="BG84" i="1"/>
  <c r="G354" i="1"/>
  <c r="M115" i="1"/>
  <c r="BN102" i="1"/>
  <c r="BN85" i="1" s="1"/>
  <c r="N25" i="1"/>
  <c r="BY112" i="1"/>
  <c r="N44" i="1"/>
  <c r="AM83" i="1"/>
  <c r="AM115" i="1"/>
  <c r="AM158" i="1"/>
  <c r="AM106" i="1"/>
  <c r="BY79" i="1"/>
  <c r="D102" i="1"/>
  <c r="D85" i="1" s="1"/>
  <c r="M101" i="1"/>
  <c r="M84" i="1" s="1"/>
  <c r="BY224" i="1"/>
  <c r="BY225" i="1" s="1"/>
  <c r="BY242" i="1" s="1"/>
  <c r="N292" i="1"/>
  <c r="F158" i="1"/>
  <c r="F106" i="1"/>
  <c r="F83" i="1"/>
  <c r="F115" i="1"/>
  <c r="F102" i="1"/>
  <c r="F85" i="1" s="1"/>
  <c r="BY372" i="1"/>
  <c r="BX163" i="1"/>
  <c r="BX319" i="1"/>
  <c r="H84" i="1"/>
  <c r="H102" i="1"/>
  <c r="H85" i="1" s="1"/>
  <c r="BZ76" i="1"/>
  <c r="L241" i="1"/>
  <c r="L354" i="1" s="1"/>
  <c r="CA326" i="1"/>
  <c r="BY16" i="1"/>
  <c r="BZ11" i="1"/>
  <c r="BY172" i="1"/>
  <c r="BY181" i="1" s="1"/>
  <c r="BZ271" i="1"/>
  <c r="BY240" i="1"/>
  <c r="BT185" i="1"/>
  <c r="BT192" i="1"/>
  <c r="BT176" i="1"/>
  <c r="BT184" i="1" s="1"/>
  <c r="O53" i="1"/>
  <c r="O46" i="1"/>
  <c r="N102" i="1"/>
  <c r="N85" i="1" s="1"/>
  <c r="K241" i="1"/>
  <c r="K243" i="1" s="1"/>
  <c r="J241" i="1"/>
  <c r="J354" i="1" s="1"/>
  <c r="J25" i="1"/>
  <c r="J296" i="1"/>
  <c r="J44" i="1"/>
  <c r="J295" i="1"/>
  <c r="J292" i="1"/>
  <c r="F296" i="1"/>
  <c r="F295" i="1"/>
  <c r="F44" i="1"/>
  <c r="F25" i="1"/>
  <c r="F292" i="1"/>
  <c r="CN244" i="1"/>
  <c r="CN245" i="1" s="1"/>
  <c r="CN246" i="1" s="1"/>
  <c r="CN247" i="1" s="1"/>
  <c r="CN248" i="1" s="1"/>
  <c r="CN249" i="1" s="1"/>
  <c r="CN250" i="1" s="1"/>
  <c r="CN251" i="1" s="1"/>
  <c r="CN252" i="1" s="1"/>
  <c r="CN253" i="1" s="1"/>
  <c r="CN254" i="1" s="1"/>
  <c r="CN255" i="1" s="1"/>
  <c r="CN256" i="1" s="1"/>
  <c r="CN257" i="1" s="1"/>
  <c r="CN258" i="1" s="1"/>
  <c r="CN259" i="1" s="1"/>
  <c r="CN260" i="1" s="1"/>
  <c r="CN261" i="1" s="1"/>
  <c r="CN262" i="1" s="1"/>
  <c r="CN263" i="1" s="1"/>
  <c r="CN264" i="1" s="1"/>
  <c r="CN265" i="1" s="1"/>
  <c r="CN266" i="1" s="1"/>
  <c r="CN267" i="1" s="1"/>
  <c r="CN268" i="1" s="1"/>
  <c r="CN269" i="1" s="1"/>
  <c r="CN270" i="1" s="1"/>
  <c r="CN271" i="1" s="1"/>
  <c r="CN272" i="1" s="1"/>
  <c r="CN273" i="1" s="1"/>
  <c r="CN274" i="1" s="1"/>
  <c r="CN275" i="1" s="1"/>
  <c r="CN276" i="1" s="1"/>
  <c r="CN277" i="1" s="1"/>
  <c r="CN278" i="1" s="1"/>
  <c r="CN279" i="1" s="1"/>
  <c r="CN280" i="1" s="1"/>
  <c r="CN281" i="1" s="1"/>
  <c r="CN282" i="1" s="1"/>
  <c r="CN283" i="1" s="1"/>
  <c r="CN284" i="1" s="1"/>
  <c r="CN285" i="1" s="1"/>
  <c r="CN286" i="1" s="1"/>
  <c r="CN287" i="1" s="1"/>
  <c r="BZ77" i="1"/>
  <c r="BU203" i="1"/>
  <c r="BU201" i="1"/>
  <c r="CB120" i="1"/>
  <c r="CA100" i="1"/>
  <c r="AI353" i="1"/>
  <c r="AI251" i="1"/>
  <c r="AI252" i="1" s="1"/>
  <c r="I84" i="1"/>
  <c r="I102" i="1"/>
  <c r="I85" i="1" s="1"/>
  <c r="BV307" i="1"/>
  <c r="BW308" i="1"/>
  <c r="M354" i="1"/>
  <c r="M243" i="1"/>
  <c r="F353" i="1"/>
  <c r="F251" i="1"/>
  <c r="F252" i="1" s="1"/>
  <c r="I295" i="1"/>
  <c r="I296" i="1"/>
  <c r="I44" i="1"/>
  <c r="I51" i="1"/>
  <c r="I25" i="1"/>
  <c r="J51" i="1"/>
  <c r="I292" i="1"/>
  <c r="BT97" i="1"/>
  <c r="BT90" i="1"/>
  <c r="BU209" i="1"/>
  <c r="CA125" i="1"/>
  <c r="G353" i="1"/>
  <c r="G251" i="1"/>
  <c r="G252" i="1" s="1"/>
  <c r="H354" i="1"/>
  <c r="H243" i="1"/>
  <c r="BX198" i="1"/>
  <c r="AP353" i="1"/>
  <c r="AP251" i="1"/>
  <c r="AP252" i="1" s="1"/>
  <c r="AI158" i="1"/>
  <c r="AI115" i="1"/>
  <c r="AI106" i="1"/>
  <c r="AI83" i="1"/>
  <c r="BU323" i="1"/>
  <c r="BV59" i="1"/>
  <c r="AV354" i="1"/>
  <c r="AV243" i="1"/>
  <c r="BU199" i="1"/>
  <c r="BT69" i="1"/>
  <c r="BT70" i="1" s="1"/>
  <c r="BT42" i="1" s="1"/>
  <c r="BX262" i="1"/>
  <c r="O262" i="1"/>
  <c r="O187" i="1"/>
  <c r="BZ126" i="1"/>
  <c r="H296" i="1"/>
  <c r="H295" i="1"/>
  <c r="H44" i="1"/>
  <c r="H51" i="1"/>
  <c r="H25" i="1"/>
  <c r="H292" i="1"/>
  <c r="BU178" i="1"/>
  <c r="BU56" i="1"/>
  <c r="BU49" i="1"/>
  <c r="N297" i="1"/>
  <c r="N29" i="1"/>
  <c r="J84" i="1"/>
  <c r="J102" i="1"/>
  <c r="J85" i="1" s="1"/>
  <c r="BY277" i="1"/>
  <c r="BU114" i="1"/>
  <c r="BU74" i="1"/>
  <c r="BZ223" i="1"/>
  <c r="BZ111" i="1"/>
  <c r="CA75" i="1"/>
  <c r="BV93" i="1"/>
  <c r="BU89" i="1"/>
  <c r="BU69" i="1" s="1"/>
  <c r="CA63" i="1"/>
  <c r="O319" i="1"/>
  <c r="O225" i="1"/>
  <c r="O224" i="1" s="1"/>
  <c r="O226" i="1" s="1"/>
  <c r="C354" i="1"/>
  <c r="C243" i="1"/>
  <c r="Z353" i="1"/>
  <c r="Z251" i="1"/>
  <c r="Z252" i="1" s="1"/>
  <c r="AX354" i="1"/>
  <c r="AY241" i="1"/>
  <c r="AX243" i="1"/>
  <c r="AX235" i="1"/>
  <c r="BY362" i="1"/>
  <c r="BZ274" i="1"/>
  <c r="BZ250" i="1" s="1"/>
  <c r="BY250" i="1"/>
  <c r="E295" i="1"/>
  <c r="E296" i="1"/>
  <c r="E44" i="1"/>
  <c r="E25" i="1"/>
  <c r="E51" i="1"/>
  <c r="E292" i="1"/>
  <c r="F51" i="1"/>
  <c r="C214" i="1"/>
  <c r="AT84" i="1"/>
  <c r="AT102" i="1"/>
  <c r="AT85" i="1" s="1"/>
  <c r="N354" i="1"/>
  <c r="N243" i="1"/>
  <c r="BU305" i="1"/>
  <c r="BV306" i="1"/>
  <c r="BU309" i="1"/>
  <c r="AL353" i="1"/>
  <c r="AL251" i="1"/>
  <c r="AL252" i="1" s="1"/>
  <c r="CC38" i="1"/>
  <c r="AB353" i="1"/>
  <c r="AB251" i="1"/>
  <c r="AB252" i="1" s="1"/>
  <c r="AJ353" i="1"/>
  <c r="AJ251" i="1"/>
  <c r="AJ252" i="1" s="1"/>
  <c r="BU196" i="1"/>
  <c r="BU202" i="1" s="1"/>
  <c r="BW81" i="1"/>
  <c r="BV73" i="1"/>
  <c r="H158" i="1"/>
  <c r="H115" i="1"/>
  <c r="H106" i="1"/>
  <c r="H83" i="1"/>
  <c r="AD353" i="1"/>
  <c r="AD251" i="1"/>
  <c r="AD252" i="1" s="1"/>
  <c r="CB122" i="1"/>
  <c r="D296" i="1"/>
  <c r="D295" i="1"/>
  <c r="D44" i="1"/>
  <c r="D51" i="1"/>
  <c r="D25" i="1"/>
  <c r="D292" i="1"/>
  <c r="AN353" i="1"/>
  <c r="AN251" i="1"/>
  <c r="AN252" i="1" s="1"/>
  <c r="D353" i="1"/>
  <c r="D251" i="1"/>
  <c r="D252" i="1" s="1"/>
  <c r="M295" i="1"/>
  <c r="M296" i="1"/>
  <c r="M44" i="1"/>
  <c r="M25" i="1"/>
  <c r="M51" i="1"/>
  <c r="M292" i="1"/>
  <c r="BY210" i="1"/>
  <c r="BZ24" i="1"/>
  <c r="X353" i="1"/>
  <c r="X251" i="1"/>
  <c r="X252" i="1" s="1"/>
  <c r="AQ353" i="1"/>
  <c r="AQ251" i="1"/>
  <c r="AQ252" i="1" s="1"/>
  <c r="CB123" i="1"/>
  <c r="CA265" i="1"/>
  <c r="AW353" i="1"/>
  <c r="AW251" i="1"/>
  <c r="AW252" i="1" s="1"/>
  <c r="P247" i="1"/>
  <c r="P379" i="1" s="1"/>
  <c r="CB124" i="1"/>
  <c r="BY329" i="1"/>
  <c r="BZ327" i="1"/>
  <c r="BY37" i="1"/>
  <c r="CC46" i="1"/>
  <c r="BZ303" i="1"/>
  <c r="CA304" i="1"/>
  <c r="D158" i="1"/>
  <c r="D115" i="1"/>
  <c r="D83" i="1"/>
  <c r="D106" i="1"/>
  <c r="AA353" i="1"/>
  <c r="AA251" i="1"/>
  <c r="AA252" i="1" s="1"/>
  <c r="BU193" i="1"/>
  <c r="BU191" i="1"/>
  <c r="BU188" i="1"/>
  <c r="AH353" i="1"/>
  <c r="AH251" i="1"/>
  <c r="AH252" i="1" s="1"/>
  <c r="N51" i="1"/>
  <c r="K296" i="1"/>
  <c r="K295" i="1"/>
  <c r="K51" i="1"/>
  <c r="K44" i="1"/>
  <c r="K25" i="1"/>
  <c r="K292" i="1"/>
  <c r="CB121" i="1"/>
  <c r="AM353" i="1"/>
  <c r="AM251" i="1"/>
  <c r="AM252" i="1" s="1"/>
  <c r="K84" i="1"/>
  <c r="K102" i="1"/>
  <c r="K85" i="1" s="1"/>
  <c r="AF353" i="1"/>
  <c r="AF251" i="1"/>
  <c r="AF252" i="1" s="1"/>
  <c r="D354" i="1"/>
  <c r="BU169" i="1"/>
  <c r="BU167" i="1"/>
  <c r="BU164" i="1"/>
  <c r="AR353" i="1"/>
  <c r="AR251" i="1"/>
  <c r="AR252" i="1" s="1"/>
  <c r="L243" i="1"/>
  <c r="BT202" i="1"/>
  <c r="AE353" i="1"/>
  <c r="AE251" i="1"/>
  <c r="AE252" i="1" s="1"/>
  <c r="E354" i="1"/>
  <c r="E243" i="1"/>
  <c r="E84" i="1"/>
  <c r="E102" i="1"/>
  <c r="E85" i="1" s="1"/>
  <c r="L295" i="1"/>
  <c r="L296" i="1"/>
  <c r="L44" i="1"/>
  <c r="L51" i="1"/>
  <c r="L25" i="1"/>
  <c r="L292" i="1"/>
  <c r="W353" i="1"/>
  <c r="W251" i="1"/>
  <c r="AS353" i="1"/>
  <c r="AS251" i="1"/>
  <c r="AS252" i="1" s="1"/>
  <c r="G296" i="1"/>
  <c r="G295" i="1"/>
  <c r="G51" i="1"/>
  <c r="G44" i="1"/>
  <c r="G25" i="1"/>
  <c r="G292" i="1"/>
  <c r="BS367" i="1"/>
  <c r="BT365" i="1"/>
  <c r="N365" i="1"/>
  <c r="CB328" i="1"/>
  <c r="CB247" i="1" s="1"/>
  <c r="CB326" i="1"/>
  <c r="E158" i="1"/>
  <c r="E115" i="1"/>
  <c r="E106" i="1"/>
  <c r="E83" i="1"/>
  <c r="AE158" i="1"/>
  <c r="AE115" i="1"/>
  <c r="AE106" i="1"/>
  <c r="AE83" i="1"/>
  <c r="L102" i="1"/>
  <c r="L85" i="1" s="1"/>
  <c r="K354" i="1" l="1"/>
  <c r="BY163" i="1"/>
  <c r="N207" i="1"/>
  <c r="N211" i="1" s="1"/>
  <c r="N305" i="1" s="1"/>
  <c r="N306" i="1" s="1"/>
  <c r="N293" i="1"/>
  <c r="N220" i="1"/>
  <c r="N47" i="1"/>
  <c r="N344" i="1"/>
  <c r="N345" i="1" s="1"/>
  <c r="N346" i="1" s="1"/>
  <c r="M102" i="1"/>
  <c r="M85" i="1" s="1"/>
  <c r="BY198" i="1"/>
  <c r="BY187" i="1"/>
  <c r="BY319" i="1"/>
  <c r="BZ372" i="1"/>
  <c r="BZ79" i="1"/>
  <c r="J243" i="1"/>
  <c r="J251" i="1" s="1"/>
  <c r="J252" i="1" s="1"/>
  <c r="BZ112" i="1"/>
  <c r="BZ224" i="1"/>
  <c r="BZ225" i="1" s="1"/>
  <c r="BZ242" i="1" s="1"/>
  <c r="BU70" i="1"/>
  <c r="BU42" i="1" s="1"/>
  <c r="P75" i="1"/>
  <c r="CN288" i="1"/>
  <c r="CN289" i="1" s="1"/>
  <c r="CN290" i="1" s="1"/>
  <c r="CN291" i="1" s="1"/>
  <c r="CN292" i="1" s="1"/>
  <c r="CN293" i="1" s="1"/>
  <c r="CN294" i="1" s="1"/>
  <c r="CN295" i="1" s="1"/>
  <c r="CN296" i="1" s="1"/>
  <c r="CN297" i="1" s="1"/>
  <c r="CN298" i="1" s="1"/>
  <c r="CN299" i="1" s="1"/>
  <c r="CN300" i="1" s="1"/>
  <c r="CN301" i="1" s="1"/>
  <c r="CN302" i="1" s="1"/>
  <c r="CN303" i="1" s="1"/>
  <c r="CN304" i="1" s="1"/>
  <c r="CN305" i="1" s="1"/>
  <c r="CN306" i="1" s="1"/>
  <c r="CN307" i="1" s="1"/>
  <c r="CN308" i="1" s="1"/>
  <c r="CN309" i="1" s="1"/>
  <c r="CN310" i="1" s="1"/>
  <c r="CN311" i="1" s="1"/>
  <c r="CN312" i="1" s="1"/>
  <c r="CN313" i="1" s="1"/>
  <c r="CN314" i="1" s="1"/>
  <c r="CN315" i="1" s="1"/>
  <c r="CN316" i="1" s="1"/>
  <c r="CN317" i="1" s="1"/>
  <c r="CN318" i="1" s="1"/>
  <c r="CN319" i="1" s="1"/>
  <c r="CN320" i="1" s="1"/>
  <c r="CN321" i="1" s="1"/>
  <c r="CN322" i="1" s="1"/>
  <c r="CN323" i="1" s="1"/>
  <c r="CN324" i="1" s="1"/>
  <c r="CN325" i="1" s="1"/>
  <c r="CN326" i="1" s="1"/>
  <c r="CN327" i="1" s="1"/>
  <c r="CN328" i="1" s="1"/>
  <c r="CN329" i="1" s="1"/>
  <c r="CN330" i="1" s="1"/>
  <c r="CN331" i="1" s="1"/>
  <c r="CN332" i="1" s="1"/>
  <c r="CN333" i="1" s="1"/>
  <c r="CN334" i="1" s="1"/>
  <c r="CN335" i="1" s="1"/>
  <c r="CN336" i="1" s="1"/>
  <c r="CN337" i="1" s="1"/>
  <c r="CN338" i="1" s="1"/>
  <c r="CN339" i="1" s="1"/>
  <c r="CN340" i="1" s="1"/>
  <c r="CN341" i="1" s="1"/>
  <c r="CN342" i="1" s="1"/>
  <c r="CN343" i="1" s="1"/>
  <c r="CN344" i="1" s="1"/>
  <c r="CN345" i="1" s="1"/>
  <c r="CN346" i="1" s="1"/>
  <c r="CN347" i="1" s="1"/>
  <c r="CN348" i="1" s="1"/>
  <c r="CN349" i="1" s="1"/>
  <c r="CN350" i="1" s="1"/>
  <c r="CN351" i="1" s="1"/>
  <c r="CN352" i="1" s="1"/>
  <c r="CN353" i="1" s="1"/>
  <c r="CN354" i="1" s="1"/>
  <c r="CN355" i="1" s="1"/>
  <c r="CN356" i="1" s="1"/>
  <c r="CN357" i="1" s="1"/>
  <c r="CN358" i="1" s="1"/>
  <c r="CN359" i="1" s="1"/>
  <c r="CN360" i="1" s="1"/>
  <c r="CN361" i="1" s="1"/>
  <c r="CN362" i="1" s="1"/>
  <c r="CN363" i="1" s="1"/>
  <c r="CN364" i="1" s="1"/>
  <c r="CN365" i="1" s="1"/>
  <c r="CN366" i="1" s="1"/>
  <c r="CN367" i="1" s="1"/>
  <c r="CN368" i="1" s="1"/>
  <c r="CN369" i="1" s="1"/>
  <c r="CN370" i="1" s="1"/>
  <c r="CN371" i="1" s="1"/>
  <c r="CN372" i="1" s="1"/>
  <c r="CN373" i="1" s="1"/>
  <c r="CN374" i="1" s="1"/>
  <c r="CN375" i="1" s="1"/>
  <c r="CN376" i="1" s="1"/>
  <c r="CN377" i="1" s="1"/>
  <c r="CN378" i="1" s="1"/>
  <c r="CN379" i="1" s="1"/>
  <c r="CN380" i="1" s="1"/>
  <c r="CN381" i="1" s="1"/>
  <c r="CA271" i="1"/>
  <c r="BZ240" i="1"/>
  <c r="J220" i="1"/>
  <c r="J293" i="1"/>
  <c r="J207" i="1"/>
  <c r="J211" i="1" s="1"/>
  <c r="J344" i="1"/>
  <c r="J345" i="1" s="1"/>
  <c r="J47" i="1"/>
  <c r="J297" i="1"/>
  <c r="J29" i="1"/>
  <c r="CA76" i="1"/>
  <c r="F297" i="1"/>
  <c r="F293" i="1"/>
  <c r="F207" i="1"/>
  <c r="F211" i="1" s="1"/>
  <c r="F220" i="1"/>
  <c r="F344" i="1"/>
  <c r="F345" i="1" s="1"/>
  <c r="F47" i="1"/>
  <c r="F29" i="1"/>
  <c r="CA11" i="1"/>
  <c r="BZ16" i="1"/>
  <c r="BZ53" i="1" s="1"/>
  <c r="BZ172" i="1"/>
  <c r="BT10" i="1"/>
  <c r="BY53" i="1"/>
  <c r="CB379" i="1"/>
  <c r="G344" i="1"/>
  <c r="G345" i="1" s="1"/>
  <c r="G297" i="1"/>
  <c r="G220" i="1"/>
  <c r="G207" i="1"/>
  <c r="G211" i="1" s="1"/>
  <c r="G47" i="1"/>
  <c r="G54" i="1"/>
  <c r="G29" i="1"/>
  <c r="G293" i="1"/>
  <c r="CC122" i="1"/>
  <c r="BV114" i="1"/>
  <c r="BV74" i="1"/>
  <c r="CD38" i="1"/>
  <c r="BW306" i="1"/>
  <c r="BV305" i="1"/>
  <c r="BV309" i="1"/>
  <c r="C353" i="1"/>
  <c r="C251" i="1"/>
  <c r="BW93" i="1"/>
  <c r="BV89" i="1"/>
  <c r="BV69" i="1" s="1"/>
  <c r="BV70" i="1" s="1"/>
  <c r="BV42" i="1" s="1"/>
  <c r="CA223" i="1"/>
  <c r="CA111" i="1"/>
  <c r="CB75" i="1"/>
  <c r="BZ277" i="1"/>
  <c r="BU185" i="1"/>
  <c r="BU192" i="1"/>
  <c r="BU176" i="1"/>
  <c r="BY262" i="1"/>
  <c r="P262" i="1"/>
  <c r="BU365" i="1"/>
  <c r="BT367" i="1"/>
  <c r="E353" i="1"/>
  <c r="E251" i="1"/>
  <c r="E252" i="1" s="1"/>
  <c r="K344" i="1"/>
  <c r="K345" i="1" s="1"/>
  <c r="K297" i="1"/>
  <c r="K220" i="1"/>
  <c r="K207" i="1"/>
  <c r="K211" i="1" s="1"/>
  <c r="K47" i="1"/>
  <c r="K54" i="1"/>
  <c r="K29" i="1"/>
  <c r="K293" i="1"/>
  <c r="BU190" i="1"/>
  <c r="K353" i="1"/>
  <c r="K251" i="1"/>
  <c r="K252" i="1" s="1"/>
  <c r="CA327" i="1"/>
  <c r="BZ329" i="1"/>
  <c r="BZ37" i="1"/>
  <c r="CB265" i="1"/>
  <c r="P265" i="1"/>
  <c r="CC123" i="1"/>
  <c r="BX81" i="1"/>
  <c r="BW73" i="1"/>
  <c r="CA224" i="1"/>
  <c r="CA77" i="1"/>
  <c r="N214" i="1"/>
  <c r="BV373" i="1"/>
  <c r="BV374" i="1" s="1"/>
  <c r="BV315" i="1"/>
  <c r="BV208" i="1"/>
  <c r="BV232" i="1"/>
  <c r="BV318" i="1"/>
  <c r="BV298" i="1" s="1"/>
  <c r="BV62" i="1"/>
  <c r="BV60" i="1"/>
  <c r="BV61" i="1"/>
  <c r="BV263" i="1"/>
  <c r="M353" i="1"/>
  <c r="M251" i="1"/>
  <c r="M252" i="1" s="1"/>
  <c r="BS369" i="1"/>
  <c r="N369" i="1" s="1"/>
  <c r="N367" i="1"/>
  <c r="L344" i="1"/>
  <c r="L345" i="1" s="1"/>
  <c r="L297" i="1"/>
  <c r="L220" i="1"/>
  <c r="L207" i="1"/>
  <c r="L211" i="1" s="1"/>
  <c r="L54" i="1"/>
  <c r="L47" i="1"/>
  <c r="L29" i="1"/>
  <c r="L293" i="1"/>
  <c r="CC121" i="1"/>
  <c r="BZ210" i="1"/>
  <c r="CA24" i="1"/>
  <c r="P24" i="1" s="1"/>
  <c r="P210" i="1" s="1"/>
  <c r="M344" i="1"/>
  <c r="M345" i="1" s="1"/>
  <c r="M297" i="1"/>
  <c r="M207" i="1"/>
  <c r="M211" i="1" s="1"/>
  <c r="M220" i="1"/>
  <c r="M54" i="1"/>
  <c r="M29" i="1"/>
  <c r="M47" i="1"/>
  <c r="M293" i="1"/>
  <c r="N353" i="1"/>
  <c r="N251" i="1"/>
  <c r="N252" i="1" s="1"/>
  <c r="E344" i="1"/>
  <c r="E345" i="1" s="1"/>
  <c r="E297" i="1"/>
  <c r="E220" i="1"/>
  <c r="E207" i="1"/>
  <c r="E211" i="1" s="1"/>
  <c r="E54" i="1"/>
  <c r="E29" i="1"/>
  <c r="E47" i="1"/>
  <c r="E293" i="1"/>
  <c r="F54" i="1"/>
  <c r="AX353" i="1"/>
  <c r="AX251" i="1"/>
  <c r="AX252" i="1" s="1"/>
  <c r="CB63" i="1"/>
  <c r="N54" i="1"/>
  <c r="H344" i="1"/>
  <c r="H345" i="1" s="1"/>
  <c r="H297" i="1"/>
  <c r="H220" i="1"/>
  <c r="H207" i="1"/>
  <c r="H211" i="1" s="1"/>
  <c r="H54" i="1"/>
  <c r="H47" i="1"/>
  <c r="H29" i="1"/>
  <c r="H293" i="1"/>
  <c r="AV353" i="1"/>
  <c r="AV251" i="1"/>
  <c r="AV252" i="1" s="1"/>
  <c r="I344" i="1"/>
  <c r="I345" i="1" s="1"/>
  <c r="I297" i="1"/>
  <c r="I207" i="1"/>
  <c r="I211" i="1" s="1"/>
  <c r="I220" i="1"/>
  <c r="I54" i="1"/>
  <c r="I47" i="1"/>
  <c r="I29" i="1"/>
  <c r="I293" i="1"/>
  <c r="J54" i="1"/>
  <c r="CC120" i="1"/>
  <c r="CB100" i="1"/>
  <c r="CC328" i="1"/>
  <c r="CC326" i="1" s="1"/>
  <c r="L353" i="1"/>
  <c r="L251" i="1"/>
  <c r="L252" i="1" s="1"/>
  <c r="J353" i="1"/>
  <c r="CB304" i="1"/>
  <c r="CA303" i="1"/>
  <c r="CD46" i="1"/>
  <c r="CC124" i="1"/>
  <c r="D344" i="1"/>
  <c r="D345" i="1" s="1"/>
  <c r="D297" i="1"/>
  <c r="D220" i="1"/>
  <c r="D207" i="1"/>
  <c r="D211" i="1" s="1"/>
  <c r="D54" i="1"/>
  <c r="D47" i="1"/>
  <c r="D29" i="1"/>
  <c r="D293" i="1"/>
  <c r="BZ362" i="1"/>
  <c r="CA274" i="1"/>
  <c r="AY354" i="1"/>
  <c r="AY243" i="1"/>
  <c r="AY235" i="1"/>
  <c r="I235" i="1" s="1"/>
  <c r="I241" i="1" s="1"/>
  <c r="BU97" i="1"/>
  <c r="BU90" i="1"/>
  <c r="N31" i="1"/>
  <c r="N66" i="1"/>
  <c r="CA126" i="1"/>
  <c r="H353" i="1"/>
  <c r="H251" i="1"/>
  <c r="H252" i="1" s="1"/>
  <c r="CB125" i="1"/>
  <c r="BX308" i="1"/>
  <c r="BW307" i="1"/>
  <c r="N349" i="1" l="1"/>
  <c r="BT12" i="1"/>
  <c r="BT257" i="1" s="1"/>
  <c r="N307" i="1"/>
  <c r="N308" i="1" s="1"/>
  <c r="N309" i="1" s="1"/>
  <c r="N212" i="1"/>
  <c r="BT15" i="1"/>
  <c r="BT101" i="1" s="1"/>
  <c r="BZ198" i="1"/>
  <c r="BZ187" i="1"/>
  <c r="BT148" i="1"/>
  <c r="BT157" i="1" s="1"/>
  <c r="CA79" i="1"/>
  <c r="CA372" i="1"/>
  <c r="BZ319" i="1"/>
  <c r="BZ163" i="1"/>
  <c r="CA112" i="1"/>
  <c r="CA16" i="1"/>
  <c r="CB11" i="1"/>
  <c r="CA172" i="1"/>
  <c r="CA181" i="1" s="1"/>
  <c r="F346" i="1"/>
  <c r="F349" i="1"/>
  <c r="P223" i="1"/>
  <c r="BU10" i="1"/>
  <c r="BU15" i="1" s="1"/>
  <c r="BZ181" i="1"/>
  <c r="P172" i="1"/>
  <c r="P181" i="1" s="1"/>
  <c r="J346" i="1"/>
  <c r="J349" i="1"/>
  <c r="CB271" i="1"/>
  <c r="CA240" i="1"/>
  <c r="P271" i="1"/>
  <c r="F31" i="1"/>
  <c r="F66" i="1"/>
  <c r="F212" i="1"/>
  <c r="F305" i="1"/>
  <c r="F306" i="1" s="1"/>
  <c r="F307" i="1"/>
  <c r="F308" i="1" s="1"/>
  <c r="F214" i="1"/>
  <c r="J66" i="1"/>
  <c r="J31" i="1"/>
  <c r="J214" i="1"/>
  <c r="J305" i="1"/>
  <c r="J306" i="1" s="1"/>
  <c r="J212" i="1"/>
  <c r="J307" i="1"/>
  <c r="J308" i="1" s="1"/>
  <c r="CC125" i="1"/>
  <c r="AY353" i="1"/>
  <c r="AY251" i="1"/>
  <c r="AY252" i="1" s="1"/>
  <c r="D307" i="1"/>
  <c r="D308" i="1" s="1"/>
  <c r="D305" i="1"/>
  <c r="D306" i="1" s="1"/>
  <c r="D212" i="1"/>
  <c r="D214" i="1"/>
  <c r="CD124" i="1"/>
  <c r="CD328" i="1"/>
  <c r="CD326" i="1" s="1"/>
  <c r="CD120" i="1"/>
  <c r="CC100" i="1"/>
  <c r="I31" i="1"/>
  <c r="I66" i="1"/>
  <c r="I307" i="1"/>
  <c r="I308" i="1" s="1"/>
  <c r="I305" i="1"/>
  <c r="I306" i="1" s="1"/>
  <c r="I212" i="1"/>
  <c r="I214" i="1"/>
  <c r="H307" i="1"/>
  <c r="H308" i="1" s="1"/>
  <c r="H305" i="1"/>
  <c r="H306" i="1" s="1"/>
  <c r="H212" i="1"/>
  <c r="H214" i="1"/>
  <c r="E349" i="1"/>
  <c r="E346" i="1"/>
  <c r="M307" i="1"/>
  <c r="M308" i="1" s="1"/>
  <c r="M305" i="1"/>
  <c r="M306" i="1" s="1"/>
  <c r="M212" i="1"/>
  <c r="M214" i="1"/>
  <c r="L307" i="1"/>
  <c r="L308" i="1" s="1"/>
  <c r="L305" i="1"/>
  <c r="L306" i="1" s="1"/>
  <c r="L212" i="1"/>
  <c r="L214" i="1"/>
  <c r="BV153" i="1"/>
  <c r="BW114" i="1"/>
  <c r="BW74" i="1"/>
  <c r="O73" i="1"/>
  <c r="CA277" i="1"/>
  <c r="CB223" i="1"/>
  <c r="CB111" i="1"/>
  <c r="CC75" i="1"/>
  <c r="BX93" i="1"/>
  <c r="BW89" i="1"/>
  <c r="BW69" i="1" s="1"/>
  <c r="BW70" i="1" s="1"/>
  <c r="BW42" i="1" s="1"/>
  <c r="G31" i="1"/>
  <c r="G66" i="1"/>
  <c r="BX307" i="1"/>
  <c r="BY308" i="1"/>
  <c r="N350" i="1"/>
  <c r="N33" i="1"/>
  <c r="N35" i="1"/>
  <c r="D31" i="1"/>
  <c r="D66" i="1"/>
  <c r="H31" i="1"/>
  <c r="H66" i="1"/>
  <c r="CC63" i="1"/>
  <c r="E307" i="1"/>
  <c r="E308" i="1" s="1"/>
  <c r="E305" i="1"/>
  <c r="E306" i="1" s="1"/>
  <c r="E212" i="1"/>
  <c r="E214" i="1"/>
  <c r="M31" i="1"/>
  <c r="M66" i="1"/>
  <c r="CD121" i="1"/>
  <c r="L31" i="1"/>
  <c r="L66" i="1"/>
  <c r="BV197" i="1"/>
  <c r="BV23" i="1"/>
  <c r="BY81" i="1"/>
  <c r="BX73" i="1"/>
  <c r="CA329" i="1"/>
  <c r="CB327" i="1"/>
  <c r="CA37" i="1"/>
  <c r="K346" i="1"/>
  <c r="K349" i="1"/>
  <c r="BT219" i="1"/>
  <c r="BT131" i="1"/>
  <c r="BT135" i="1"/>
  <c r="BT50" i="1"/>
  <c r="BX306" i="1"/>
  <c r="BW305" i="1"/>
  <c r="BW309" i="1"/>
  <c r="CB126" i="1"/>
  <c r="P372" i="1"/>
  <c r="CA362" i="1"/>
  <c r="CB274" i="1"/>
  <c r="P274" i="1"/>
  <c r="P362" i="1" s="1"/>
  <c r="CB303" i="1"/>
  <c r="CC304" i="1"/>
  <c r="I349" i="1"/>
  <c r="I346" i="1"/>
  <c r="M349" i="1"/>
  <c r="M346" i="1"/>
  <c r="BV322" i="1"/>
  <c r="BV264" i="1"/>
  <c r="BV321" i="1"/>
  <c r="I354" i="1"/>
  <c r="I243" i="1"/>
  <c r="CD123" i="1"/>
  <c r="CC265" i="1"/>
  <c r="K307" i="1"/>
  <c r="K308" i="1" s="1"/>
  <c r="K305" i="1"/>
  <c r="K306" i="1" s="1"/>
  <c r="K212" i="1"/>
  <c r="K214" i="1"/>
  <c r="BT116" i="1"/>
  <c r="BT52" i="1"/>
  <c r="BT21" i="1"/>
  <c r="BT18" i="1"/>
  <c r="BU184" i="1"/>
  <c r="CA225" i="1"/>
  <c r="CA242" i="1" s="1"/>
  <c r="CE38" i="1"/>
  <c r="Q38" i="1" s="1"/>
  <c r="G349" i="1"/>
  <c r="G346" i="1"/>
  <c r="D349" i="1"/>
  <c r="D346" i="1"/>
  <c r="CE46" i="1"/>
  <c r="H349" i="1"/>
  <c r="H346" i="1"/>
  <c r="E31" i="1"/>
  <c r="E66" i="1"/>
  <c r="CA210" i="1"/>
  <c r="CB24" i="1"/>
  <c r="L349" i="1"/>
  <c r="L346" i="1"/>
  <c r="BV177" i="1"/>
  <c r="BV22" i="1"/>
  <c r="K31" i="1"/>
  <c r="K66" i="1"/>
  <c r="BV365" i="1"/>
  <c r="BU367" i="1"/>
  <c r="BU148" i="1"/>
  <c r="Q262" i="1"/>
  <c r="BZ262" i="1"/>
  <c r="CB76" i="1"/>
  <c r="BV90" i="1"/>
  <c r="BV97" i="1"/>
  <c r="CC247" i="1"/>
  <c r="CD122" i="1"/>
  <c r="G305" i="1"/>
  <c r="G306" i="1" s="1"/>
  <c r="G307" i="1"/>
  <c r="G308" i="1" s="1"/>
  <c r="G212" i="1"/>
  <c r="G214" i="1"/>
  <c r="CA250" i="1"/>
  <c r="BT166" i="1" l="1"/>
  <c r="BT317" i="1"/>
  <c r="BT129" i="1"/>
  <c r="BT133" i="1"/>
  <c r="BT142" i="1" s="1"/>
  <c r="BT175" i="1"/>
  <c r="BT173" i="1" s="1"/>
  <c r="BT134" i="1"/>
  <c r="BT130" i="1"/>
  <c r="BT206" i="1"/>
  <c r="BT316" i="1"/>
  <c r="BT41" i="1"/>
  <c r="BT132" i="1"/>
  <c r="BT141" i="1" s="1"/>
  <c r="BT151" i="1"/>
  <c r="BT159" i="1" s="1"/>
  <c r="BT105" i="1"/>
  <c r="J309" i="1"/>
  <c r="CC76" i="1"/>
  <c r="H309" i="1"/>
  <c r="I309" i="1"/>
  <c r="BV10" i="1"/>
  <c r="BV12" i="1" s="1"/>
  <c r="L309" i="1"/>
  <c r="M309" i="1"/>
  <c r="BU12" i="1"/>
  <c r="F33" i="1"/>
  <c r="F350" i="1"/>
  <c r="F35" i="1"/>
  <c r="F1" i="1" s="1"/>
  <c r="E309" i="1"/>
  <c r="N1" i="1"/>
  <c r="CC271" i="1"/>
  <c r="CB240" i="1"/>
  <c r="J33" i="1"/>
  <c r="J35" i="1"/>
  <c r="J1" i="1" s="1"/>
  <c r="J350" i="1"/>
  <c r="F309" i="1"/>
  <c r="CB16" i="1"/>
  <c r="CB53" i="1" s="1"/>
  <c r="CC11" i="1"/>
  <c r="CB172" i="1"/>
  <c r="CB181" i="1" s="1"/>
  <c r="CA53" i="1"/>
  <c r="P16" i="1"/>
  <c r="CE122" i="1"/>
  <c r="CA262" i="1"/>
  <c r="BT84" i="1"/>
  <c r="BT102" i="1"/>
  <c r="BT85" i="1" s="1"/>
  <c r="CD265" i="1"/>
  <c r="CC126" i="1"/>
  <c r="BX114" i="1"/>
  <c r="BX74" i="1"/>
  <c r="G309" i="1"/>
  <c r="BU116" i="1"/>
  <c r="BU101" i="1"/>
  <c r="BU52" i="1"/>
  <c r="BU18" i="1"/>
  <c r="BU21" i="1"/>
  <c r="BV367" i="1"/>
  <c r="BW365" i="1"/>
  <c r="BV178" i="1"/>
  <c r="BV56" i="1"/>
  <c r="BV49" i="1"/>
  <c r="E350" i="1"/>
  <c r="E35" i="1"/>
  <c r="E1" i="1" s="1"/>
  <c r="E33" i="1"/>
  <c r="BT295" i="1"/>
  <c r="BT296" i="1"/>
  <c r="BT51" i="1"/>
  <c r="BT44" i="1"/>
  <c r="K309" i="1"/>
  <c r="CE123" i="1"/>
  <c r="BX305" i="1"/>
  <c r="BY306" i="1"/>
  <c r="BX309" i="1"/>
  <c r="BT237" i="1"/>
  <c r="BZ81" i="1"/>
  <c r="BY73" i="1"/>
  <c r="BV203" i="1"/>
  <c r="BV201" i="1"/>
  <c r="BV199" i="1"/>
  <c r="CD63" i="1"/>
  <c r="N335" i="1"/>
  <c r="N351" i="1"/>
  <c r="N336" i="1"/>
  <c r="N36" i="1"/>
  <c r="N378" i="1"/>
  <c r="BV169" i="1"/>
  <c r="BV167" i="1"/>
  <c r="BV164" i="1"/>
  <c r="I350" i="1"/>
  <c r="I33" i="1"/>
  <c r="I35" i="1"/>
  <c r="I1" i="1" s="1"/>
  <c r="D350" i="1"/>
  <c r="D35" i="1"/>
  <c r="D1" i="1" s="1"/>
  <c r="D33" i="1"/>
  <c r="G350" i="1"/>
  <c r="G35" i="1"/>
  <c r="G1" i="1" s="1"/>
  <c r="G33" i="1"/>
  <c r="CC224" i="1"/>
  <c r="CB277" i="1"/>
  <c r="P277" i="1"/>
  <c r="CE328" i="1"/>
  <c r="CE326" i="1" s="1"/>
  <c r="CD125" i="1"/>
  <c r="BT154" i="1"/>
  <c r="BT55" i="1"/>
  <c r="BT48" i="1"/>
  <c r="BT25" i="1"/>
  <c r="CB329" i="1"/>
  <c r="CC327" i="1"/>
  <c r="CB37" i="1"/>
  <c r="CB224" i="1"/>
  <c r="CB225" i="1" s="1"/>
  <c r="CB242" i="1" s="1"/>
  <c r="CB112" i="1"/>
  <c r="CB79" i="1"/>
  <c r="CB77" i="1"/>
  <c r="BU157" i="1"/>
  <c r="BU166" i="1"/>
  <c r="BU105" i="1"/>
  <c r="K350" i="1"/>
  <c r="K35" i="1"/>
  <c r="K1" i="1" s="1"/>
  <c r="K33" i="1"/>
  <c r="BV193" i="1"/>
  <c r="BV191" i="1"/>
  <c r="BV188" i="1"/>
  <c r="CD247" i="1"/>
  <c r="CD379" i="1" s="1"/>
  <c r="I353" i="1"/>
  <c r="I251" i="1"/>
  <c r="I252" i="1" s="1"/>
  <c r="BV323" i="1"/>
  <c r="BW59" i="1"/>
  <c r="CB362" i="1"/>
  <c r="CC274" i="1"/>
  <c r="CC250" i="1" s="1"/>
  <c r="CB250" i="1"/>
  <c r="BT183" i="1"/>
  <c r="BT143" i="1"/>
  <c r="BT139" i="1"/>
  <c r="BV196" i="1"/>
  <c r="BV209" i="1"/>
  <c r="L350" i="1"/>
  <c r="L35" i="1"/>
  <c r="L1" i="1" s="1"/>
  <c r="L33" i="1"/>
  <c r="M350" i="1"/>
  <c r="M33" i="1"/>
  <c r="M35" i="1"/>
  <c r="BZ308" i="1"/>
  <c r="BY307" i="1"/>
  <c r="BW97" i="1"/>
  <c r="O97" i="1" s="1"/>
  <c r="BW90" i="1"/>
  <c r="CC223" i="1"/>
  <c r="CC111" i="1"/>
  <c r="CD75" i="1"/>
  <c r="O81" i="1"/>
  <c r="O74" i="1"/>
  <c r="CE120" i="1"/>
  <c r="CD100" i="1"/>
  <c r="CE124" i="1"/>
  <c r="D309" i="1"/>
  <c r="CB210" i="1"/>
  <c r="CC24" i="1"/>
  <c r="CD304" i="1"/>
  <c r="CC303" i="1"/>
  <c r="BT138" i="1"/>
  <c r="CC379" i="1"/>
  <c r="BU219" i="1"/>
  <c r="BU41" i="1"/>
  <c r="BU134" i="1"/>
  <c r="BU143" i="1" s="1"/>
  <c r="BU130" i="1"/>
  <c r="BU139" i="1" s="1"/>
  <c r="BU131" i="1"/>
  <c r="BU140" i="1" s="1"/>
  <c r="BU317" i="1"/>
  <c r="BU135" i="1"/>
  <c r="BU144" i="1" s="1"/>
  <c r="BU175" i="1"/>
  <c r="CA319" i="1"/>
  <c r="CA198" i="1"/>
  <c r="CA187" i="1"/>
  <c r="CA163" i="1"/>
  <c r="P242" i="1"/>
  <c r="CB372" i="1"/>
  <c r="BT144" i="1"/>
  <c r="BT140" i="1"/>
  <c r="CE121" i="1"/>
  <c r="H350" i="1"/>
  <c r="H33" i="1"/>
  <c r="H35" i="1"/>
  <c r="H1" i="1" s="1"/>
  <c r="BY93" i="1"/>
  <c r="BX89" i="1"/>
  <c r="BT213" i="1" l="1"/>
  <c r="BV15" i="1"/>
  <c r="BV101" i="1" s="1"/>
  <c r="BV148" i="1"/>
  <c r="BU50" i="1"/>
  <c r="BU132" i="1"/>
  <c r="BU141" i="1" s="1"/>
  <c r="BU206" i="1"/>
  <c r="CD76" i="1"/>
  <c r="CC79" i="1"/>
  <c r="BU316" i="1"/>
  <c r="BU129" i="1"/>
  <c r="BU133" i="1"/>
  <c r="BU142" i="1" s="1"/>
  <c r="BU257" i="1"/>
  <c r="BU237" i="1" s="1"/>
  <c r="BW10" i="1"/>
  <c r="O10" i="1" s="1"/>
  <c r="CC225" i="1"/>
  <c r="CC242" i="1" s="1"/>
  <c r="CD372" i="1" s="1"/>
  <c r="BU151" i="1"/>
  <c r="BU159" i="1" s="1"/>
  <c r="CC112" i="1"/>
  <c r="CC77" i="1"/>
  <c r="CE247" i="1"/>
  <c r="F351" i="1"/>
  <c r="F378" i="1"/>
  <c r="F335" i="1"/>
  <c r="F36" i="1"/>
  <c r="F336" i="1"/>
  <c r="O82" i="1"/>
  <c r="M1" i="1"/>
  <c r="BU138" i="1"/>
  <c r="CC16" i="1"/>
  <c r="CC53" i="1" s="1"/>
  <c r="CC172" i="1"/>
  <c r="CC181" i="1" s="1"/>
  <c r="CD11" i="1"/>
  <c r="J351" i="1"/>
  <c r="J378" i="1"/>
  <c r="J335" i="1"/>
  <c r="J336" i="1"/>
  <c r="J36" i="1"/>
  <c r="CD271" i="1"/>
  <c r="CC240" i="1"/>
  <c r="CB319" i="1"/>
  <c r="CB187" i="1"/>
  <c r="CB163" i="1"/>
  <c r="CC163" i="1" s="1"/>
  <c r="CB198" i="1"/>
  <c r="CC198" i="1" s="1"/>
  <c r="CC372" i="1"/>
  <c r="P319" i="1"/>
  <c r="P225" i="1"/>
  <c r="P224" i="1" s="1"/>
  <c r="H336" i="1"/>
  <c r="H351" i="1"/>
  <c r="H335" i="1"/>
  <c r="H36" i="1"/>
  <c r="H378" i="1"/>
  <c r="P187" i="1"/>
  <c r="BV18" i="1"/>
  <c r="BX97" i="1"/>
  <c r="BX90" i="1"/>
  <c r="P198" i="1"/>
  <c r="BU183" i="1"/>
  <c r="BU173" i="1"/>
  <c r="BU174" i="1" s="1"/>
  <c r="BU182" i="1" s="1"/>
  <c r="BU213" i="1"/>
  <c r="BV166" i="1"/>
  <c r="BV157" i="1"/>
  <c r="BV105" i="1"/>
  <c r="CD223" i="1"/>
  <c r="CD111" i="1"/>
  <c r="CE75" i="1"/>
  <c r="M351" i="1"/>
  <c r="M336" i="1"/>
  <c r="M335" i="1"/>
  <c r="M36" i="1"/>
  <c r="M378" i="1"/>
  <c r="BV202" i="1"/>
  <c r="BT174" i="1"/>
  <c r="BT182" i="1" s="1"/>
  <c r="CC362" i="1"/>
  <c r="CD274" i="1"/>
  <c r="BV190" i="1"/>
  <c r="K351" i="1"/>
  <c r="K336" i="1"/>
  <c r="K335" i="1"/>
  <c r="K36" i="1"/>
  <c r="K378" i="1"/>
  <c r="CC329" i="1"/>
  <c r="CD327" i="1"/>
  <c r="CC37" i="1"/>
  <c r="CC277" i="1"/>
  <c r="CE63" i="1"/>
  <c r="BV192" i="1"/>
  <c r="BV176" i="1"/>
  <c r="BV185" i="1"/>
  <c r="BU51" i="1"/>
  <c r="BU44" i="1"/>
  <c r="BX69" i="1"/>
  <c r="BX70" i="1" s="1"/>
  <c r="BX42" i="1" s="1"/>
  <c r="CB262" i="1"/>
  <c r="BV257" i="1"/>
  <c r="BV206" i="1"/>
  <c r="BV219" i="1"/>
  <c r="BV41" i="1"/>
  <c r="BV130" i="1"/>
  <c r="BV139" i="1" s="1"/>
  <c r="BV132" i="1"/>
  <c r="BV129" i="1"/>
  <c r="BV131" i="1"/>
  <c r="BV140" i="1" s="1"/>
  <c r="BV133" i="1"/>
  <c r="BV142" i="1" s="1"/>
  <c r="BV134" i="1"/>
  <c r="BV143" i="1" s="1"/>
  <c r="BV135" i="1"/>
  <c r="BV317" i="1"/>
  <c r="BV316" i="1"/>
  <c r="CE100" i="1"/>
  <c r="P11" i="1"/>
  <c r="BW367" i="1"/>
  <c r="BX365" i="1"/>
  <c r="O365" i="1"/>
  <c r="P163" i="1"/>
  <c r="CC210" i="1"/>
  <c r="CD24" i="1"/>
  <c r="CC319" i="1"/>
  <c r="CA308" i="1"/>
  <c r="BZ307" i="1"/>
  <c r="L351" i="1"/>
  <c r="L335" i="1"/>
  <c r="L336" i="1"/>
  <c r="L36" i="1"/>
  <c r="L378" i="1"/>
  <c r="BW373" i="1"/>
  <c r="BW374" i="1" s="1"/>
  <c r="BW315" i="1"/>
  <c r="BW232" i="1"/>
  <c r="BW208" i="1"/>
  <c r="BW318" i="1"/>
  <c r="BW298" i="1" s="1"/>
  <c r="O59" i="1"/>
  <c r="BW60" i="1"/>
  <c r="BW62" i="1"/>
  <c r="BW61" i="1"/>
  <c r="BW263" i="1"/>
  <c r="BT168" i="1"/>
  <c r="BT152" i="1"/>
  <c r="BT161" i="1"/>
  <c r="BT108" i="1"/>
  <c r="BT86" i="1"/>
  <c r="D351" i="1"/>
  <c r="D335" i="1"/>
  <c r="D336" i="1"/>
  <c r="D36" i="1"/>
  <c r="D378" i="1"/>
  <c r="I351" i="1"/>
  <c r="I335" i="1"/>
  <c r="I336" i="1"/>
  <c r="I36" i="1"/>
  <c r="I378" i="1"/>
  <c r="BY114" i="1"/>
  <c r="BY74" i="1"/>
  <c r="E351" i="1"/>
  <c r="E335" i="1"/>
  <c r="E336" i="1"/>
  <c r="E36" i="1"/>
  <c r="E378" i="1"/>
  <c r="BU84" i="1"/>
  <c r="BU102" i="1"/>
  <c r="BU85" i="1" s="1"/>
  <c r="CE265" i="1"/>
  <c r="Q265" i="1" s="1"/>
  <c r="BZ93" i="1"/>
  <c r="BY89" i="1"/>
  <c r="BY69" i="1" s="1"/>
  <c r="BV175" i="1"/>
  <c r="BV151" i="1"/>
  <c r="BV159" i="1" s="1"/>
  <c r="BV213" i="1"/>
  <c r="CE125" i="1"/>
  <c r="CE304" i="1"/>
  <c r="CD303" i="1"/>
  <c r="CD224" i="1"/>
  <c r="CD112" i="1"/>
  <c r="CD79" i="1"/>
  <c r="CD77" i="1"/>
  <c r="BV50" i="1"/>
  <c r="BT344" i="1"/>
  <c r="BT345" i="1" s="1"/>
  <c r="BT297" i="1"/>
  <c r="BT220" i="1"/>
  <c r="BT207" i="1"/>
  <c r="BT211" i="1" s="1"/>
  <c r="BT29" i="1"/>
  <c r="BT47" i="1"/>
  <c r="BT54" i="1"/>
  <c r="P326" i="1"/>
  <c r="Q326" i="1"/>
  <c r="G351" i="1"/>
  <c r="G336" i="1"/>
  <c r="G335" i="1"/>
  <c r="G36" i="1"/>
  <c r="G378" i="1"/>
  <c r="CA81" i="1"/>
  <c r="BZ73" i="1"/>
  <c r="BZ306" i="1"/>
  <c r="BY305" i="1"/>
  <c r="BY309" i="1"/>
  <c r="BU154" i="1"/>
  <c r="BU55" i="1"/>
  <c r="BU48" i="1"/>
  <c r="BU25" i="1"/>
  <c r="CD126" i="1"/>
  <c r="BV52" i="1" l="1"/>
  <c r="BV116" i="1"/>
  <c r="BV21" i="1"/>
  <c r="BV25" i="1" s="1"/>
  <c r="BW12" i="1"/>
  <c r="BW148" i="1"/>
  <c r="BW105" i="1" s="1"/>
  <c r="BV141" i="1"/>
  <c r="BY70" i="1"/>
  <c r="BY42" i="1" s="1"/>
  <c r="BW15" i="1"/>
  <c r="BW116" i="1" s="1"/>
  <c r="O12" i="1"/>
  <c r="BX10" i="1"/>
  <c r="BX12" i="1" s="1"/>
  <c r="BV237" i="1"/>
  <c r="CC187" i="1"/>
  <c r="O89" i="1"/>
  <c r="O96" i="1" s="1"/>
  <c r="O42" i="1"/>
  <c r="BV138" i="1"/>
  <c r="Q75" i="1"/>
  <c r="CE271" i="1"/>
  <c r="CD240" i="1"/>
  <c r="CD16" i="1"/>
  <c r="CD172" i="1"/>
  <c r="CD181" i="1" s="1"/>
  <c r="CE11" i="1"/>
  <c r="CE76" i="1"/>
  <c r="CE379" i="1"/>
  <c r="Q247" i="1"/>
  <c r="Q379" i="1" s="1"/>
  <c r="CA93" i="1"/>
  <c r="BZ89" i="1"/>
  <c r="BZ69" i="1" s="1"/>
  <c r="BZ70" i="1" s="1"/>
  <c r="BZ42" i="1" s="1"/>
  <c r="BT346" i="1"/>
  <c r="BW177" i="1"/>
  <c r="BW22" i="1"/>
  <c r="O61" i="1"/>
  <c r="BW157" i="1"/>
  <c r="BU344" i="1"/>
  <c r="BU345" i="1" s="1"/>
  <c r="BU220" i="1"/>
  <c r="BU207" i="1"/>
  <c r="BU211" i="1" s="1"/>
  <c r="BU54" i="1"/>
  <c r="BU47" i="1"/>
  <c r="BZ114" i="1"/>
  <c r="BZ74" i="1"/>
  <c r="BX148" i="1"/>
  <c r="CD210" i="1"/>
  <c r="CE24" i="1"/>
  <c r="CE210" i="1" s="1"/>
  <c r="CB81" i="1"/>
  <c r="CA73" i="1"/>
  <c r="P73" i="1" s="1"/>
  <c r="CE303" i="1"/>
  <c r="BY90" i="1"/>
  <c r="BY97" i="1"/>
  <c r="BW153" i="1"/>
  <c r="O60" i="1"/>
  <c r="BW219" i="1"/>
  <c r="BW133" i="1"/>
  <c r="BW134" i="1"/>
  <c r="BW143" i="1" s="1"/>
  <c r="BY365" i="1"/>
  <c r="BX367" i="1"/>
  <c r="CD277" i="1"/>
  <c r="CD225" i="1"/>
  <c r="CD242" i="1" s="1"/>
  <c r="BV154" i="1"/>
  <c r="BV55" i="1"/>
  <c r="BV84" i="1"/>
  <c r="BV102" i="1"/>
  <c r="BV85" i="1" s="1"/>
  <c r="BW322" i="1"/>
  <c r="O263" i="1"/>
  <c r="BW264" i="1"/>
  <c r="O373" i="1"/>
  <c r="O374" i="1" s="1"/>
  <c r="O315" i="1"/>
  <c r="O208" i="1"/>
  <c r="O63" i="1"/>
  <c r="O318" i="1"/>
  <c r="O298" i="1" s="1"/>
  <c r="BW321" i="1"/>
  <c r="BW52" i="1"/>
  <c r="O367" i="1"/>
  <c r="BV144" i="1"/>
  <c r="CD362" i="1"/>
  <c r="CE274" i="1"/>
  <c r="CD250" i="1"/>
  <c r="CE223" i="1"/>
  <c r="CE111" i="1"/>
  <c r="BV51" i="1"/>
  <c r="BV44" i="1"/>
  <c r="BU168" i="1"/>
  <c r="BU161" i="1"/>
  <c r="BU152" i="1"/>
  <c r="BU86" i="1"/>
  <c r="BU108" i="1"/>
  <c r="BZ305" i="1"/>
  <c r="CA306" i="1"/>
  <c r="BZ309" i="1"/>
  <c r="BT30" i="1"/>
  <c r="CC262" i="1"/>
  <c r="CE224" i="1"/>
  <c r="CE79" i="1"/>
  <c r="CE77" i="1"/>
  <c r="P76" i="1"/>
  <c r="P79" i="1" s="1"/>
  <c r="O148" i="1"/>
  <c r="Q76" i="1"/>
  <c r="CE126" i="1"/>
  <c r="BV183" i="1"/>
  <c r="CB308" i="1"/>
  <c r="CA307" i="1"/>
  <c r="BT270" i="1"/>
  <c r="BT258" i="1"/>
  <c r="BT212" i="1"/>
  <c r="BT214" i="1"/>
  <c r="BT160" i="1"/>
  <c r="BT149" i="1"/>
  <c r="BT107" i="1"/>
  <c r="BW197" i="1"/>
  <c r="BW23" i="1"/>
  <c r="O62" i="1"/>
  <c r="P43" i="1"/>
  <c r="P53" i="1"/>
  <c r="P46" i="1"/>
  <c r="BV184" i="1"/>
  <c r="BV173" i="1"/>
  <c r="CE327" i="1"/>
  <c r="Q327" i="1" s="1"/>
  <c r="CD329" i="1"/>
  <c r="CD37" i="1"/>
  <c r="O41" i="1"/>
  <c r="O317" i="1"/>
  <c r="O15" i="1" l="1"/>
  <c r="BW101" i="1"/>
  <c r="O101" i="1" s="1"/>
  <c r="O84" i="1" s="1"/>
  <c r="BW131" i="1"/>
  <c r="BW132" i="1"/>
  <c r="BW257" i="1"/>
  <c r="BW237" i="1" s="1"/>
  <c r="BV48" i="1"/>
  <c r="BW317" i="1"/>
  <c r="BW130" i="1"/>
  <c r="BW139" i="1" s="1"/>
  <c r="BW41" i="1"/>
  <c r="BW18" i="1"/>
  <c r="BW316" i="1"/>
  <c r="BW135" i="1"/>
  <c r="BW144" i="1" s="1"/>
  <c r="BW129" i="1"/>
  <c r="BW138" i="1" s="1"/>
  <c r="BW206" i="1"/>
  <c r="BX15" i="1"/>
  <c r="BY10" i="1"/>
  <c r="BY15" i="1" s="1"/>
  <c r="O206" i="1"/>
  <c r="O219" i="1"/>
  <c r="O90" i="1"/>
  <c r="O237" i="1"/>
  <c r="CE112" i="1"/>
  <c r="O93" i="1"/>
  <c r="O94" i="1" s="1"/>
  <c r="BW21" i="1"/>
  <c r="BW55" i="1" s="1"/>
  <c r="O310" i="1"/>
  <c r="O69" i="1"/>
  <c r="O70" i="1" s="1"/>
  <c r="Q79" i="1"/>
  <c r="BT31" i="1"/>
  <c r="CD53" i="1"/>
  <c r="Q223" i="1"/>
  <c r="CE16" i="1"/>
  <c r="CE53" i="1" s="1"/>
  <c r="CE172" i="1"/>
  <c r="Q11" i="1"/>
  <c r="Q43" i="1" s="1"/>
  <c r="CE240" i="1"/>
  <c r="Q271" i="1"/>
  <c r="Q329" i="1"/>
  <c r="Q37" i="1"/>
  <c r="P81" i="1"/>
  <c r="P74" i="1"/>
  <c r="O129" i="1"/>
  <c r="CB306" i="1"/>
  <c r="CA305" i="1"/>
  <c r="CA309" i="1"/>
  <c r="BU160" i="1"/>
  <c r="BU149" i="1"/>
  <c r="BU150" i="1" s="1"/>
  <c r="BU107" i="1"/>
  <c r="BW203" i="1"/>
  <c r="BW201" i="1"/>
  <c r="O197" i="1"/>
  <c r="BW199" i="1"/>
  <c r="BT238" i="1"/>
  <c r="Q77" i="1"/>
  <c r="O157" i="1"/>
  <c r="O105" i="1"/>
  <c r="CD262" i="1"/>
  <c r="BT259" i="1"/>
  <c r="BT312" i="1" s="1"/>
  <c r="BZ365" i="1"/>
  <c r="BY367" i="1"/>
  <c r="BW140" i="1"/>
  <c r="O131" i="1"/>
  <c r="O257" i="1"/>
  <c r="BW169" i="1"/>
  <c r="BW167" i="1"/>
  <c r="O153" i="1"/>
  <c r="BW164" i="1"/>
  <c r="Q24" i="1"/>
  <c r="Q210" i="1" s="1"/>
  <c r="BX257" i="1"/>
  <c r="BX219" i="1"/>
  <c r="BX206" i="1"/>
  <c r="BX41" i="1"/>
  <c r="BX132" i="1"/>
  <c r="BX131" i="1"/>
  <c r="BX129" i="1"/>
  <c r="BX130" i="1"/>
  <c r="BX133" i="1"/>
  <c r="BX134" i="1"/>
  <c r="BX135" i="1"/>
  <c r="BX317" i="1"/>
  <c r="BU346" i="1"/>
  <c r="BZ90" i="1"/>
  <c r="BZ97" i="1"/>
  <c r="O45" i="1"/>
  <c r="O18" i="1"/>
  <c r="O52" i="1"/>
  <c r="BV174" i="1"/>
  <c r="BV182" i="1" s="1"/>
  <c r="BT272" i="1"/>
  <c r="BT239" i="1"/>
  <c r="P77" i="1"/>
  <c r="O112" i="1"/>
  <c r="P112" i="1"/>
  <c r="Q112" i="1"/>
  <c r="BT35" i="1"/>
  <c r="BT33" i="1"/>
  <c r="P111" i="1"/>
  <c r="Q111" i="1"/>
  <c r="CE362" i="1"/>
  <c r="Q274" i="1"/>
  <c r="Q362" i="1" s="1"/>
  <c r="CE250" i="1"/>
  <c r="Q250" i="1" s="1"/>
  <c r="BW84" i="1"/>
  <c r="BW102" i="1"/>
  <c r="BW85" i="1" s="1"/>
  <c r="O316" i="1"/>
  <c r="O321" i="1"/>
  <c r="O322" i="1"/>
  <c r="P226" i="1"/>
  <c r="O21" i="1"/>
  <c r="BV168" i="1"/>
  <c r="BV161" i="1"/>
  <c r="BV152" i="1"/>
  <c r="BV108" i="1"/>
  <c r="BV86" i="1"/>
  <c r="BX116" i="1"/>
  <c r="BX101" i="1"/>
  <c r="BX52" i="1"/>
  <c r="BX18" i="1"/>
  <c r="O134" i="1"/>
  <c r="BU270" i="1"/>
  <c r="BU258" i="1"/>
  <c r="BU238" i="1" s="1"/>
  <c r="BU212" i="1"/>
  <c r="BU214" i="1"/>
  <c r="BW193" i="1"/>
  <c r="BW191" i="1"/>
  <c r="O177" i="1"/>
  <c r="BW188" i="1"/>
  <c r="CB93" i="1"/>
  <c r="CA89" i="1"/>
  <c r="CA69" i="1" s="1"/>
  <c r="CA70" i="1" s="1"/>
  <c r="CA42" i="1" s="1"/>
  <c r="BW196" i="1"/>
  <c r="BW50" i="1"/>
  <c r="BW209" i="1"/>
  <c r="CE225" i="1"/>
  <c r="CE242" i="1" s="1"/>
  <c r="Q242" i="1" s="1"/>
  <c r="CD319" i="1"/>
  <c r="CD187" i="1"/>
  <c r="CD198" i="1"/>
  <c r="CD163" i="1"/>
  <c r="CE372" i="1"/>
  <c r="CA114" i="1"/>
  <c r="CA74" i="1"/>
  <c r="BY148" i="1"/>
  <c r="CE329" i="1"/>
  <c r="CE37" i="1"/>
  <c r="P327" i="1"/>
  <c r="BT150" i="1"/>
  <c r="CB307" i="1"/>
  <c r="CC308" i="1"/>
  <c r="BW51" i="1"/>
  <c r="BW44" i="1"/>
  <c r="BW323" i="1"/>
  <c r="O264" i="1"/>
  <c r="BX59" i="1"/>
  <c r="BV344" i="1"/>
  <c r="BV345" i="1" s="1"/>
  <c r="BV207" i="1"/>
  <c r="BV211" i="1" s="1"/>
  <c r="BV220" i="1"/>
  <c r="BV47" i="1"/>
  <c r="BV54" i="1"/>
  <c r="CE277" i="1"/>
  <c r="BW142" i="1"/>
  <c r="O133" i="1"/>
  <c r="CC81" i="1"/>
  <c r="CB73" i="1"/>
  <c r="BX157" i="1"/>
  <c r="BX105" i="1"/>
  <c r="BW178" i="1"/>
  <c r="BW56" i="1"/>
  <c r="BW49" i="1"/>
  <c r="O22" i="1"/>
  <c r="BW141" i="1" l="1"/>
  <c r="O132" i="1"/>
  <c r="BZ10" i="1"/>
  <c r="O135" i="1"/>
  <c r="O144" i="1" s="1"/>
  <c r="BW48" i="1"/>
  <c r="BY12" i="1"/>
  <c r="O130" i="1"/>
  <c r="O121" i="1" s="1"/>
  <c r="BW154" i="1"/>
  <c r="BW161" i="1" s="1"/>
  <c r="BW25" i="1"/>
  <c r="O139" i="1"/>
  <c r="P240" i="1"/>
  <c r="Q240" i="1"/>
  <c r="BT1" i="1"/>
  <c r="P114" i="1"/>
  <c r="P82" i="1"/>
  <c r="Q172" i="1"/>
  <c r="Q181" i="1" s="1"/>
  <c r="CE181" i="1"/>
  <c r="O114" i="1"/>
  <c r="Q16" i="1"/>
  <c r="O49" i="1"/>
  <c r="O56" i="1"/>
  <c r="BV270" i="1"/>
  <c r="BV258" i="1"/>
  <c r="BV212" i="1"/>
  <c r="BV214" i="1"/>
  <c r="O323" i="1"/>
  <c r="BY116" i="1"/>
  <c r="BY101" i="1"/>
  <c r="BY18" i="1"/>
  <c r="BY52" i="1"/>
  <c r="O188" i="1"/>
  <c r="O190" i="1" s="1"/>
  <c r="BW190" i="1"/>
  <c r="O125" i="1"/>
  <c r="O143" i="1"/>
  <c r="O55" i="1"/>
  <c r="O48" i="1"/>
  <c r="BT335" i="1"/>
  <c r="BT336" i="1"/>
  <c r="BT278" i="1"/>
  <c r="BT231" i="1"/>
  <c r="BT36" i="1"/>
  <c r="BX143" i="1"/>
  <c r="BX140" i="1"/>
  <c r="O164" i="1"/>
  <c r="O166" i="1" s="1"/>
  <c r="BW166" i="1"/>
  <c r="O303" i="1"/>
  <c r="O304" i="1" s="1"/>
  <c r="O140" i="1"/>
  <c r="O122" i="1"/>
  <c r="CE262" i="1"/>
  <c r="CB114" i="1"/>
  <c r="CB74" i="1"/>
  <c r="Q277" i="1"/>
  <c r="BT115" i="1"/>
  <c r="BT158" i="1"/>
  <c r="BT83" i="1"/>
  <c r="BT106" i="1"/>
  <c r="BY157" i="1"/>
  <c r="BY105" i="1"/>
  <c r="Q319" i="1"/>
  <c r="Q225" i="1"/>
  <c r="Q224" i="1" s="1"/>
  <c r="Q226" i="1" s="1"/>
  <c r="CE319" i="1"/>
  <c r="CE198" i="1"/>
  <c r="Q198" i="1" s="1"/>
  <c r="CE187" i="1"/>
  <c r="Q187" i="1" s="1"/>
  <c r="CE163" i="1"/>
  <c r="Q163" i="1" s="1"/>
  <c r="BW202" i="1"/>
  <c r="O196" i="1"/>
  <c r="O193" i="1"/>
  <c r="O191" i="1"/>
  <c r="BX84" i="1"/>
  <c r="BX102" i="1"/>
  <c r="BX85" i="1" s="1"/>
  <c r="BV107" i="1"/>
  <c r="BV160" i="1"/>
  <c r="BV149" i="1"/>
  <c r="O51" i="1"/>
  <c r="O44" i="1"/>
  <c r="O25" i="1"/>
  <c r="BX142" i="1"/>
  <c r="BX141" i="1"/>
  <c r="O169" i="1"/>
  <c r="O167" i="1"/>
  <c r="BX237" i="1"/>
  <c r="O199" i="1"/>
  <c r="BW168" i="1"/>
  <c r="O154" i="1"/>
  <c r="BW192" i="1"/>
  <c r="BW176" i="1"/>
  <c r="BW185" i="1"/>
  <c r="O178" i="1"/>
  <c r="CD81" i="1"/>
  <c r="CC73" i="1"/>
  <c r="BV346" i="1"/>
  <c r="BZ148" i="1"/>
  <c r="CA10" i="1"/>
  <c r="BZ15" i="1"/>
  <c r="BZ12" i="1"/>
  <c r="Q372" i="1"/>
  <c r="CA97" i="1"/>
  <c r="CA90" i="1"/>
  <c r="BV238" i="1"/>
  <c r="BX44" i="1"/>
  <c r="BX51" i="1"/>
  <c r="BX139" i="1"/>
  <c r="BT233" i="1"/>
  <c r="BT342" i="1"/>
  <c r="O203" i="1"/>
  <c r="O201" i="1"/>
  <c r="BU158" i="1"/>
  <c r="BU115" i="1"/>
  <c r="BU83" i="1"/>
  <c r="BU106" i="1"/>
  <c r="CB305" i="1"/>
  <c r="CC306" i="1"/>
  <c r="CB309" i="1"/>
  <c r="BW344" i="1"/>
  <c r="BW345" i="1" s="1"/>
  <c r="BW207" i="1"/>
  <c r="BW211" i="1" s="1"/>
  <c r="BW220" i="1"/>
  <c r="BW47" i="1"/>
  <c r="BW54" i="1"/>
  <c r="O124" i="1"/>
  <c r="O142" i="1"/>
  <c r="BX373" i="1"/>
  <c r="BX374" i="1" s="1"/>
  <c r="BX315" i="1"/>
  <c r="BX232" i="1"/>
  <c r="BX208" i="1"/>
  <c r="BX318" i="1"/>
  <c r="BX298" i="1" s="1"/>
  <c r="BX60" i="1"/>
  <c r="BX62" i="1"/>
  <c r="BX61" i="1"/>
  <c r="BX263" i="1"/>
  <c r="CC307" i="1"/>
  <c r="CD308" i="1"/>
  <c r="P329" i="1"/>
  <c r="P37" i="1"/>
  <c r="BY257" i="1"/>
  <c r="BY219" i="1"/>
  <c r="BY206" i="1"/>
  <c r="BY41" i="1"/>
  <c r="BY132" i="1"/>
  <c r="BY141" i="1" s="1"/>
  <c r="BY133" i="1"/>
  <c r="BY142" i="1" s="1"/>
  <c r="BY130" i="1"/>
  <c r="BY139" i="1" s="1"/>
  <c r="BY129" i="1"/>
  <c r="BY131" i="1"/>
  <c r="BY140" i="1" s="1"/>
  <c r="BY134" i="1"/>
  <c r="BY143" i="1" s="1"/>
  <c r="BY135" i="1"/>
  <c r="BY144" i="1" s="1"/>
  <c r="BY317" i="1"/>
  <c r="BW213" i="1"/>
  <c r="BW175" i="1"/>
  <c r="BW151" i="1"/>
  <c r="O209" i="1"/>
  <c r="O213" i="1" s="1"/>
  <c r="CC93" i="1"/>
  <c r="CB89" i="1"/>
  <c r="CB69" i="1" s="1"/>
  <c r="CB70" i="1" s="1"/>
  <c r="CB42" i="1" s="1"/>
  <c r="BU272" i="1"/>
  <c r="BU239" i="1"/>
  <c r="O250" i="1"/>
  <c r="P250" i="1"/>
  <c r="BX144" i="1"/>
  <c r="BX138" i="1"/>
  <c r="BZ367" i="1"/>
  <c r="CA365" i="1"/>
  <c r="O120" i="1"/>
  <c r="O138" i="1"/>
  <c r="BW86" i="1" l="1"/>
  <c r="BW152" i="1"/>
  <c r="BW108" i="1"/>
  <c r="O123" i="1"/>
  <c r="O141" i="1"/>
  <c r="Q46" i="1"/>
  <c r="Q53" i="1"/>
  <c r="BY138" i="1"/>
  <c r="BW159" i="1"/>
  <c r="O151" i="1"/>
  <c r="O159" i="1" s="1"/>
  <c r="CD93" i="1"/>
  <c r="CC89" i="1"/>
  <c r="CC69" i="1" s="1"/>
  <c r="CC70" i="1" s="1"/>
  <c r="CC42" i="1" s="1"/>
  <c r="BX153" i="1"/>
  <c r="BX21" i="1"/>
  <c r="BZ257" i="1"/>
  <c r="BZ237" i="1" s="1"/>
  <c r="BZ206" i="1"/>
  <c r="BZ219" i="1"/>
  <c r="BZ41" i="1"/>
  <c r="BZ133" i="1"/>
  <c r="BZ142" i="1" s="1"/>
  <c r="BZ132" i="1"/>
  <c r="BZ141" i="1" s="1"/>
  <c r="BZ131" i="1"/>
  <c r="BZ140" i="1" s="1"/>
  <c r="BZ129" i="1"/>
  <c r="BZ130" i="1"/>
  <c r="BZ139" i="1" s="1"/>
  <c r="BZ134" i="1"/>
  <c r="BZ143" i="1" s="1"/>
  <c r="BZ317" i="1"/>
  <c r="BZ135" i="1"/>
  <c r="O192" i="1"/>
  <c r="O185" i="1"/>
  <c r="O168" i="1"/>
  <c r="O161" i="1"/>
  <c r="O86" i="1"/>
  <c r="O108" i="1"/>
  <c r="BV150" i="1"/>
  <c r="O202" i="1"/>
  <c r="O100" i="1"/>
  <c r="O102" i="1" s="1"/>
  <c r="O85" i="1" s="1"/>
  <c r="O116" i="1"/>
  <c r="BX322" i="1"/>
  <c r="P263" i="1"/>
  <c r="BX264" i="1"/>
  <c r="BX316" i="1"/>
  <c r="BX321" i="1"/>
  <c r="BW270" i="1"/>
  <c r="BW258" i="1"/>
  <c r="BW238" i="1" s="1"/>
  <c r="O238" i="1" s="1"/>
  <c r="BW212" i="1"/>
  <c r="BW214" i="1"/>
  <c r="CD306" i="1"/>
  <c r="CC305" i="1"/>
  <c r="CC309" i="1"/>
  <c r="BT357" i="1"/>
  <c r="BT359" i="1" s="1"/>
  <c r="BT348" i="1"/>
  <c r="BT349" i="1"/>
  <c r="BZ101" i="1"/>
  <c r="BZ116" i="1"/>
  <c r="BZ18" i="1"/>
  <c r="BZ52" i="1"/>
  <c r="BW160" i="1"/>
  <c r="BW149" i="1"/>
  <c r="BW150" i="1" s="1"/>
  <c r="BW107" i="1"/>
  <c r="BT241" i="1"/>
  <c r="BY51" i="1"/>
  <c r="BY44" i="1"/>
  <c r="BV272" i="1"/>
  <c r="BV239" i="1"/>
  <c r="BX177" i="1"/>
  <c r="BX22" i="1"/>
  <c r="CA148" i="1"/>
  <c r="P148" i="1" s="1"/>
  <c r="CA15" i="1"/>
  <c r="P15" i="1" s="1"/>
  <c r="CA12" i="1"/>
  <c r="CB10" i="1"/>
  <c r="P10" i="1"/>
  <c r="CC114" i="1"/>
  <c r="CC74" i="1"/>
  <c r="BW184" i="1"/>
  <c r="BW173" i="1"/>
  <c r="O176" i="1"/>
  <c r="O184" i="1" s="1"/>
  <c r="O344" i="1"/>
  <c r="O345" i="1" s="1"/>
  <c r="O207" i="1"/>
  <c r="O211" i="1" s="1"/>
  <c r="O220" i="1"/>
  <c r="O47" i="1"/>
  <c r="O54" i="1"/>
  <c r="BT378" i="1"/>
  <c r="BT280" i="1"/>
  <c r="BY84" i="1"/>
  <c r="BY102" i="1"/>
  <c r="BY85" i="1" s="1"/>
  <c r="CB365" i="1"/>
  <c r="CA367" i="1"/>
  <c r="P365" i="1"/>
  <c r="CB97" i="1"/>
  <c r="CB90" i="1"/>
  <c r="BW183" i="1"/>
  <c r="O175" i="1"/>
  <c r="O183" i="1" s="1"/>
  <c r="CE308" i="1"/>
  <c r="CE307" i="1" s="1"/>
  <c r="CD307" i="1"/>
  <c r="BX197" i="1"/>
  <c r="BX23" i="1"/>
  <c r="BW346" i="1"/>
  <c r="BZ157" i="1"/>
  <c r="BZ105" i="1"/>
  <c r="CE81" i="1"/>
  <c r="CD73" i="1"/>
  <c r="BY237" i="1"/>
  <c r="O152" i="1"/>
  <c r="CE73" i="1" l="1"/>
  <c r="Q73" i="1" s="1"/>
  <c r="P52" i="1"/>
  <c r="P45" i="1"/>
  <c r="P18" i="1"/>
  <c r="O346" i="1"/>
  <c r="P367" i="1"/>
  <c r="BT361" i="1"/>
  <c r="BT363" i="1" s="1"/>
  <c r="BT338" i="1"/>
  <c r="BT339" i="1"/>
  <c r="BT350" i="1"/>
  <c r="BT351" i="1"/>
  <c r="CD114" i="1"/>
  <c r="CD74" i="1"/>
  <c r="BX203" i="1"/>
  <c r="BX201" i="1"/>
  <c r="BX199" i="1"/>
  <c r="CB367" i="1"/>
  <c r="CC365" i="1"/>
  <c r="O212" i="1"/>
  <c r="O214" i="1"/>
  <c r="CA257" i="1"/>
  <c r="CA219" i="1"/>
  <c r="CA206" i="1"/>
  <c r="CA41" i="1"/>
  <c r="CA129" i="1"/>
  <c r="CA130" i="1"/>
  <c r="CA139" i="1" s="1"/>
  <c r="CA132" i="1"/>
  <c r="CA131" i="1"/>
  <c r="CA133" i="1"/>
  <c r="CA134" i="1"/>
  <c r="CA143" i="1" s="1"/>
  <c r="CA135" i="1"/>
  <c r="CA144" i="1" s="1"/>
  <c r="CA317" i="1"/>
  <c r="O258" i="1"/>
  <c r="BX323" i="1"/>
  <c r="BY59" i="1"/>
  <c r="BX169" i="1"/>
  <c r="BX167" i="1"/>
  <c r="BX164" i="1"/>
  <c r="BW174" i="1"/>
  <c r="BW182" i="1" s="1"/>
  <c r="O173" i="1"/>
  <c r="O174" i="1" s="1"/>
  <c r="O182" i="1" s="1"/>
  <c r="CA116" i="1"/>
  <c r="CA101" i="1"/>
  <c r="CA52" i="1"/>
  <c r="CA18" i="1"/>
  <c r="BX193" i="1"/>
  <c r="BX191" i="1"/>
  <c r="BX188" i="1"/>
  <c r="BZ84" i="1"/>
  <c r="BZ102" i="1"/>
  <c r="BZ85" i="1" s="1"/>
  <c r="CE306" i="1"/>
  <c r="CD305" i="1"/>
  <c r="CD309" i="1"/>
  <c r="BW272" i="1"/>
  <c r="BW239" i="1"/>
  <c r="O270" i="1"/>
  <c r="O272" i="1" s="1"/>
  <c r="O149" i="1"/>
  <c r="O150" i="1" s="1"/>
  <c r="BX154" i="1"/>
  <c r="BX55" i="1"/>
  <c r="BX48" i="1"/>
  <c r="BX25" i="1"/>
  <c r="CC90" i="1"/>
  <c r="CC97" i="1"/>
  <c r="P157" i="1"/>
  <c r="P105" i="1"/>
  <c r="BX196" i="1"/>
  <c r="BX50" i="1"/>
  <c r="BX209" i="1"/>
  <c r="P42" i="1"/>
  <c r="P89" i="1"/>
  <c r="P12" i="1"/>
  <c r="CA157" i="1"/>
  <c r="CA105" i="1"/>
  <c r="BX178" i="1"/>
  <c r="BX49" i="1"/>
  <c r="BX56" i="1"/>
  <c r="BW158" i="1"/>
  <c r="BW115" i="1"/>
  <c r="BW106" i="1"/>
  <c r="BW83" i="1"/>
  <c r="BV158" i="1"/>
  <c r="BV106" i="1"/>
  <c r="BV115" i="1"/>
  <c r="BV83" i="1"/>
  <c r="CE93" i="1"/>
  <c r="CE89" i="1" s="1"/>
  <c r="CD89" i="1"/>
  <c r="O107" i="1"/>
  <c r="O160" i="1"/>
  <c r="CB148" i="1"/>
  <c r="CC10" i="1"/>
  <c r="CB15" i="1"/>
  <c r="CB12" i="1"/>
  <c r="BT354" i="1"/>
  <c r="BT243" i="1"/>
  <c r="BZ51" i="1"/>
  <c r="BZ44" i="1"/>
  <c r="BZ144" i="1"/>
  <c r="BZ138" i="1"/>
  <c r="CE74" i="1" l="1"/>
  <c r="P135" i="1"/>
  <c r="P144" i="1" s="1"/>
  <c r="P134" i="1"/>
  <c r="P125" i="1" s="1"/>
  <c r="CE114" i="1"/>
  <c r="BT353" i="1"/>
  <c r="P130" i="1"/>
  <c r="P121" i="1" s="1"/>
  <c r="CA138" i="1"/>
  <c r="CD90" i="1"/>
  <c r="CD97" i="1"/>
  <c r="CA84" i="1"/>
  <c r="CA102" i="1"/>
  <c r="CA85" i="1" s="1"/>
  <c r="Q114" i="1"/>
  <c r="Q81" i="1"/>
  <c r="Q74" i="1"/>
  <c r="CB257" i="1"/>
  <c r="CB237" i="1" s="1"/>
  <c r="CB219" i="1"/>
  <c r="CB206" i="1"/>
  <c r="CB41" i="1"/>
  <c r="CB132" i="1"/>
  <c r="CB130" i="1"/>
  <c r="CB129" i="1"/>
  <c r="CB133" i="1"/>
  <c r="CB131" i="1"/>
  <c r="CB134" i="1"/>
  <c r="CB135" i="1"/>
  <c r="CB317" i="1"/>
  <c r="P219" i="1"/>
  <c r="P206" i="1"/>
  <c r="P41" i="1"/>
  <c r="P310" i="1"/>
  <c r="P317" i="1"/>
  <c r="O115" i="1"/>
  <c r="O158" i="1"/>
  <c r="O106" i="1"/>
  <c r="O83" i="1"/>
  <c r="P129" i="1"/>
  <c r="CB116" i="1"/>
  <c r="CB101" i="1"/>
  <c r="CB52" i="1"/>
  <c r="CB18" i="1"/>
  <c r="P90" i="1"/>
  <c r="P93" i="1"/>
  <c r="P94" i="1" s="1"/>
  <c r="P69" i="1"/>
  <c r="P70" i="1" s="1"/>
  <c r="BX168" i="1"/>
  <c r="BX152" i="1"/>
  <c r="BX161" i="1"/>
  <c r="BX86" i="1"/>
  <c r="BX108" i="1"/>
  <c r="P44" i="1"/>
  <c r="P51" i="1"/>
  <c r="CC148" i="1"/>
  <c r="CC15" i="1"/>
  <c r="CC12" i="1"/>
  <c r="P164" i="1"/>
  <c r="P166" i="1" s="1"/>
  <c r="BX166" i="1"/>
  <c r="BY373" i="1"/>
  <c r="BY374" i="1" s="1"/>
  <c r="BY315" i="1"/>
  <c r="BY232" i="1"/>
  <c r="BY208" i="1"/>
  <c r="BY318" i="1"/>
  <c r="BY298" i="1" s="1"/>
  <c r="BY60" i="1"/>
  <c r="BY263" i="1"/>
  <c r="BY61" i="1"/>
  <c r="BY62" i="1"/>
  <c r="O307" i="1"/>
  <c r="O308" i="1" s="1"/>
  <c r="CB157" i="1"/>
  <c r="CB105" i="1"/>
  <c r="CE97" i="1"/>
  <c r="P97" i="1" s="1"/>
  <c r="P96" i="1" s="1"/>
  <c r="CE90" i="1"/>
  <c r="BT368" i="1"/>
  <c r="BT273" i="1" s="1"/>
  <c r="BT369" i="1"/>
  <c r="BX185" i="1"/>
  <c r="BX192" i="1"/>
  <c r="BX176" i="1"/>
  <c r="BX213" i="1"/>
  <c r="BX175" i="1"/>
  <c r="BX151" i="1"/>
  <c r="CE305" i="1"/>
  <c r="CE309" i="1"/>
  <c r="P188" i="1"/>
  <c r="P190" i="1" s="1"/>
  <c r="BX190" i="1"/>
  <c r="CE69" i="1"/>
  <c r="CA140" i="1"/>
  <c r="P131" i="1"/>
  <c r="O305" i="1"/>
  <c r="O306" i="1" s="1"/>
  <c r="BX202" i="1"/>
  <c r="BX344" i="1"/>
  <c r="BX345" i="1" s="1"/>
  <c r="BX220" i="1"/>
  <c r="BX207" i="1"/>
  <c r="BX211" i="1" s="1"/>
  <c r="BX54" i="1"/>
  <c r="BX47" i="1"/>
  <c r="CA142" i="1"/>
  <c r="P133" i="1"/>
  <c r="P257" i="1"/>
  <c r="P199" i="1"/>
  <c r="CA237" i="1"/>
  <c r="P101" i="1"/>
  <c r="P84" i="1" s="1"/>
  <c r="CA51" i="1"/>
  <c r="CA44" i="1"/>
  <c r="CA141" i="1"/>
  <c r="P132" i="1"/>
  <c r="CD365" i="1"/>
  <c r="CC367" i="1"/>
  <c r="CD69" i="1"/>
  <c r="CD70" i="1" s="1"/>
  <c r="CD42" i="1" s="1"/>
  <c r="CD10" i="1" l="1"/>
  <c r="CD148" i="1" s="1"/>
  <c r="P143" i="1"/>
  <c r="P139" i="1"/>
  <c r="Q82" i="1"/>
  <c r="Q97" i="1"/>
  <c r="BY177" i="1"/>
  <c r="BY22" i="1"/>
  <c r="BX160" i="1"/>
  <c r="BX149" i="1"/>
  <c r="BX107" i="1"/>
  <c r="CB144" i="1"/>
  <c r="CB138" i="1"/>
  <c r="P124" i="1"/>
  <c r="P142" i="1"/>
  <c r="BX159" i="1"/>
  <c r="O309" i="1"/>
  <c r="CE70" i="1"/>
  <c r="CE42" i="1" s="1"/>
  <c r="BX183" i="1"/>
  <c r="BX184" i="1"/>
  <c r="BX173" i="1"/>
  <c r="BT286" i="1"/>
  <c r="BT285" i="1"/>
  <c r="BT281" i="1"/>
  <c r="BY322" i="1"/>
  <c r="Q263" i="1"/>
  <c r="BY264" i="1"/>
  <c r="CC257" i="1"/>
  <c r="CC237" i="1" s="1"/>
  <c r="CC219" i="1"/>
  <c r="CC206" i="1"/>
  <c r="CC41" i="1"/>
  <c r="CC133" i="1"/>
  <c r="CC142" i="1" s="1"/>
  <c r="CC129" i="1"/>
  <c r="CC132" i="1"/>
  <c r="CC141" i="1" s="1"/>
  <c r="CC131" i="1"/>
  <c r="CC140" i="1" s="1"/>
  <c r="CC130" i="1"/>
  <c r="CC139" i="1" s="1"/>
  <c r="CC134" i="1"/>
  <c r="CC143" i="1" s="1"/>
  <c r="CC135" i="1"/>
  <c r="CC144" i="1" s="1"/>
  <c r="CC317" i="1"/>
  <c r="CB84" i="1"/>
  <c r="CB102" i="1"/>
  <c r="CB85" i="1" s="1"/>
  <c r="P303" i="1"/>
  <c r="P304" i="1" s="1"/>
  <c r="CB143" i="1"/>
  <c r="CB139" i="1"/>
  <c r="P140" i="1"/>
  <c r="P122" i="1"/>
  <c r="BY153" i="1"/>
  <c r="BY21" i="1"/>
  <c r="CB51" i="1"/>
  <c r="CB44" i="1"/>
  <c r="CB140" i="1"/>
  <c r="CB141" i="1"/>
  <c r="P141" i="1"/>
  <c r="P123" i="1"/>
  <c r="BX346" i="1"/>
  <c r="CC116" i="1"/>
  <c r="CC101" i="1"/>
  <c r="CC52" i="1"/>
  <c r="CC18" i="1"/>
  <c r="CD367" i="1"/>
  <c r="CE365" i="1"/>
  <c r="BX270" i="1"/>
  <c r="BX258" i="1"/>
  <c r="BX212" i="1"/>
  <c r="BX214" i="1"/>
  <c r="BY197" i="1"/>
  <c r="BY23" i="1"/>
  <c r="BY316" i="1"/>
  <c r="BY321" i="1"/>
  <c r="CC157" i="1"/>
  <c r="CC105" i="1"/>
  <c r="P120" i="1"/>
  <c r="P138" i="1"/>
  <c r="CB142" i="1"/>
  <c r="CD12" i="1" l="1"/>
  <c r="CD219" i="1" s="1"/>
  <c r="CD15" i="1"/>
  <c r="CD18" i="1" s="1"/>
  <c r="CC138" i="1"/>
  <c r="CE10" i="1"/>
  <c r="CE148" i="1" s="1"/>
  <c r="Q148" i="1" s="1"/>
  <c r="BY203" i="1"/>
  <c r="BY201" i="1"/>
  <c r="BY199" i="1"/>
  <c r="CE367" i="1"/>
  <c r="Q365" i="1"/>
  <c r="BY323" i="1"/>
  <c r="BZ59" i="1"/>
  <c r="BX150" i="1"/>
  <c r="CD101" i="1"/>
  <c r="CD116" i="1"/>
  <c r="CC51" i="1"/>
  <c r="CC44" i="1"/>
  <c r="P100" i="1"/>
  <c r="P102" i="1" s="1"/>
  <c r="P85" i="1" s="1"/>
  <c r="P116" i="1"/>
  <c r="BY196" i="1"/>
  <c r="BY50" i="1"/>
  <c r="BY209" i="1"/>
  <c r="CC84" i="1"/>
  <c r="CC102" i="1"/>
  <c r="CC85" i="1" s="1"/>
  <c r="BY154" i="1"/>
  <c r="BY55" i="1"/>
  <c r="BY48" i="1"/>
  <c r="BY25" i="1"/>
  <c r="BX174" i="1"/>
  <c r="BX182" i="1" s="1"/>
  <c r="CD157" i="1"/>
  <c r="CD105" i="1"/>
  <c r="BY193" i="1"/>
  <c r="BY191" i="1"/>
  <c r="BY188" i="1"/>
  <c r="BX238" i="1"/>
  <c r="CD206" i="1"/>
  <c r="CD41" i="1"/>
  <c r="CD131" i="1"/>
  <c r="CD132" i="1"/>
  <c r="CD134" i="1"/>
  <c r="CD317" i="1"/>
  <c r="BX272" i="1"/>
  <c r="BX239" i="1"/>
  <c r="BY169" i="1"/>
  <c r="BY167" i="1"/>
  <c r="BY164" i="1"/>
  <c r="BT288" i="1"/>
  <c r="BT246" i="1"/>
  <c r="BU26" i="1"/>
  <c r="BY178" i="1"/>
  <c r="BY56" i="1"/>
  <c r="BY49" i="1"/>
  <c r="CD130" i="1" l="1"/>
  <c r="CD133" i="1"/>
  <c r="CD257" i="1"/>
  <c r="CD135" i="1"/>
  <c r="CD144" i="1" s="1"/>
  <c r="CD129" i="1"/>
  <c r="CD52" i="1"/>
  <c r="Q10" i="1"/>
  <c r="Q42" i="1" s="1"/>
  <c r="CE12" i="1"/>
  <c r="CE41" i="1" s="1"/>
  <c r="CE15" i="1"/>
  <c r="CE116" i="1" s="1"/>
  <c r="CD138" i="1"/>
  <c r="BY185" i="1"/>
  <c r="BY192" i="1"/>
  <c r="BY176" i="1"/>
  <c r="BU296" i="1"/>
  <c r="BU295" i="1"/>
  <c r="BU297" i="1"/>
  <c r="CD84" i="1"/>
  <c r="CD102" i="1"/>
  <c r="CD85" i="1" s="1"/>
  <c r="BZ373" i="1"/>
  <c r="BZ374" i="1" s="1"/>
  <c r="BZ315" i="1"/>
  <c r="BZ208" i="1"/>
  <c r="BZ232" i="1"/>
  <c r="BZ318" i="1"/>
  <c r="BZ298" i="1" s="1"/>
  <c r="BZ60" i="1"/>
  <c r="BZ62" i="1"/>
  <c r="BZ263" i="1"/>
  <c r="BZ61" i="1"/>
  <c r="BT251" i="1"/>
  <c r="BT256" i="1" s="1"/>
  <c r="Q164" i="1"/>
  <c r="Q166" i="1" s="1"/>
  <c r="BY166" i="1"/>
  <c r="CD143" i="1"/>
  <c r="CD140" i="1"/>
  <c r="Q188" i="1"/>
  <c r="Q190" i="1" s="1"/>
  <c r="BY190" i="1"/>
  <c r="Q105" i="1"/>
  <c r="Q157" i="1"/>
  <c r="BY202" i="1"/>
  <c r="CD51" i="1"/>
  <c r="CD44" i="1"/>
  <c r="BX115" i="1"/>
  <c r="BX158" i="1"/>
  <c r="BX106" i="1"/>
  <c r="BX83" i="1"/>
  <c r="CD139" i="1"/>
  <c r="CD142" i="1"/>
  <c r="CD237" i="1"/>
  <c r="BY168" i="1"/>
  <c r="BY161" i="1"/>
  <c r="BY152" i="1"/>
  <c r="BY86" i="1"/>
  <c r="BY108" i="1"/>
  <c r="BY213" i="1"/>
  <c r="BY175" i="1"/>
  <c r="BY151" i="1"/>
  <c r="Q367" i="1"/>
  <c r="CD141" i="1"/>
  <c r="BY344" i="1"/>
  <c r="BY345" i="1" s="1"/>
  <c r="BY220" i="1"/>
  <c r="BY207" i="1"/>
  <c r="BY211" i="1" s="1"/>
  <c r="BY54" i="1"/>
  <c r="BY47" i="1"/>
  <c r="Q199" i="1"/>
  <c r="CE157" i="1"/>
  <c r="CE105" i="1"/>
  <c r="CE257" i="1" l="1"/>
  <c r="CE237" i="1" s="1"/>
  <c r="Q89" i="1"/>
  <c r="CE135" i="1"/>
  <c r="CE144" i="1" s="1"/>
  <c r="CE130" i="1"/>
  <c r="CE139" i="1" s="1"/>
  <c r="CE52" i="1"/>
  <c r="CE101" i="1"/>
  <c r="CE84" i="1" s="1"/>
  <c r="CE134" i="1"/>
  <c r="CE143" i="1" s="1"/>
  <c r="CE129" i="1"/>
  <c r="CE131" i="1"/>
  <c r="CE140" i="1" s="1"/>
  <c r="CE206" i="1"/>
  <c r="CE132" i="1"/>
  <c r="CE141" i="1" s="1"/>
  <c r="CE219" i="1"/>
  <c r="Q12" i="1"/>
  <c r="CE18" i="1"/>
  <c r="CE51" i="1" s="1"/>
  <c r="Q15" i="1"/>
  <c r="Q18" i="1" s="1"/>
  <c r="CE317" i="1"/>
  <c r="CE133" i="1"/>
  <c r="CE102" i="1"/>
  <c r="CE85" i="1" s="1"/>
  <c r="BY160" i="1"/>
  <c r="BY149" i="1"/>
  <c r="BY107" i="1"/>
  <c r="P237" i="1"/>
  <c r="Q237" i="1"/>
  <c r="BY184" i="1"/>
  <c r="BY173" i="1"/>
  <c r="BZ197" i="1"/>
  <c r="BZ23" i="1"/>
  <c r="Q135" i="1"/>
  <c r="Q144" i="1" s="1"/>
  <c r="Q93" i="1"/>
  <c r="Q94" i="1" s="1"/>
  <c r="Q90" i="1"/>
  <c r="Q69" i="1"/>
  <c r="Q70" i="1" s="1"/>
  <c r="Q96" i="1"/>
  <c r="BY159" i="1"/>
  <c r="BT343" i="1"/>
  <c r="BT252" i="1"/>
  <c r="BT261" i="1"/>
  <c r="BT2" i="1"/>
  <c r="BU27" i="1"/>
  <c r="BT287" i="1"/>
  <c r="BZ177" i="1"/>
  <c r="BZ22" i="1"/>
  <c r="BZ316" i="1"/>
  <c r="BZ321" i="1"/>
  <c r="Q129" i="1"/>
  <c r="BZ153" i="1"/>
  <c r="BZ21" i="1"/>
  <c r="BY346" i="1"/>
  <c r="BY270" i="1"/>
  <c r="BY258" i="1"/>
  <c r="BY212" i="1"/>
  <c r="BY214" i="1"/>
  <c r="Q132" i="1"/>
  <c r="CE44" i="1"/>
  <c r="BY183" i="1"/>
  <c r="Q257" i="1"/>
  <c r="Q41" i="1"/>
  <c r="Q310" i="1"/>
  <c r="BZ322" i="1"/>
  <c r="BZ264" i="1"/>
  <c r="CE138" i="1" l="1"/>
  <c r="Q130" i="1"/>
  <c r="Q139" i="1" s="1"/>
  <c r="Q134" i="1"/>
  <c r="Q125" i="1" s="1"/>
  <c r="Q101" i="1"/>
  <c r="Q84" i="1" s="1"/>
  <c r="Q219" i="1"/>
  <c r="Q317" i="1"/>
  <c r="Q206" i="1"/>
  <c r="Q131" i="1"/>
  <c r="Q52" i="1"/>
  <c r="Q45" i="1"/>
  <c r="CE142" i="1"/>
  <c r="Q133" i="1"/>
  <c r="BZ193" i="1"/>
  <c r="BZ191" i="1"/>
  <c r="BZ188" i="1"/>
  <c r="BT301" i="1"/>
  <c r="BT302" i="1"/>
  <c r="BT267" i="1"/>
  <c r="BT282" i="1" s="1"/>
  <c r="BZ169" i="1"/>
  <c r="BZ167" i="1"/>
  <c r="BZ164" i="1"/>
  <c r="BT292" i="1"/>
  <c r="BT290" i="1"/>
  <c r="BT293" i="1"/>
  <c r="BT289" i="1"/>
  <c r="BZ196" i="1"/>
  <c r="BZ50" i="1"/>
  <c r="BZ209" i="1"/>
  <c r="Q44" i="1"/>
  <c r="Q51" i="1"/>
  <c r="BY238" i="1"/>
  <c r="Q138" i="1"/>
  <c r="Q120" i="1"/>
  <c r="BZ178" i="1"/>
  <c r="BZ56" i="1"/>
  <c r="BZ49" i="1"/>
  <c r="BU29" i="1"/>
  <c r="BZ323" i="1"/>
  <c r="CA59" i="1"/>
  <c r="Q303" i="1"/>
  <c r="Q304" i="1" s="1"/>
  <c r="Q141" i="1"/>
  <c r="Q123" i="1"/>
  <c r="BY272" i="1"/>
  <c r="BY239" i="1"/>
  <c r="BZ154" i="1"/>
  <c r="BZ55" i="1"/>
  <c r="BZ48" i="1"/>
  <c r="BZ25" i="1"/>
  <c r="BZ203" i="1"/>
  <c r="BZ201" i="1"/>
  <c r="BZ199" i="1"/>
  <c r="BY174" i="1"/>
  <c r="BY182" i="1" s="1"/>
  <c r="BY150" i="1"/>
  <c r="Q143" i="1" l="1"/>
  <c r="Q121" i="1"/>
  <c r="Q140" i="1"/>
  <c r="Q122" i="1"/>
  <c r="Q142" i="1"/>
  <c r="Q124" i="1"/>
  <c r="BZ190" i="1"/>
  <c r="BZ168" i="1"/>
  <c r="BZ161" i="1"/>
  <c r="BZ108" i="1"/>
  <c r="BZ152" i="1"/>
  <c r="BZ86" i="1"/>
  <c r="BU30" i="1"/>
  <c r="BU31" i="1" s="1"/>
  <c r="BY158" i="1"/>
  <c r="BY115" i="1"/>
  <c r="BY106" i="1"/>
  <c r="BY83" i="1"/>
  <c r="BZ344" i="1"/>
  <c r="BZ345" i="1" s="1"/>
  <c r="BZ207" i="1"/>
  <c r="BZ211" i="1" s="1"/>
  <c r="BZ220" i="1"/>
  <c r="BZ47" i="1"/>
  <c r="BZ54" i="1"/>
  <c r="BZ192" i="1"/>
  <c r="BZ176" i="1"/>
  <c r="BZ185" i="1"/>
  <c r="BZ202" i="1"/>
  <c r="CA373" i="1"/>
  <c r="CA374" i="1" s="1"/>
  <c r="CA315" i="1"/>
  <c r="CA232" i="1"/>
  <c r="CA208" i="1"/>
  <c r="CA318" i="1"/>
  <c r="CA298" i="1" s="1"/>
  <c r="CA61" i="1"/>
  <c r="CA62" i="1"/>
  <c r="CA60" i="1"/>
  <c r="CA263" i="1"/>
  <c r="Q100" i="1"/>
  <c r="Q102" i="1" s="1"/>
  <c r="Q85" i="1" s="1"/>
  <c r="Q116" i="1"/>
  <c r="BZ175" i="1"/>
  <c r="BZ151" i="1"/>
  <c r="BZ213" i="1"/>
  <c r="BZ166" i="1"/>
  <c r="BZ159" i="1" l="1"/>
  <c r="BZ183" i="1"/>
  <c r="CA322" i="1"/>
  <c r="CA264" i="1"/>
  <c r="CA153" i="1"/>
  <c r="CA21" i="1"/>
  <c r="BZ184" i="1"/>
  <c r="BZ173" i="1"/>
  <c r="BZ270" i="1"/>
  <c r="BZ258" i="1"/>
  <c r="BZ212" i="1"/>
  <c r="BZ214" i="1"/>
  <c r="BU35" i="1"/>
  <c r="BU33" i="1"/>
  <c r="BZ160" i="1"/>
  <c r="BZ107" i="1"/>
  <c r="BZ149" i="1"/>
  <c r="CA197" i="1"/>
  <c r="CA23" i="1"/>
  <c r="BU259" i="1"/>
  <c r="CA177" i="1"/>
  <c r="CA22" i="1"/>
  <c r="CA316" i="1"/>
  <c r="CA321" i="1"/>
  <c r="BZ346" i="1"/>
  <c r="BU1" i="1" l="1"/>
  <c r="CA178" i="1"/>
  <c r="CA56" i="1"/>
  <c r="CA49" i="1"/>
  <c r="BU336" i="1"/>
  <c r="BU335" i="1"/>
  <c r="BU231" i="1"/>
  <c r="BU36" i="1"/>
  <c r="BU278" i="1"/>
  <c r="BZ174" i="1"/>
  <c r="BZ182" i="1" s="1"/>
  <c r="CA169" i="1"/>
  <c r="CA167" i="1"/>
  <c r="CA164" i="1"/>
  <c r="CA196" i="1"/>
  <c r="CA50" i="1"/>
  <c r="P23" i="1"/>
  <c r="P50" i="1" s="1"/>
  <c r="CA209" i="1"/>
  <c r="BZ150" i="1"/>
  <c r="BZ238" i="1"/>
  <c r="CA323" i="1"/>
  <c r="P264" i="1"/>
  <c r="CB59" i="1"/>
  <c r="CA193" i="1"/>
  <c r="CA191" i="1"/>
  <c r="CA188" i="1"/>
  <c r="BZ272" i="1"/>
  <c r="BZ239" i="1"/>
  <c r="CA154" i="1"/>
  <c r="CA48" i="1"/>
  <c r="CA55" i="1"/>
  <c r="CA25" i="1"/>
  <c r="P21" i="1"/>
  <c r="BU233" i="1"/>
  <c r="BU342" i="1"/>
  <c r="BU312" i="1"/>
  <c r="CA203" i="1"/>
  <c r="CA201" i="1"/>
  <c r="CA199" i="1"/>
  <c r="CB373" i="1" l="1"/>
  <c r="CB374" i="1" s="1"/>
  <c r="CB315" i="1"/>
  <c r="CB232" i="1"/>
  <c r="CB208" i="1"/>
  <c r="CB318" i="1"/>
  <c r="CB298" i="1" s="1"/>
  <c r="CB60" i="1"/>
  <c r="CB263" i="1"/>
  <c r="CB62" i="1"/>
  <c r="CB61" i="1"/>
  <c r="CA190" i="1"/>
  <c r="BZ158" i="1"/>
  <c r="BZ106" i="1"/>
  <c r="BZ115" i="1"/>
  <c r="BZ83" i="1"/>
  <c r="CA202" i="1"/>
  <c r="BU241" i="1"/>
  <c r="BU357" i="1"/>
  <c r="BU359" i="1" s="1"/>
  <c r="BU349" i="1"/>
  <c r="BU348" i="1"/>
  <c r="P48" i="1"/>
  <c r="P55" i="1"/>
  <c r="CA152" i="1"/>
  <c r="CA168" i="1"/>
  <c r="CA161" i="1"/>
  <c r="CA108" i="1"/>
  <c r="CA86" i="1"/>
  <c r="CA213" i="1"/>
  <c r="CA175" i="1"/>
  <c r="CA183" i="1" s="1"/>
  <c r="CA151" i="1"/>
  <c r="CA159" i="1" s="1"/>
  <c r="CA166" i="1"/>
  <c r="CA344" i="1"/>
  <c r="CA345" i="1" s="1"/>
  <c r="CA207" i="1"/>
  <c r="CA211" i="1" s="1"/>
  <c r="CA220" i="1"/>
  <c r="CA47" i="1"/>
  <c r="CA54" i="1"/>
  <c r="BU378" i="1"/>
  <c r="BU280" i="1"/>
  <c r="CA192" i="1"/>
  <c r="CA176" i="1"/>
  <c r="CA185" i="1"/>
  <c r="CA346" i="1" l="1"/>
  <c r="CA149" i="1"/>
  <c r="CA150" i="1" s="1"/>
  <c r="CA160" i="1"/>
  <c r="CA107" i="1"/>
  <c r="CA184" i="1"/>
  <c r="CA173" i="1"/>
  <c r="CA174" i="1" s="1"/>
  <c r="CA182" i="1" s="1"/>
  <c r="CA270" i="1"/>
  <c r="CA258" i="1"/>
  <c r="CA212" i="1"/>
  <c r="CA214" i="1"/>
  <c r="BU354" i="1"/>
  <c r="BU243" i="1"/>
  <c r="CB322" i="1"/>
  <c r="CB264" i="1"/>
  <c r="BU361" i="1"/>
  <c r="BU363" i="1" s="1"/>
  <c r="BU338" i="1"/>
  <c r="BU339" i="1"/>
  <c r="BU350" i="1"/>
  <c r="BU351" i="1"/>
  <c r="CB153" i="1"/>
  <c r="CB21" i="1"/>
  <c r="CB177" i="1"/>
  <c r="CB22" i="1"/>
  <c r="CB316" i="1"/>
  <c r="CB321" i="1"/>
  <c r="CB197" i="1"/>
  <c r="CB23" i="1"/>
  <c r="BU353" i="1" l="1"/>
  <c r="BU368" i="1"/>
  <c r="BU273" i="1" s="1"/>
  <c r="BU369" i="1"/>
  <c r="CB193" i="1"/>
  <c r="CB191" i="1"/>
  <c r="CB188" i="1"/>
  <c r="CB169" i="1"/>
  <c r="CB167" i="1"/>
  <c r="CB164" i="1"/>
  <c r="CA158" i="1"/>
  <c r="CA115" i="1"/>
  <c r="CA106" i="1"/>
  <c r="CA83" i="1"/>
  <c r="CB203" i="1"/>
  <c r="CB201" i="1"/>
  <c r="CB199" i="1"/>
  <c r="CB178" i="1"/>
  <c r="CB49" i="1"/>
  <c r="CB56" i="1"/>
  <c r="CB154" i="1"/>
  <c r="CB55" i="1"/>
  <c r="CB48" i="1"/>
  <c r="CB25" i="1"/>
  <c r="P258" i="1"/>
  <c r="CA238" i="1"/>
  <c r="CB196" i="1"/>
  <c r="CB50" i="1"/>
  <c r="CB209" i="1"/>
  <c r="CB323" i="1"/>
  <c r="CC59" i="1"/>
  <c r="CA272" i="1"/>
  <c r="CA239" i="1"/>
  <c r="P270" i="1"/>
  <c r="P272" i="1" s="1"/>
  <c r="CB168" i="1" l="1"/>
  <c r="CB152" i="1"/>
  <c r="CB161" i="1"/>
  <c r="CB108" i="1"/>
  <c r="CB86" i="1"/>
  <c r="CB185" i="1"/>
  <c r="CB192" i="1"/>
  <c r="CB176" i="1"/>
  <c r="BU286" i="1"/>
  <c r="BU285" i="1"/>
  <c r="BU281" i="1"/>
  <c r="CB213" i="1"/>
  <c r="CB175" i="1"/>
  <c r="CB151" i="1"/>
  <c r="CC373" i="1"/>
  <c r="CC374" i="1" s="1"/>
  <c r="CC315" i="1"/>
  <c r="CC232" i="1"/>
  <c r="CC208" i="1"/>
  <c r="CC318" i="1"/>
  <c r="CC298" i="1" s="1"/>
  <c r="CC60" i="1"/>
  <c r="CC61" i="1"/>
  <c r="CC263" i="1"/>
  <c r="CC62" i="1"/>
  <c r="CB344" i="1"/>
  <c r="CB345" i="1" s="1"/>
  <c r="CB220" i="1"/>
  <c r="CB207" i="1"/>
  <c r="CB211" i="1" s="1"/>
  <c r="CB47" i="1"/>
  <c r="CB54" i="1"/>
  <c r="CB166" i="1"/>
  <c r="CB190" i="1"/>
  <c r="CB202" i="1"/>
  <c r="CB346" i="1" l="1"/>
  <c r="CC153" i="1"/>
  <c r="CC21" i="1"/>
  <c r="CC322" i="1"/>
  <c r="CC264" i="1"/>
  <c r="CB270" i="1"/>
  <c r="CB258" i="1"/>
  <c r="CB212" i="1"/>
  <c r="CB214" i="1"/>
  <c r="CC197" i="1"/>
  <c r="CC23" i="1"/>
  <c r="CC316" i="1"/>
  <c r="CC321" i="1"/>
  <c r="CB159" i="1"/>
  <c r="CB183" i="1"/>
  <c r="CB160" i="1"/>
  <c r="CB149" i="1"/>
  <c r="CB107" i="1"/>
  <c r="CC177" i="1"/>
  <c r="CC22" i="1"/>
  <c r="BU288" i="1"/>
  <c r="BU246" i="1"/>
  <c r="BV26" i="1"/>
  <c r="CB184" i="1"/>
  <c r="CB173" i="1"/>
  <c r="BV296" i="1" l="1"/>
  <c r="BV295" i="1"/>
  <c r="BV297" i="1"/>
  <c r="BU251" i="1"/>
  <c r="BU256" i="1" s="1"/>
  <c r="CC178" i="1"/>
  <c r="CC56" i="1"/>
  <c r="CC49" i="1"/>
  <c r="CB238" i="1"/>
  <c r="CB174" i="1"/>
  <c r="CB182" i="1" s="1"/>
  <c r="CB150" i="1"/>
  <c r="CC203" i="1"/>
  <c r="CC201" i="1"/>
  <c r="CC199" i="1"/>
  <c r="CB272" i="1"/>
  <c r="CB239" i="1"/>
  <c r="CC169" i="1"/>
  <c r="CC167" i="1"/>
  <c r="CC164" i="1"/>
  <c r="CC193" i="1"/>
  <c r="CC191" i="1"/>
  <c r="CC188" i="1"/>
  <c r="CC323" i="1"/>
  <c r="CD59" i="1"/>
  <c r="CC196" i="1"/>
  <c r="CC50" i="1"/>
  <c r="CC209" i="1"/>
  <c r="CC154" i="1"/>
  <c r="CC55" i="1"/>
  <c r="CC48" i="1"/>
  <c r="CC25" i="1"/>
  <c r="CC344" i="1" l="1"/>
  <c r="CC345" i="1" s="1"/>
  <c r="CC220" i="1"/>
  <c r="CC207" i="1"/>
  <c r="CC211" i="1" s="1"/>
  <c r="CC54" i="1"/>
  <c r="CC47" i="1"/>
  <c r="CC213" i="1"/>
  <c r="CC175" i="1"/>
  <c r="CC151" i="1"/>
  <c r="CD373" i="1"/>
  <c r="CD374" i="1" s="1"/>
  <c r="CD315" i="1"/>
  <c r="CD208" i="1"/>
  <c r="CD232" i="1"/>
  <c r="CD318" i="1"/>
  <c r="CD298" i="1" s="1"/>
  <c r="CD263" i="1"/>
  <c r="CD61" i="1"/>
  <c r="CD60" i="1"/>
  <c r="CD62" i="1"/>
  <c r="CC185" i="1"/>
  <c r="CC192" i="1"/>
  <c r="CC176" i="1"/>
  <c r="CB115" i="1"/>
  <c r="CB158" i="1"/>
  <c r="CB83" i="1"/>
  <c r="CB106" i="1"/>
  <c r="BU343" i="1"/>
  <c r="BU261" i="1"/>
  <c r="BU252" i="1"/>
  <c r="BU2" i="1"/>
  <c r="BV27" i="1"/>
  <c r="BU287" i="1"/>
  <c r="CC168" i="1"/>
  <c r="CC161" i="1"/>
  <c r="CC152" i="1"/>
  <c r="CC86" i="1"/>
  <c r="CC108" i="1"/>
  <c r="CC202" i="1"/>
  <c r="CC190" i="1"/>
  <c r="CC166" i="1"/>
  <c r="CD177" i="1" l="1"/>
  <c r="CD22" i="1"/>
  <c r="CC270" i="1"/>
  <c r="CC258" i="1"/>
  <c r="CC212" i="1"/>
  <c r="CC214" i="1"/>
  <c r="BU293" i="1"/>
  <c r="BU290" i="1"/>
  <c r="BU292" i="1"/>
  <c r="BU289" i="1"/>
  <c r="CD322" i="1"/>
  <c r="CD264" i="1"/>
  <c r="CC159" i="1"/>
  <c r="CC160" i="1"/>
  <c r="CC149" i="1"/>
  <c r="CC107" i="1"/>
  <c r="BV29" i="1"/>
  <c r="BU301" i="1"/>
  <c r="BU302" i="1"/>
  <c r="BU267" i="1"/>
  <c r="BU282" i="1" s="1"/>
  <c r="CD197" i="1"/>
  <c r="CD23" i="1"/>
  <c r="CD316" i="1"/>
  <c r="CD321" i="1"/>
  <c r="CC183" i="1"/>
  <c r="CC184" i="1"/>
  <c r="CC173" i="1"/>
  <c r="CD153" i="1"/>
  <c r="CD21" i="1"/>
  <c r="CC346" i="1"/>
  <c r="CD154" i="1" l="1"/>
  <c r="CD55" i="1"/>
  <c r="CD25" i="1"/>
  <c r="CD48" i="1"/>
  <c r="CC174" i="1"/>
  <c r="CC182" i="1" s="1"/>
  <c r="CD196" i="1"/>
  <c r="CD50" i="1"/>
  <c r="CD209" i="1"/>
  <c r="CD203" i="1"/>
  <c r="CD201" i="1"/>
  <c r="CD199" i="1"/>
  <c r="BV30" i="1"/>
  <c r="BV31" i="1" s="1"/>
  <c r="CC150" i="1"/>
  <c r="CD323" i="1"/>
  <c r="CE59" i="1"/>
  <c r="CD178" i="1"/>
  <c r="CD56" i="1"/>
  <c r="CD49" i="1"/>
  <c r="CD169" i="1"/>
  <c r="CD167" i="1"/>
  <c r="CD164" i="1"/>
  <c r="CC238" i="1"/>
  <c r="CC272" i="1"/>
  <c r="CC239" i="1"/>
  <c r="CD193" i="1"/>
  <c r="CD191" i="1"/>
  <c r="CD188" i="1"/>
  <c r="CD190" i="1" l="1"/>
  <c r="BV259" i="1"/>
  <c r="CD202" i="1"/>
  <c r="CD166" i="1"/>
  <c r="CD192" i="1"/>
  <c r="CD176" i="1"/>
  <c r="CD185" i="1"/>
  <c r="CD213" i="1"/>
  <c r="CD175" i="1"/>
  <c r="CD151" i="1"/>
  <c r="CD344" i="1"/>
  <c r="CD345" i="1" s="1"/>
  <c r="CD207" i="1"/>
  <c r="CD211" i="1" s="1"/>
  <c r="CD220" i="1"/>
  <c r="CD47" i="1"/>
  <c r="CD54" i="1"/>
  <c r="CE373" i="1"/>
  <c r="CE374" i="1" s="1"/>
  <c r="CE315" i="1"/>
  <c r="CE232" i="1"/>
  <c r="CE208" i="1"/>
  <c r="CE318" i="1"/>
  <c r="CE298" i="1" s="1"/>
  <c r="P59" i="1"/>
  <c r="Q59" i="1"/>
  <c r="CE61" i="1"/>
  <c r="CE263" i="1"/>
  <c r="CE60" i="1"/>
  <c r="CE62" i="1"/>
  <c r="CC158" i="1"/>
  <c r="CC115" i="1"/>
  <c r="CC83" i="1"/>
  <c r="CC106" i="1"/>
  <c r="BV35" i="1"/>
  <c r="BV33" i="1"/>
  <c r="CD168" i="1"/>
  <c r="CD161" i="1"/>
  <c r="CD152" i="1"/>
  <c r="CD108" i="1"/>
  <c r="CD86" i="1"/>
  <c r="BV1" i="1" l="1"/>
  <c r="CE177" i="1"/>
  <c r="CE22" i="1"/>
  <c r="P61" i="1"/>
  <c r="Q61" i="1"/>
  <c r="CD184" i="1"/>
  <c r="CD173" i="1"/>
  <c r="CE197" i="1"/>
  <c r="CE23" i="1"/>
  <c r="P62" i="1"/>
  <c r="Q62" i="1"/>
  <c r="Q373" i="1"/>
  <c r="Q374" i="1" s="1"/>
  <c r="Q315" i="1"/>
  <c r="Q208" i="1"/>
  <c r="Q63" i="1"/>
  <c r="Q318" i="1"/>
  <c r="Q298" i="1" s="1"/>
  <c r="Q25" i="1"/>
  <c r="O232" i="1"/>
  <c r="P232" i="1"/>
  <c r="Q232" i="1"/>
  <c r="CD270" i="1"/>
  <c r="CD258" i="1"/>
  <c r="CD212" i="1"/>
  <c r="CD214" i="1"/>
  <c r="CD159" i="1"/>
  <c r="BV336" i="1"/>
  <c r="BV335" i="1"/>
  <c r="BV231" i="1"/>
  <c r="BV36" i="1"/>
  <c r="BV278" i="1"/>
  <c r="CE153" i="1"/>
  <c r="CE21" i="1"/>
  <c r="P60" i="1"/>
  <c r="Q60" i="1"/>
  <c r="P373" i="1"/>
  <c r="P374" i="1" s="1"/>
  <c r="P315" i="1"/>
  <c r="P208" i="1"/>
  <c r="P63" i="1"/>
  <c r="P318" i="1"/>
  <c r="P298" i="1" s="1"/>
  <c r="P25" i="1"/>
  <c r="P323" i="1"/>
  <c r="CE316" i="1"/>
  <c r="CE321" i="1"/>
  <c r="CD183" i="1"/>
  <c r="BV342" i="1"/>
  <c r="BV312" i="1"/>
  <c r="BV233" i="1"/>
  <c r="CD107" i="1"/>
  <c r="CD160" i="1"/>
  <c r="CD149" i="1"/>
  <c r="CE322" i="1"/>
  <c r="CE264" i="1"/>
  <c r="CD346" i="1"/>
  <c r="BV378" i="1" l="1"/>
  <c r="BV280" i="1"/>
  <c r="CE203" i="1"/>
  <c r="CE201" i="1"/>
  <c r="P197" i="1"/>
  <c r="Q197" i="1"/>
  <c r="CE199" i="1"/>
  <c r="CD150" i="1"/>
  <c r="BV357" i="1"/>
  <c r="BV359" i="1" s="1"/>
  <c r="BV349" i="1"/>
  <c r="BV348" i="1"/>
  <c r="P344" i="1"/>
  <c r="P345" i="1" s="1"/>
  <c r="P220" i="1"/>
  <c r="P207" i="1"/>
  <c r="P54" i="1"/>
  <c r="P47" i="1"/>
  <c r="P316" i="1"/>
  <c r="P321" i="1"/>
  <c r="P322" i="1"/>
  <c r="CE154" i="1"/>
  <c r="CE48" i="1"/>
  <c r="CE55" i="1"/>
  <c r="CE25" i="1"/>
  <c r="Q21" i="1"/>
  <c r="BV241" i="1"/>
  <c r="CD174" i="1"/>
  <c r="CD182" i="1" s="1"/>
  <c r="CE178" i="1"/>
  <c r="CE56" i="1"/>
  <c r="CE49" i="1"/>
  <c r="P22" i="1"/>
  <c r="Q22" i="1"/>
  <c r="CE323" i="1"/>
  <c r="Q264" i="1"/>
  <c r="CD238" i="1"/>
  <c r="CE169" i="1"/>
  <c r="CE167" i="1"/>
  <c r="P153" i="1"/>
  <c r="Q153" i="1"/>
  <c r="CE164" i="1"/>
  <c r="CE166" i="1" s="1"/>
  <c r="CD272" i="1"/>
  <c r="CD239" i="1"/>
  <c r="Q344" i="1"/>
  <c r="Q345" i="1" s="1"/>
  <c r="Q207" i="1"/>
  <c r="Q220" i="1"/>
  <c r="Q54" i="1"/>
  <c r="Q47" i="1"/>
  <c r="Q316" i="1"/>
  <c r="Q321" i="1"/>
  <c r="Q322" i="1"/>
  <c r="CE196" i="1"/>
  <c r="CE50" i="1"/>
  <c r="O23" i="1"/>
  <c r="O50" i="1" s="1"/>
  <c r="Q23" i="1"/>
  <c r="Q50" i="1" s="1"/>
  <c r="CE209" i="1"/>
  <c r="CE193" i="1"/>
  <c r="CE191" i="1"/>
  <c r="P177" i="1"/>
  <c r="Q177" i="1"/>
  <c r="CE188" i="1"/>
  <c r="CE190" i="1" s="1"/>
  <c r="Q193" i="1" l="1"/>
  <c r="Q191" i="1"/>
  <c r="CE213" i="1"/>
  <c r="CE175" i="1"/>
  <c r="CE151" i="1"/>
  <c r="P209" i="1"/>
  <c r="P213" i="1" s="1"/>
  <c r="Q209" i="1"/>
  <c r="Q213" i="1" s="1"/>
  <c r="CE202" i="1"/>
  <c r="P196" i="1"/>
  <c r="P202" i="1" s="1"/>
  <c r="Q196" i="1"/>
  <c r="Q202" i="1" s="1"/>
  <c r="P346" i="1"/>
  <c r="P193" i="1"/>
  <c r="P191" i="1"/>
  <c r="Q56" i="1"/>
  <c r="Q49" i="1"/>
  <c r="CE192" i="1"/>
  <c r="CE176" i="1"/>
  <c r="CE185" i="1"/>
  <c r="P178" i="1"/>
  <c r="Q178" i="1"/>
  <c r="BV354" i="1"/>
  <c r="BV243" i="1"/>
  <c r="Q203" i="1"/>
  <c r="Q201" i="1"/>
  <c r="BV361" i="1"/>
  <c r="BV363" i="1" s="1"/>
  <c r="BV338" i="1"/>
  <c r="BV339" i="1"/>
  <c r="BV350" i="1"/>
  <c r="BV351" i="1"/>
  <c r="Q169" i="1"/>
  <c r="Q167" i="1"/>
  <c r="P56" i="1"/>
  <c r="P49" i="1"/>
  <c r="Q48" i="1"/>
  <c r="Q55" i="1"/>
  <c r="CE152" i="1"/>
  <c r="CE168" i="1"/>
  <c r="CE161" i="1"/>
  <c r="CE108" i="1"/>
  <c r="CE86" i="1"/>
  <c r="P154" i="1"/>
  <c r="Q154" i="1"/>
  <c r="P203" i="1"/>
  <c r="P201" i="1"/>
  <c r="Q346" i="1"/>
  <c r="Q323" i="1"/>
  <c r="P169" i="1"/>
  <c r="P167" i="1"/>
  <c r="CE344" i="1"/>
  <c r="CE345" i="1" s="1"/>
  <c r="CE207" i="1"/>
  <c r="CE211" i="1" s="1"/>
  <c r="CE220" i="1"/>
  <c r="CE47" i="1"/>
  <c r="CE54" i="1"/>
  <c r="CD158" i="1"/>
  <c r="CD106" i="1"/>
  <c r="CD115" i="1"/>
  <c r="CD83" i="1"/>
  <c r="BV353" i="1" l="1"/>
  <c r="Q211" i="1"/>
  <c r="Q212" i="1" s="1"/>
  <c r="P211" i="1"/>
  <c r="P305" i="1" s="1"/>
  <c r="P306" i="1" s="1"/>
  <c r="CE270" i="1"/>
  <c r="CE258" i="1"/>
  <c r="CE212" i="1"/>
  <c r="CE214" i="1"/>
  <c r="CE346" i="1"/>
  <c r="CE183" i="1"/>
  <c r="P175" i="1"/>
  <c r="P183" i="1" s="1"/>
  <c r="Q175" i="1"/>
  <c r="Q183" i="1" s="1"/>
  <c r="Q168" i="1"/>
  <c r="Q161" i="1"/>
  <c r="Q108" i="1"/>
  <c r="Q86" i="1"/>
  <c r="CE184" i="1"/>
  <c r="CE173" i="1"/>
  <c r="P176" i="1"/>
  <c r="P184" i="1" s="1"/>
  <c r="Q176" i="1"/>
  <c r="Q184" i="1" s="1"/>
  <c r="P108" i="1"/>
  <c r="P168" i="1"/>
  <c r="P161" i="1"/>
  <c r="P86" i="1"/>
  <c r="BV368" i="1"/>
  <c r="BV273" i="1" s="1"/>
  <c r="BV369" i="1"/>
  <c r="Q185" i="1"/>
  <c r="Q192" i="1"/>
  <c r="CE160" i="1"/>
  <c r="CE149" i="1"/>
  <c r="CE107" i="1"/>
  <c r="P152" i="1"/>
  <c r="Q152" i="1"/>
  <c r="P192" i="1"/>
  <c r="P185" i="1"/>
  <c r="CE159" i="1"/>
  <c r="P151" i="1"/>
  <c r="P159" i="1" s="1"/>
  <c r="Q151" i="1"/>
  <c r="Q159" i="1" s="1"/>
  <c r="P214" i="1" l="1"/>
  <c r="P307" i="1"/>
  <c r="P308" i="1" s="1"/>
  <c r="P309" i="1" s="1"/>
  <c r="Q214" i="1"/>
  <c r="P212" i="1"/>
  <c r="CE150" i="1"/>
  <c r="P149" i="1"/>
  <c r="P150" i="1" s="1"/>
  <c r="Q149" i="1"/>
  <c r="Q150" i="1" s="1"/>
  <c r="CE174" i="1"/>
  <c r="CE182" i="1" s="1"/>
  <c r="P173" i="1"/>
  <c r="P174" i="1" s="1"/>
  <c r="P182" i="1" s="1"/>
  <c r="Q173" i="1"/>
  <c r="Q174" i="1" s="1"/>
  <c r="Q182" i="1" s="1"/>
  <c r="Q160" i="1"/>
  <c r="Q107" i="1"/>
  <c r="BV285" i="1"/>
  <c r="BV286" i="1"/>
  <c r="BV281" i="1"/>
  <c r="Q258" i="1"/>
  <c r="CE238" i="1"/>
  <c r="P160" i="1"/>
  <c r="P107" i="1"/>
  <c r="CE272" i="1"/>
  <c r="CE239" i="1"/>
  <c r="Q270" i="1"/>
  <c r="Q272" i="1" l="1"/>
  <c r="Q307" i="1"/>
  <c r="Q308" i="1" s="1"/>
  <c r="Q305" i="1"/>
  <c r="Q306" i="1" s="1"/>
  <c r="O239" i="1"/>
  <c r="P239" i="1"/>
  <c r="Q239" i="1"/>
  <c r="P238" i="1"/>
  <c r="Q238" i="1"/>
  <c r="Q158" i="1"/>
  <c r="Q115" i="1"/>
  <c r="Q106" i="1"/>
  <c r="Q83" i="1"/>
  <c r="BV288" i="1"/>
  <c r="BV246" i="1"/>
  <c r="BW26" i="1"/>
  <c r="P158" i="1"/>
  <c r="P115" i="1"/>
  <c r="P106" i="1"/>
  <c r="P83" i="1"/>
  <c r="CE158" i="1"/>
  <c r="CE115" i="1"/>
  <c r="CE106" i="1"/>
  <c r="CE83" i="1"/>
  <c r="Q309" i="1" l="1"/>
  <c r="BW296" i="1"/>
  <c r="BW295" i="1"/>
  <c r="BW297" i="1"/>
  <c r="O26" i="1"/>
  <c r="BV251" i="1"/>
  <c r="BV256" i="1" s="1"/>
  <c r="BV343" i="1" l="1"/>
  <c r="BV261" i="1"/>
  <c r="BV252" i="1"/>
  <c r="BW27" i="1"/>
  <c r="BV2" i="1"/>
  <c r="BV287" i="1"/>
  <c r="O296" i="1"/>
  <c r="O295" i="1"/>
  <c r="O297" i="1"/>
  <c r="BV292" i="1" l="1"/>
  <c r="BV289" i="1"/>
  <c r="BV290" i="1"/>
  <c r="BV293" i="1"/>
  <c r="BV302" i="1"/>
  <c r="BV301" i="1"/>
  <c r="BV267" i="1"/>
  <c r="BV282" i="1" s="1"/>
  <c r="O27" i="1"/>
  <c r="BW29" i="1"/>
  <c r="O65" i="1" l="1"/>
  <c r="O29" i="1"/>
  <c r="BW30" i="1"/>
  <c r="BW31" i="1" s="1"/>
  <c r="BW33" i="1" l="1"/>
  <c r="BW35" i="1"/>
  <c r="O30" i="1"/>
  <c r="O66" i="1" s="1"/>
  <c r="BW259" i="1"/>
  <c r="BW1" i="1" l="1"/>
  <c r="O31" i="1"/>
  <c r="BW336" i="1"/>
  <c r="BW335" i="1"/>
  <c r="BW231" i="1"/>
  <c r="BW36" i="1"/>
  <c r="BW278" i="1"/>
  <c r="O259" i="1"/>
  <c r="O342" i="1" s="1"/>
  <c r="BW342" i="1"/>
  <c r="BW312" i="1"/>
  <c r="BW233" i="1"/>
  <c r="BW357" i="1" l="1"/>
  <c r="BW359" i="1" s="1"/>
  <c r="BW349" i="1"/>
  <c r="BW348" i="1"/>
  <c r="O278" i="1"/>
  <c r="BW378" i="1"/>
  <c r="BW280" i="1"/>
  <c r="O357" i="1"/>
  <c r="O348" i="1"/>
  <c r="O349" i="1"/>
  <c r="BW241" i="1"/>
  <c r="O231" i="1"/>
  <c r="O35" i="1"/>
  <c r="O33" i="1"/>
  <c r="O1" i="1" l="1"/>
  <c r="O336" i="1"/>
  <c r="O335" i="1"/>
  <c r="O36" i="1"/>
  <c r="BW354" i="1"/>
  <c r="BW243" i="1"/>
  <c r="O378" i="1"/>
  <c r="O280" i="1"/>
  <c r="O351" i="1" s="1"/>
  <c r="BW361" i="1"/>
  <c r="BW363" i="1" s="1"/>
  <c r="BW339" i="1"/>
  <c r="BW338" i="1"/>
  <c r="BW350" i="1"/>
  <c r="BW351" i="1"/>
  <c r="BW353" i="1" l="1"/>
  <c r="BW368" i="1"/>
  <c r="BW369" i="1"/>
  <c r="O369" i="1" s="1"/>
  <c r="O361" i="1"/>
  <c r="O339" i="1"/>
  <c r="O338" i="1"/>
  <c r="O350" i="1"/>
  <c r="BW273" i="1" l="1"/>
  <c r="O368" i="1"/>
  <c r="BW285" i="1" l="1"/>
  <c r="BW286" i="1"/>
  <c r="O273" i="1"/>
  <c r="BW281" i="1"/>
  <c r="O286" i="1" l="1"/>
  <c r="O285" i="1"/>
  <c r="O281" i="1"/>
  <c r="BW288" i="1"/>
  <c r="BW246" i="1"/>
  <c r="BX26" i="1"/>
  <c r="BX296" i="1" l="1"/>
  <c r="BX295" i="1"/>
  <c r="BX297" i="1"/>
  <c r="BW251" i="1"/>
  <c r="BW256" i="1" s="1"/>
  <c r="O246" i="1"/>
  <c r="O288" i="1"/>
  <c r="BW343" i="1" l="1"/>
  <c r="BW261" i="1"/>
  <c r="BW252" i="1"/>
  <c r="BX27" i="1"/>
  <c r="BW2" i="1"/>
  <c r="O256" i="1"/>
  <c r="BW287" i="1"/>
  <c r="O358" i="1" l="1"/>
  <c r="O359" i="1" s="1"/>
  <c r="O363" i="1" s="1"/>
  <c r="O343" i="1"/>
  <c r="O261" i="1"/>
  <c r="O2" i="1"/>
  <c r="O287" i="1"/>
  <c r="BW302" i="1"/>
  <c r="BW301" i="1"/>
  <c r="BW267" i="1"/>
  <c r="BW282" i="1" s="1"/>
  <c r="BX29" i="1"/>
  <c r="BW293" i="1"/>
  <c r="BW289" i="1"/>
  <c r="BW292" i="1"/>
  <c r="BW290" i="1"/>
  <c r="O302" i="1" l="1"/>
  <c r="O301" i="1"/>
  <c r="O267" i="1"/>
  <c r="O282" i="1" s="1"/>
  <c r="BX30" i="1"/>
  <c r="BX31" i="1" s="1"/>
  <c r="O293" i="1"/>
  <c r="O292" i="1"/>
  <c r="O290" i="1"/>
  <c r="O289" i="1"/>
  <c r="BX35" i="1" l="1"/>
  <c r="BX33" i="1"/>
  <c r="BX259" i="1"/>
  <c r="BX1" i="1" l="1"/>
  <c r="BX335" i="1"/>
  <c r="BX336" i="1"/>
  <c r="BX231" i="1"/>
  <c r="BX36" i="1"/>
  <c r="BX278" i="1"/>
  <c r="BX312" i="1"/>
  <c r="BX342" i="1"/>
  <c r="BX233" i="1"/>
  <c r="BX280" i="1" l="1"/>
  <c r="BX378" i="1"/>
  <c r="BX357" i="1"/>
  <c r="BX359" i="1" s="1"/>
  <c r="BX348" i="1"/>
  <c r="BX349" i="1"/>
  <c r="BX241" i="1"/>
  <c r="BX361" i="1" l="1"/>
  <c r="BX363" i="1" s="1"/>
  <c r="BX338" i="1"/>
  <c r="BX339" i="1"/>
  <c r="BX350" i="1"/>
  <c r="BX351" i="1"/>
  <c r="BX354" i="1"/>
  <c r="BX243" i="1"/>
  <c r="BX353" i="1" l="1"/>
  <c r="BX368" i="1"/>
  <c r="BX273" i="1" s="1"/>
  <c r="BX369" i="1"/>
  <c r="BX286" i="1" l="1"/>
  <c r="BX285" i="1"/>
  <c r="BX281" i="1"/>
  <c r="BX288" i="1" l="1"/>
  <c r="BX246" i="1"/>
  <c r="BY26" i="1"/>
  <c r="BX251" i="1" l="1"/>
  <c r="BX256" i="1" s="1"/>
  <c r="BY295" i="1"/>
  <c r="BY296" i="1"/>
  <c r="BY297" i="1"/>
  <c r="BX343" i="1" l="1"/>
  <c r="BX252" i="1"/>
  <c r="BX261" i="1"/>
  <c r="BX2" i="1"/>
  <c r="BY27" i="1"/>
  <c r="BX287" i="1"/>
  <c r="BX293" i="1" l="1"/>
  <c r="BX289" i="1"/>
  <c r="BX292" i="1"/>
  <c r="BX290" i="1"/>
  <c r="BX302" i="1"/>
  <c r="BX301" i="1"/>
  <c r="BX267" i="1"/>
  <c r="BX282" i="1" s="1"/>
  <c r="BY29" i="1"/>
  <c r="BY30" i="1" l="1"/>
  <c r="BY31" i="1" s="1"/>
  <c r="BY35" i="1" l="1"/>
  <c r="BY33" i="1"/>
  <c r="BY259" i="1"/>
  <c r="BY1" i="1" l="1"/>
  <c r="BY335" i="1"/>
  <c r="BY336" i="1"/>
  <c r="BY231" i="1"/>
  <c r="BY36" i="1"/>
  <c r="BY278" i="1"/>
  <c r="BY342" i="1"/>
  <c r="BY312" i="1"/>
  <c r="BY233" i="1"/>
  <c r="BY241" i="1" l="1"/>
  <c r="BY378" i="1"/>
  <c r="BY280" i="1"/>
  <c r="BY357" i="1"/>
  <c r="BY359" i="1" s="1"/>
  <c r="BY348" i="1"/>
  <c r="BY349" i="1"/>
  <c r="BY361" i="1" l="1"/>
  <c r="BY363" i="1" s="1"/>
  <c r="BY339" i="1"/>
  <c r="BY338" i="1"/>
  <c r="BY350" i="1"/>
  <c r="BY351" i="1"/>
  <c r="BY354" i="1"/>
  <c r="BY243" i="1"/>
  <c r="BY353" i="1" l="1"/>
  <c r="BY368" i="1"/>
  <c r="BY273" i="1" s="1"/>
  <c r="BY369" i="1"/>
  <c r="BY286" i="1" l="1"/>
  <c r="BY285" i="1"/>
  <c r="BY281" i="1"/>
  <c r="BY288" i="1" l="1"/>
  <c r="BY246" i="1"/>
  <c r="BZ26" i="1"/>
  <c r="BY251" i="1" l="1"/>
  <c r="BY256" i="1" s="1"/>
  <c r="BZ296" i="1"/>
  <c r="BZ295" i="1"/>
  <c r="BZ297" i="1"/>
  <c r="BY343" i="1" l="1"/>
  <c r="BY261" i="1"/>
  <c r="BY252" i="1"/>
  <c r="BZ27" i="1"/>
  <c r="BY2" i="1"/>
  <c r="BY287" i="1"/>
  <c r="BY293" i="1" l="1"/>
  <c r="BY290" i="1"/>
  <c r="BY292" i="1"/>
  <c r="BY289" i="1"/>
  <c r="BY301" i="1"/>
  <c r="BY302" i="1"/>
  <c r="BY267" i="1"/>
  <c r="BY282" i="1" s="1"/>
  <c r="BZ29" i="1"/>
  <c r="BZ30" i="1" l="1"/>
  <c r="BZ31" i="1" s="1"/>
  <c r="BZ35" i="1" l="1"/>
  <c r="BZ33" i="1"/>
  <c r="BZ259" i="1"/>
  <c r="BZ1" i="1" l="1"/>
  <c r="BZ336" i="1"/>
  <c r="BZ335" i="1"/>
  <c r="BZ231" i="1"/>
  <c r="BZ36" i="1"/>
  <c r="BZ278" i="1"/>
  <c r="BZ342" i="1"/>
  <c r="BZ312" i="1"/>
  <c r="BZ233" i="1"/>
  <c r="BZ241" i="1" l="1"/>
  <c r="BZ378" i="1"/>
  <c r="BZ280" i="1"/>
  <c r="BZ357" i="1"/>
  <c r="BZ359" i="1" s="1"/>
  <c r="BZ349" i="1"/>
  <c r="BZ348" i="1"/>
  <c r="BZ361" i="1" l="1"/>
  <c r="BZ363" i="1" s="1"/>
  <c r="BZ338" i="1"/>
  <c r="BZ339" i="1"/>
  <c r="BZ350" i="1"/>
  <c r="BZ351" i="1"/>
  <c r="BZ354" i="1"/>
  <c r="BZ243" i="1"/>
  <c r="BZ353" i="1" l="1"/>
  <c r="BZ368" i="1"/>
  <c r="BZ273" i="1" s="1"/>
  <c r="BZ369" i="1"/>
  <c r="BZ285" i="1" l="1"/>
  <c r="BZ286" i="1"/>
  <c r="BZ281" i="1"/>
  <c r="BZ288" i="1" l="1"/>
  <c r="BZ246" i="1"/>
  <c r="CA26" i="1"/>
  <c r="BZ251" i="1" l="1"/>
  <c r="BZ256" i="1" s="1"/>
  <c r="CA296" i="1"/>
  <c r="CA295" i="1"/>
  <c r="CA297" i="1"/>
  <c r="P26" i="1"/>
  <c r="P296" i="1" l="1"/>
  <c r="P295" i="1"/>
  <c r="P297" i="1"/>
  <c r="BZ343" i="1"/>
  <c r="BZ261" i="1"/>
  <c r="BZ252" i="1"/>
  <c r="BZ2" i="1"/>
  <c r="CA27" i="1"/>
  <c r="BZ287" i="1"/>
  <c r="P27" i="1" l="1"/>
  <c r="CA29" i="1"/>
  <c r="BZ292" i="1"/>
  <c r="BZ289" i="1"/>
  <c r="BZ290" i="1"/>
  <c r="BZ293" i="1"/>
  <c r="BZ302" i="1"/>
  <c r="BZ301" i="1"/>
  <c r="BZ267" i="1"/>
  <c r="BZ282" i="1" s="1"/>
  <c r="CA30" i="1" l="1"/>
  <c r="CA259" i="1" s="1"/>
  <c r="P65" i="1"/>
  <c r="P29" i="1"/>
  <c r="CA31" i="1" l="1"/>
  <c r="CA33" i="1" s="1"/>
  <c r="P259" i="1"/>
  <c r="P342" i="1" s="1"/>
  <c r="CA342" i="1"/>
  <c r="CA312" i="1"/>
  <c r="CA233" i="1"/>
  <c r="CA35" i="1" l="1"/>
  <c r="CA1" i="1"/>
  <c r="CA357" i="1"/>
  <c r="CA359" i="1" s="1"/>
  <c r="CA349" i="1"/>
  <c r="CA348" i="1"/>
  <c r="CA336" i="1"/>
  <c r="CA335" i="1"/>
  <c r="CA231" i="1"/>
  <c r="CA241" i="1" s="1"/>
  <c r="CA36" i="1"/>
  <c r="CA278" i="1"/>
  <c r="P357" i="1"/>
  <c r="P348" i="1"/>
  <c r="P349" i="1"/>
  <c r="P278" i="1" l="1"/>
  <c r="CA280" i="1"/>
  <c r="CA378" i="1"/>
  <c r="CA354" i="1"/>
  <c r="CA243" i="1"/>
  <c r="CA353" i="1" l="1"/>
  <c r="CA361" i="1"/>
  <c r="CA363" i="1" s="1"/>
  <c r="CA339" i="1"/>
  <c r="CA338" i="1"/>
  <c r="CA350" i="1"/>
  <c r="CA351" i="1"/>
  <c r="P280" i="1"/>
  <c r="P361" i="1" l="1"/>
  <c r="P339" i="1"/>
  <c r="P338" i="1"/>
  <c r="CA368" i="1"/>
  <c r="CA369" i="1"/>
  <c r="P369" i="1" s="1"/>
  <c r="CA273" i="1" l="1"/>
  <c r="P368" i="1"/>
  <c r="CA286" i="1" l="1"/>
  <c r="CA285" i="1"/>
  <c r="P273" i="1"/>
  <c r="CA281" i="1"/>
  <c r="P285" i="1" l="1"/>
  <c r="P286" i="1"/>
  <c r="P281" i="1"/>
  <c r="CA288" i="1"/>
  <c r="CA246" i="1"/>
  <c r="CA251" i="1" s="1"/>
  <c r="CA256" i="1" s="1"/>
  <c r="CB26" i="1"/>
  <c r="CB295" i="1" l="1"/>
  <c r="CB296" i="1"/>
  <c r="CB297" i="1"/>
  <c r="CA343" i="1"/>
  <c r="CA261" i="1"/>
  <c r="CA252" i="1"/>
  <c r="CB27" i="1"/>
  <c r="CB29" i="1" s="1"/>
  <c r="CA2" i="1"/>
  <c r="P256" i="1"/>
  <c r="P287" i="1" s="1"/>
  <c r="P288" i="1"/>
  <c r="CA287" i="1"/>
  <c r="CB30" i="1" l="1"/>
  <c r="P358" i="1"/>
  <c r="P359" i="1" s="1"/>
  <c r="P363" i="1" s="1"/>
  <c r="P343" i="1"/>
  <c r="P261" i="1"/>
  <c r="P2" i="1"/>
  <c r="CA302" i="1"/>
  <c r="CA301" i="1"/>
  <c r="CA267" i="1"/>
  <c r="CA282" i="1" s="1"/>
  <c r="CA292" i="1"/>
  <c r="CA290" i="1"/>
  <c r="CA293" i="1"/>
  <c r="CA289" i="1"/>
  <c r="P292" i="1"/>
  <c r="P293" i="1"/>
  <c r="P289" i="1"/>
  <c r="P290" i="1"/>
  <c r="CB259" i="1" l="1"/>
  <c r="P301" i="1"/>
  <c r="P302" i="1"/>
  <c r="P267" i="1"/>
  <c r="P282" i="1" s="1"/>
  <c r="CB31" i="1"/>
  <c r="CB35" i="1" l="1"/>
  <c r="CB1" i="1" s="1"/>
  <c r="CB33" i="1"/>
  <c r="CB342" i="1"/>
  <c r="CB312" i="1"/>
  <c r="CB233" i="1"/>
  <c r="CB357" i="1" l="1"/>
  <c r="CB359" i="1" s="1"/>
  <c r="CB348" i="1"/>
  <c r="CB349" i="1"/>
  <c r="CB335" i="1"/>
  <c r="CB336" i="1"/>
  <c r="CB231" i="1"/>
  <c r="CB36" i="1"/>
  <c r="CB278" i="1"/>
  <c r="CB280" i="1" l="1"/>
  <c r="CB378" i="1"/>
  <c r="CB241" i="1"/>
  <c r="CB354" i="1" l="1"/>
  <c r="CB243" i="1"/>
  <c r="CB353" i="1" s="1"/>
  <c r="CB361" i="1"/>
  <c r="CB363" i="1" s="1"/>
  <c r="CB338" i="1"/>
  <c r="CB339" i="1"/>
  <c r="CB350" i="1"/>
  <c r="CB351" i="1"/>
  <c r="CB368" i="1" l="1"/>
  <c r="CB273" i="1" s="1"/>
  <c r="CB369" i="1"/>
  <c r="CB285" i="1" l="1"/>
  <c r="CB286" i="1"/>
  <c r="CB281" i="1"/>
  <c r="CB288" i="1" l="1"/>
  <c r="CB246" i="1"/>
  <c r="CC26" i="1"/>
  <c r="CB251" i="1" l="1"/>
  <c r="CB256" i="1" s="1"/>
  <c r="CC295" i="1"/>
  <c r="CC296" i="1"/>
  <c r="CC297" i="1"/>
  <c r="CB343" i="1" l="1"/>
  <c r="CB252" i="1"/>
  <c r="CB261" i="1"/>
  <c r="CB2" i="1"/>
  <c r="CC27" i="1"/>
  <c r="CB287" i="1"/>
  <c r="CB293" i="1" l="1"/>
  <c r="CB289" i="1"/>
  <c r="CB292" i="1"/>
  <c r="CB290" i="1"/>
  <c r="CB302" i="1"/>
  <c r="CB301" i="1"/>
  <c r="CB267" i="1"/>
  <c r="CB282" i="1" s="1"/>
  <c r="CC29" i="1"/>
  <c r="CC30" i="1" l="1"/>
  <c r="CC31" i="1" s="1"/>
  <c r="CC35" i="1" l="1"/>
  <c r="CC1" i="1" s="1"/>
  <c r="CC33" i="1"/>
  <c r="CC259" i="1"/>
  <c r="CC335" i="1" l="1"/>
  <c r="CC336" i="1"/>
  <c r="CC231" i="1"/>
  <c r="CC36" i="1"/>
  <c r="CC278" i="1"/>
  <c r="CC312" i="1"/>
  <c r="CC342" i="1"/>
  <c r="CC233" i="1"/>
  <c r="CC241" i="1" l="1"/>
  <c r="CC357" i="1"/>
  <c r="CC359" i="1" s="1"/>
  <c r="CC348" i="1"/>
  <c r="CC349" i="1"/>
  <c r="CC378" i="1"/>
  <c r="CC280" i="1"/>
  <c r="CC361" i="1" l="1"/>
  <c r="CC363" i="1" s="1"/>
  <c r="CC339" i="1"/>
  <c r="CC338" i="1"/>
  <c r="CC350" i="1"/>
  <c r="CC351" i="1"/>
  <c r="CC354" i="1"/>
  <c r="CC243" i="1"/>
  <c r="CC353" i="1" s="1"/>
  <c r="CC368" i="1" l="1"/>
  <c r="CC273" i="1" s="1"/>
  <c r="CC369" i="1"/>
  <c r="CC286" i="1" l="1"/>
  <c r="CC285" i="1"/>
  <c r="CC281" i="1"/>
  <c r="CC288" i="1" l="1"/>
  <c r="CC246" i="1"/>
  <c r="CD26" i="1"/>
  <c r="CC251" i="1" l="1"/>
  <c r="CC256" i="1" s="1"/>
  <c r="CD295" i="1"/>
  <c r="CD296" i="1"/>
  <c r="CD297" i="1"/>
  <c r="CC343" i="1" l="1"/>
  <c r="CC261" i="1"/>
  <c r="CC252" i="1"/>
  <c r="CD27" i="1"/>
  <c r="CC2" i="1"/>
  <c r="CC287" i="1"/>
  <c r="CC293" i="1" l="1"/>
  <c r="CC290" i="1"/>
  <c r="CC289" i="1"/>
  <c r="CC292" i="1"/>
  <c r="CC301" i="1"/>
  <c r="CC302" i="1"/>
  <c r="CC267" i="1"/>
  <c r="CC282" i="1" s="1"/>
  <c r="CD29" i="1"/>
  <c r="CD30" i="1" l="1"/>
  <c r="CD31" i="1" s="1"/>
  <c r="CD33" i="1" l="1"/>
  <c r="CD35" i="1"/>
  <c r="CD1" i="1" s="1"/>
  <c r="CD259" i="1"/>
  <c r="CD335" i="1" l="1"/>
  <c r="CD336" i="1"/>
  <c r="CD231" i="1"/>
  <c r="CD36" i="1"/>
  <c r="CD278" i="1"/>
  <c r="CD312" i="1"/>
  <c r="CD342" i="1"/>
  <c r="CD233" i="1"/>
  <c r="CD241" i="1" l="1"/>
  <c r="CD378" i="1"/>
  <c r="CD280" i="1"/>
  <c r="CD357" i="1"/>
  <c r="CD359" i="1" s="1"/>
  <c r="CD349" i="1"/>
  <c r="CD348" i="1"/>
  <c r="CD361" i="1" l="1"/>
  <c r="CD363" i="1" s="1"/>
  <c r="CD339" i="1"/>
  <c r="CD338" i="1"/>
  <c r="CD350" i="1"/>
  <c r="CD351" i="1"/>
  <c r="CD354" i="1"/>
  <c r="CD243" i="1"/>
  <c r="CD353" i="1" s="1"/>
  <c r="CD368" i="1" l="1"/>
  <c r="CD273" i="1" s="1"/>
  <c r="CD369" i="1"/>
  <c r="CD285" i="1" l="1"/>
  <c r="CD286" i="1"/>
  <c r="CD281" i="1"/>
  <c r="CD288" i="1" l="1"/>
  <c r="CD246" i="1"/>
  <c r="CE26" i="1"/>
  <c r="CD251" i="1" l="1"/>
  <c r="CD256" i="1" s="1"/>
  <c r="CE296" i="1"/>
  <c r="CE295" i="1"/>
  <c r="CE297" i="1"/>
  <c r="Q26" i="1"/>
  <c r="Q295" i="1" l="1"/>
  <c r="Q296" i="1"/>
  <c r="Q297" i="1"/>
  <c r="CD343" i="1"/>
  <c r="CD261" i="1"/>
  <c r="CD252" i="1"/>
  <c r="CE27" i="1"/>
  <c r="CD2" i="1"/>
  <c r="CD287" i="1"/>
  <c r="CD292" i="1" l="1"/>
  <c r="CD289" i="1"/>
  <c r="CD293" i="1"/>
  <c r="CD290" i="1"/>
  <c r="CD302" i="1"/>
  <c r="CD301" i="1"/>
  <c r="CD267" i="1"/>
  <c r="CD282" i="1" s="1"/>
  <c r="Q27" i="1"/>
  <c r="CE29" i="1"/>
  <c r="CE30" i="1" l="1"/>
  <c r="CE31" i="1" s="1"/>
  <c r="Q65" i="1"/>
  <c r="Q29" i="1"/>
  <c r="CE35" i="1" l="1"/>
  <c r="CE1" i="1" s="1"/>
  <c r="CE33" i="1"/>
  <c r="P30" i="1"/>
  <c r="Q30" i="1"/>
  <c r="Q66" i="1" s="1"/>
  <c r="CE259" i="1"/>
  <c r="CE336" i="1" l="1"/>
  <c r="CE335" i="1"/>
  <c r="CE231" i="1"/>
  <c r="CE36" i="1"/>
  <c r="CE278" i="1"/>
  <c r="Q259" i="1"/>
  <c r="Q342" i="1" s="1"/>
  <c r="CE312" i="1"/>
  <c r="CE342" i="1"/>
  <c r="CE233" i="1"/>
  <c r="P66" i="1"/>
  <c r="P31" i="1"/>
  <c r="Q31" i="1"/>
  <c r="P350" i="1" l="1"/>
  <c r="P35" i="1"/>
  <c r="P33" i="1"/>
  <c r="CE241" i="1"/>
  <c r="P231" i="1"/>
  <c r="Q231" i="1"/>
  <c r="O233" i="1"/>
  <c r="O241" i="1" s="1"/>
  <c r="P233" i="1"/>
  <c r="Q233" i="1"/>
  <c r="Q278" i="1"/>
  <c r="CE280" i="1"/>
  <c r="CE378" i="1"/>
  <c r="Q357" i="1"/>
  <c r="Q348" i="1"/>
  <c r="Q349" i="1"/>
  <c r="Q35" i="1"/>
  <c r="Q33" i="1"/>
  <c r="CE357" i="1"/>
  <c r="CE359" i="1" s="1"/>
  <c r="CE349" i="1"/>
  <c r="CE348" i="1"/>
  <c r="P241" i="1" l="1"/>
  <c r="P243" i="1" s="1"/>
  <c r="P1" i="1"/>
  <c r="Q1" i="1"/>
  <c r="CE361" i="1"/>
  <c r="CE363" i="1" s="1"/>
  <c r="CE339" i="1"/>
  <c r="CE338" i="1"/>
  <c r="CE350" i="1"/>
  <c r="CE351" i="1"/>
  <c r="P351" i="1"/>
  <c r="P335" i="1"/>
  <c r="P336" i="1"/>
  <c r="P36" i="1"/>
  <c r="P378" i="1"/>
  <c r="Q335" i="1"/>
  <c r="Q336" i="1"/>
  <c r="Q36" i="1"/>
  <c r="Q280" i="1"/>
  <c r="Q378" i="1"/>
  <c r="Q241" i="1"/>
  <c r="O354" i="1"/>
  <c r="O243" i="1"/>
  <c r="CE354" i="1"/>
  <c r="CE243" i="1"/>
  <c r="CE353" i="1" s="1"/>
  <c r="P354" i="1" l="1"/>
  <c r="P353" i="1"/>
  <c r="CE368" i="1"/>
  <c r="CE369" i="1"/>
  <c r="Q369" i="1" s="1"/>
  <c r="O353" i="1"/>
  <c r="O251" i="1"/>
  <c r="Q354" i="1"/>
  <c r="Q243" i="1"/>
  <c r="Q361" i="1"/>
  <c r="Q338" i="1"/>
  <c r="Q339" i="1"/>
  <c r="Q350" i="1"/>
  <c r="Q351" i="1"/>
  <c r="Q353" i="1" l="1"/>
  <c r="CE273" i="1"/>
  <c r="Q368" i="1"/>
  <c r="CE286" i="1" l="1"/>
  <c r="CE285" i="1"/>
  <c r="Q273" i="1"/>
  <c r="CE281" i="1"/>
  <c r="Q285" i="1" l="1"/>
  <c r="Q286" i="1"/>
  <c r="Q281" i="1"/>
  <c r="CE288" i="1"/>
  <c r="CE246" i="1"/>
  <c r="CE251" i="1" l="1"/>
  <c r="CE256" i="1" s="1"/>
  <c r="P246" i="1"/>
  <c r="P251" i="1" s="1"/>
  <c r="Q246" i="1"/>
  <c r="Q251" i="1" s="1"/>
  <c r="Q288" i="1"/>
  <c r="CE343" i="1" l="1"/>
  <c r="CE261" i="1"/>
  <c r="CE252" i="1"/>
  <c r="CE2" i="1"/>
  <c r="Q256" i="1"/>
  <c r="CE287" i="1"/>
  <c r="CE292" i="1" l="1"/>
  <c r="CE290" i="1"/>
  <c r="CE293" i="1"/>
  <c r="CE289" i="1"/>
  <c r="CE302" i="1"/>
  <c r="CE301" i="1"/>
  <c r="CE267" i="1"/>
  <c r="CE282" i="1" s="1"/>
  <c r="Q358" i="1"/>
  <c r="Q359" i="1" s="1"/>
  <c r="Q363" i="1" s="1"/>
  <c r="Q343" i="1"/>
  <c r="Q261" i="1"/>
  <c r="Q2" i="1"/>
  <c r="Q287" i="1"/>
  <c r="Q301" i="1" l="1"/>
  <c r="Q302" i="1"/>
  <c r="Q267" i="1"/>
  <c r="Q282" i="1" s="1"/>
  <c r="Q293" i="1"/>
  <c r="Q289" i="1"/>
  <c r="Q292" i="1"/>
  <c r="Q290" i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T12" authorId="0">
      <text>
        <r>
          <rPr>
            <sz val="9"/>
            <color indexed="81"/>
            <rFont val="Tahoma"/>
            <family val="2"/>
          </rPr>
          <t>incl .017 of "other"</t>
        </r>
      </text>
    </comment>
    <comment ref="BS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$19.3 of tax reform impact</t>
        </r>
      </text>
    </comment>
    <comment ref="BL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tax benefit from resolution of tax issue and affiliated professional fees</t>
        </r>
      </text>
    </comment>
    <comment ref="BS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impact of tax reform</t>
        </r>
      </text>
    </comment>
    <comment ref="B37" authorId="0">
      <text>
        <r>
          <rPr>
            <sz val="9"/>
            <color indexed="81"/>
            <rFont val="Tahoma"/>
            <family val="2"/>
          </rPr>
          <t>Historicals are pro forma for stock splits</t>
        </r>
      </text>
    </comment>
    <comment ref="AQ38" authorId="0">
      <text>
        <r>
          <rPr>
            <sz val="9"/>
            <color indexed="81"/>
            <rFont val="Tahoma"/>
            <family val="2"/>
          </rPr>
          <t>raised dividend to $0.07/shr / Q, payable on pre-split shares; raised</t>
        </r>
      </text>
    </comment>
    <comment ref="AR38" authorId="0">
      <text>
        <r>
          <rPr>
            <sz val="9"/>
            <color indexed="81"/>
            <rFont val="Tahoma"/>
            <family val="2"/>
          </rPr>
          <t>increased in 4Q for shareholders as of feb 2011</t>
        </r>
      </text>
    </comment>
    <comment ref="BV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</t>
        </r>
      </text>
    </comment>
    <comment ref="AT42" authorId="0">
      <text>
        <r>
          <rPr>
            <sz val="9"/>
            <color indexed="81"/>
            <rFont val="Tahoma"/>
            <family val="2"/>
          </rPr>
          <t>adding ~$20mm to topline based on $20mm lost in 2Q from customer operational delay</t>
        </r>
      </text>
    </comment>
    <comment ref="AV42" authorId="0">
      <text>
        <r>
          <rPr>
            <sz val="9"/>
            <color indexed="81"/>
            <rFont val="Tahoma"/>
            <family val="2"/>
          </rPr>
          <t>added 70kHp at end of 4Q11, so ~13% impact plus no impact from 2 weeks of holidays should give ~7% growth, for ~20% q/q topline growth, less impact of lower utilization, moving, etc.
stated that ~40% of $20m decline was materials shortages, next biggest piece was holidays</t>
        </r>
      </text>
    </comment>
    <comment ref="AX42" authorId="0">
      <text>
        <r>
          <rPr>
            <sz val="9"/>
            <color indexed="81"/>
            <rFont val="Tahoma"/>
            <family val="2"/>
          </rPr>
          <t xml:space="preserve"> crews moving in 2Q out most of Q, back by end of 2Q, plus crew going to work in Bakken, offset by continued pricing pressure</t>
        </r>
      </text>
    </comment>
    <comment ref="AY42" authorId="0">
      <text>
        <r>
          <rPr>
            <sz val="9"/>
            <color indexed="81"/>
            <rFont val="Tahoma"/>
            <family val="2"/>
          </rPr>
          <t>without benefit of more equip going to work, bias toward pricing pressure</t>
        </r>
      </text>
    </comment>
    <comment ref="BT4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higher than 40% incrementals</t>
        </r>
      </text>
    </comment>
    <comment ref="AX48" authorId="0">
      <text>
        <r>
          <rPr>
            <sz val="9"/>
            <color indexed="81"/>
            <rFont val="Tahoma"/>
            <family val="2"/>
          </rPr>
          <t xml:space="preserve"> June margin not much different than 2Q avg, but continued pricing pressure expected</t>
        </r>
      </text>
    </comment>
    <comment ref="BM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guidance: D&amp;A to roll off significantly over next few quarters due to 2011-12 newbuild equipment becoming fully depreciated</t>
        </r>
      </text>
    </comment>
    <comment ref="BN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guidance: D&amp;A to roll off significantly over next few quarters due to 2011-12 newbuild equipment becoming fully depreciated</t>
        </r>
      </text>
    </comment>
    <comment ref="BO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guidance: D&amp;A to roll off significantly over next few quarters due to 2011-12 newbuild equipment becoming fully depreciated; dropping ~$4mm/Q</t>
        </r>
      </text>
    </comment>
    <comment ref="BP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guidance: D&amp;A to roll off significantly over next few quarters due to 2011-12 newbuild equipment becoming fully depreciated</t>
        </r>
      </text>
    </comment>
    <comment ref="BQ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guidance: D&amp;A to roll off significantly over next few quarters due to 2011-12 newbuild equipment becoming fully depreciated</t>
        </r>
      </text>
    </comment>
    <comment ref="BR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guidance: D&amp;A to roll off significantly over next few quarters due to 2011-12 newbuild equipment becoming fully depreciated</t>
        </r>
      </text>
    </comment>
    <comment ref="BT6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20-25%</t>
        </r>
      </text>
    </comment>
    <comment ref="AZ75" authorId="0">
      <text>
        <r>
          <rPr>
            <sz val="9"/>
            <color indexed="81"/>
            <rFont val="Tahoma"/>
            <family val="2"/>
          </rPr>
          <t>RPC's pressure pumping fleet during the quarter remained unchanged at 680,000
hydraulic horsepower</t>
        </r>
      </text>
    </comment>
    <comment ref="BA75" authorId="0">
      <text>
        <r>
          <rPr>
            <sz val="9"/>
            <color indexed="81"/>
            <rFont val="Tahoma"/>
            <family val="2"/>
          </rPr>
          <t xml:space="preserve">RPC's pressure pumping fleet during the
quarter remained unchanged at approximately 680,000 hydraulic horsepower.
</t>
        </r>
      </text>
    </comment>
    <comment ref="BI75" authorId="0">
      <text>
        <r>
          <rPr>
            <sz val="9"/>
            <color indexed="81"/>
            <rFont val="Tahoma"/>
            <family val="2"/>
          </rPr>
          <t>30% is idled, 50% of that is unstaffed</t>
        </r>
      </text>
    </comment>
    <comment ref="BK75" authorId="0">
      <text>
        <r>
          <rPr>
            <sz val="9"/>
            <color indexed="81"/>
            <rFont val="Tahoma"/>
            <family val="2"/>
          </rPr>
          <t>approximately 70% is staffed</t>
        </r>
      </text>
    </comment>
    <comment ref="BU7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ordered 127kHP, expect start generating revenue mid 2Q, but effective capacity addiiton more like 90kHP as will move some out of service line and retire some</t>
        </r>
      </text>
    </comment>
    <comment ref="BV7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ordered 127kHP, expect start generating revenue mid 2Q, but effective capacity addiiton more like 90kHP as will move some out of service line and retire some</t>
        </r>
      </text>
    </comment>
    <comment ref="BH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15% unstaffed</t>
        </r>
      </text>
    </comment>
    <comment ref="BI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30% unstaffed</t>
        </r>
      </text>
    </comment>
    <comment ref="BL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~40% unmanned</t>
        </r>
      </text>
    </comment>
    <comment ref="BN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~50% stacked</t>
        </r>
      </text>
    </comment>
    <comment ref="BO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~50% stacked</t>
        </r>
      </text>
    </comment>
    <comment ref="BP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~70% end of quarter, 50% beginning</t>
        </r>
      </text>
    </comment>
    <comment ref="BQ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75%, exited at 70% and ended at 80%</t>
        </r>
      </text>
    </comment>
    <comment ref="BR7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95% manned at EOQ, 80% at beginning</t>
        </r>
      </text>
    </comment>
    <comment ref="B89" authorId="0">
      <text>
        <r>
          <rPr>
            <sz val="9"/>
            <color indexed="81"/>
            <rFont val="Tahoma"/>
            <family val="2"/>
          </rPr>
          <t>Non-pressure pumping</t>
        </r>
      </text>
    </comment>
    <comment ref="B93" authorId="0">
      <text>
        <r>
          <rPr>
            <sz val="9"/>
            <color indexed="81"/>
            <rFont val="Tahoma"/>
            <family val="2"/>
          </rPr>
          <t>Non-pressure pumping</t>
        </r>
      </text>
    </comment>
    <comment ref="B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proportionate corporate</t>
        </r>
      </text>
    </comment>
    <comment ref="B108" authorId="0">
      <text>
        <r>
          <rPr>
            <sz val="9"/>
            <color indexed="81"/>
            <rFont val="Tahoma"/>
            <family val="2"/>
          </rPr>
          <t>all TS EBIT</t>
        </r>
      </text>
    </comment>
    <comment ref="BH11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</t>
        </r>
      </text>
    </comment>
    <comment ref="AT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AU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AV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AW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AX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AY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AZ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A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B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C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D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E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F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G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PacWest</t>
        </r>
      </text>
    </comment>
    <comment ref="BG122" authorId="0">
      <text>
        <r>
          <rPr>
            <sz val="9"/>
            <color indexed="81"/>
            <rFont val="Tahoma"/>
            <family val="2"/>
          </rPr>
          <t>"a little over 9%"</t>
        </r>
      </text>
    </comment>
    <comment ref="B124" authorId="0">
      <text>
        <r>
          <rPr>
            <sz val="9"/>
            <color indexed="81"/>
            <rFont val="Tahoma"/>
            <family val="2"/>
          </rPr>
          <t xml:space="preserve"> included in Support services</t>
        </r>
      </text>
    </comment>
    <comment ref="B151" authorId="0">
      <text>
        <r>
          <rPr>
            <sz val="9"/>
            <color indexed="81"/>
            <rFont val="Tahoma"/>
            <family val="2"/>
          </rPr>
          <t>assumed proportionate to sales</t>
        </r>
      </text>
    </comment>
    <comment ref="T172" authorId="0">
      <text>
        <r>
          <rPr>
            <sz val="9"/>
            <color indexed="81"/>
            <rFont val="Tahoma"/>
            <family val="2"/>
          </rPr>
          <t xml:space="preserve"> Other
</t>
        </r>
      </text>
    </comment>
    <comment ref="B175" authorId="0">
      <text>
        <r>
          <rPr>
            <sz val="9"/>
            <color indexed="81"/>
            <rFont val="Tahoma"/>
            <family val="2"/>
          </rPr>
          <t>assumed proportionate to sales</t>
        </r>
      </text>
    </comment>
    <comment ref="BL20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professional fees</t>
        </r>
      </text>
    </comment>
    <comment ref="BM20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normalization of bad debt expense, professional fees</t>
        </r>
      </text>
    </comment>
    <comment ref="BT22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$70-80mm to newbuilds</t>
        </r>
      </text>
    </comment>
    <comment ref="BP2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  <comment ref="BR2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 on disposition</t>
        </r>
      </text>
    </comment>
    <comment ref="BQ2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tax refund</t>
        </r>
      </text>
    </comment>
    <comment ref="G242" authorId="0">
      <text>
        <r>
          <rPr>
            <sz val="9"/>
            <color indexed="81"/>
            <rFont val="Tahoma"/>
            <family val="2"/>
          </rPr>
          <t xml:space="preserve"> 210mm</t>
        </r>
      </text>
    </comment>
    <comment ref="H242" authorId="0">
      <text>
        <r>
          <rPr>
            <sz val="9"/>
            <color indexed="81"/>
            <rFont val="Tahoma"/>
            <family val="2"/>
          </rPr>
          <t>Has stated 2011 capex will be  similar to 2010
Apr 11: $350mm FY
Jul 11: $400mm FY
Oct 11: 400-450 FY</t>
        </r>
      </text>
    </comment>
    <comment ref="I242" authorId="0">
      <text>
        <r>
          <rPr>
            <sz val="9"/>
            <color indexed="81"/>
            <rFont val="Tahoma"/>
            <family val="2"/>
          </rPr>
          <t xml:space="preserve"> $350m
2Q call: $350mm
3Q call: $350mm</t>
        </r>
      </text>
    </comment>
    <comment ref="J242" authorId="0">
      <text>
        <r>
          <rPr>
            <sz val="9"/>
            <color indexed="81"/>
            <rFont val="Tahoma"/>
            <family val="2"/>
          </rPr>
          <t xml:space="preserve"> expect 275m</t>
        </r>
      </text>
    </comment>
    <comment ref="K242" authorId="0">
      <text>
        <r>
          <rPr>
            <sz val="9"/>
            <color indexed="81"/>
            <rFont val="Tahoma"/>
            <family val="2"/>
          </rPr>
          <t>375mm</t>
        </r>
      </text>
    </comment>
    <comment ref="L242" authorId="0">
      <text>
        <r>
          <rPr>
            <sz val="9"/>
            <color indexed="81"/>
            <rFont val="Tahoma"/>
            <family val="2"/>
          </rPr>
          <t>150 for the year, 80 of which is maint.</t>
        </r>
      </text>
    </comment>
    <comment ref="M242" authorId="0">
      <text>
        <r>
          <rPr>
            <sz val="9"/>
            <color indexed="81"/>
            <rFont val="Tahoma"/>
            <family val="2"/>
          </rPr>
          <t>60mm for FY 16, back-end loaded</t>
        </r>
      </text>
    </comment>
    <comment ref="N24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100mm</t>
        </r>
      </text>
    </comment>
    <comment ref="O24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~$265mm</t>
        </r>
      </text>
    </comment>
    <comment ref="AO242" authorId="0">
      <text>
        <r>
          <rPr>
            <sz val="9"/>
            <color indexed="81"/>
            <rFont val="Tahoma"/>
            <family val="2"/>
          </rPr>
          <t xml:space="preserve"> guided to be $130 for 2010
July 10: Guided $210 for 2010</t>
        </r>
      </text>
    </comment>
    <comment ref="AP242" authorId="0">
      <text>
        <r>
          <rPr>
            <sz val="9"/>
            <color indexed="81"/>
            <rFont val="Tahoma"/>
            <family val="2"/>
          </rPr>
          <t xml:space="preserve"> guided to be $130 for 2010
July 10: Guided $210 for 2010</t>
        </r>
      </text>
    </comment>
    <comment ref="AQ242" authorId="0">
      <text>
        <r>
          <rPr>
            <sz val="9"/>
            <color indexed="81"/>
            <rFont val="Tahoma"/>
            <family val="2"/>
          </rPr>
          <t xml:space="preserve"> guided to be $130 for 2010
July 10: Guided $210 for 2010</t>
        </r>
      </text>
    </comment>
    <comment ref="BI242" authorId="0">
      <text>
        <r>
          <rPr>
            <sz val="9"/>
            <color indexed="81"/>
            <rFont val="Tahoma"/>
            <family val="2"/>
          </rPr>
          <t>150 for the year, 80 of which is maint.</t>
        </r>
      </text>
    </comment>
    <comment ref="BK242" authorId="0">
      <text>
        <r>
          <rPr>
            <sz val="9"/>
            <color indexed="81"/>
            <rFont val="Tahoma"/>
            <family val="2"/>
          </rPr>
          <t>80-90mm in maint. For FY</t>
        </r>
      </text>
    </comment>
    <comment ref="BN242" authorId="0">
      <text>
        <r>
          <rPr>
            <sz val="9"/>
            <color indexed="81"/>
            <rFont val="Tahoma"/>
            <family val="2"/>
          </rPr>
          <t>35mm</t>
        </r>
      </text>
    </comment>
    <comment ref="BR26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income tax receivable</t>
        </r>
      </text>
    </comment>
    <comment ref="BQ3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participating securities treated as regular shares</t>
        </r>
      </text>
    </comment>
    <comment ref="BR3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participating securities treated as regular shares</t>
        </r>
      </text>
    </comment>
    <comment ref="BL36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company has acquired a separate LOC facility</t>
        </r>
      </text>
    </comment>
  </commentList>
</comments>
</file>

<file path=xl/comments2.xml><?xml version="1.0" encoding="utf-8"?>
<comments xmlns="http://schemas.openxmlformats.org/spreadsheetml/2006/main">
  <authors>
    <author>Lynagh, Connor J (Research)</author>
  </authors>
  <commentList>
    <comment ref="A1" authorId="0">
      <text>
        <r>
          <rPr>
            <sz val="9"/>
            <color indexed="81"/>
            <rFont val="Tahoma"/>
            <family val="2"/>
          </rPr>
          <t>卟䙄_x0001_＀＀˄䵛＀Ｏ䕒幓南䱟䅅䕓䍟䵏䥍彔剙⠴㈱㈯〰ⰲ㈱㈯〰ⰲⰬ唬䑓착_x0018_＀＀_x0018_＀＀_x0008_＀＀_x0001_＀＀_x0001_＀＀멞౉⬂㿗˄䵛＀Ｏ䕒幓南䱟䅅䕓䍟䵏䥍彔剙⠴㈱㈯〰ⰳ㈱㈯〰ⰳⰬ唬䑓착_x0018_＀＀_x0018_＀＀_x0008_＀＀_x0001_＀＀_x0001_＀＀酨糭㔿㿎˄䵛＀Ｏ䕒幓南䱟䅅䕓䍟䵏䥍彔剙⠴㈱㈯〰ⰴ㈱㈯〰ⰴⰬ唬䑓착_x0018_＀＀_x0018_＀＀_x0008_＀＀_x0001_＀＀_x0001_＀＀䖢퓽㿠˄䵛＀Ｏ䕒幓南䱟䅅䕓䍟䵏䥍彔剙⠴㈱㈯〰ⰵ㈱㈯〰ⰵⰬ唬䑓착_x0018_＀＀_x0018_＀＀_x0008_＀＀_x0001_＀＀_x0001_＀＀竡긔㿦ˀ䵛_x000E_䕒幓南䍟彏䅎䕍_x001A_＀＀_x0018_＀＀
＀＀_x0001_＀＀_x0008_＀＀偒ⱃ䤠䍎.˄䵛＀Ｏ䕒幓南䱟䅅䕓䍟䵏䥍彔剙⠴㈱㈯〰ⰶ㈱㈯〰ⰶⰬ唬䑓착_x0018_＀＀_x0018_＀＀_x0008_＀＀_x0001_＀＀_x0001_＀＀⋑率橾㿴˄䵛＀Ｏ䕒幓南䱟䅅䕓䍟䵏䥍彔剙⠴㈱㈯〰ⰷ㈱㈯〰ⰷⰬ唬䑓착_x0018_＀＀_x0018_＀＀_x0008_＀＀_x0001_＀＀_x0001_＀＀퓽㿸˄䵛＀Ｏ䕒幓南䱟䅅䕓䍟䵏䥍彔剙⠴㈱㈯〰ⰸ㈱㈯〰ⰸⰬ唬䑓착_x0018_＀＀_x0018_＀＀_x0008_＀＀_x0001_＀＀_x0001_＀＀⼛ⓝ脆㿷˄䵛＀Ｏ䕒幓南䱟䅅䕓䍟䵏䥍彔剙⠴㈱㈯〰ⰹ㈱㈯〰ⰹⰬ唬䑓착_x0018_＀＀_x0018_＀＀_x0008_＀＀_x0001_＀＀_x0001_＀＀빷᪟_xDD2F_㿸̚䵛_x0011_䕒幓彇剐䍉⡅〲㈱착_x0018_＀＀_x0018_＀＀_x0008_＀＀_x0001_＀＀_x0001_＀＀＀＀＀＀耀䀱˄䵛[䕒幓南剟久䅔彌偏䱟䕓䕟偘ㄨ⼲〲㔰ㄬ⼲〲㔰ⰬⰬ单⥄䍀彁呒剟久彔䥍彎塅⡐㈱㈯〰ⰵ㈱㈯〰ⰵⰬ唬䑓착_x0018_＀＀_x0018_＀＀_x0008_＀＀_x0001_＀＀_x0001_＀＀帵䦺Ȍ䀕˄䵛＀Ｏ䕒幓南䱟䅅䕓䍟䵏䥍彔剙⠴㈱㈯㄰ⰰ㈱㈯㄰ⰰⰬ唬䑓착_x0018_＀＀_x0018_＀＀_x0008_＀＀_x0001_＀＀_x0001_＀＀豀碵꼝쐕˄䵛%䕒幓南䥟呎剟呁彅夵噁⡇㈱㈯〰ⰲⰬ唬䑓착_x0018_＀＀_x0018_＀＀_x0008_＀＀_x0001_＀＀_x0001_＀＀豀碵꼝쐕˄䵛＀Ｏ䕒幓南䱟䅅䕓䍟䵏䥍彔剙⠵㈱㈯〰ⰲ㈱㈯〰ⰲⰬ唬䑓착_x0018_＀＀_x0018_＀＀_x0008_＀＀_x0001_＀＀_x0001_＀＀㥘좴빶㾯˄䵛＀Ｏ䕒幓南䱟䅅䕓䍟䵏䥍彔剙⠵㈱㈯〰ⰳ㈱㈯〰ⰳⰬ唬䑓착_x0018_＀＀_x0018_＀＀_x0008_＀＀_x0001_＀＀_x0001_＀＀沋ﯧ㾲˄䵛＀Ｏ䕒幓南䱟䅅䕓䍟䵏䥍彔剙⠵㈱㈯〰ⰴ㈱㈯〰ⰴⰬ唬䑓착_x0018_＀＀_x0018_＀＀_x0008_＀＀_x0001_＀＀_x0001_＀＀ㄧ갈娜㿄˄䵛＀Ｏ䕒幓南䱟䅅䕓䍟䵏䥍彔剙⠵㈱㈯〰ⰵ㈱㈯〰ⰵⰬ唬䑓착_x0018_＀＀_x0018_＀＀_x0008_＀＀_x0001_＀＀_x0001_＀＀틲才堐㿙˄䵛%䕒幓南䥟呎剟呁彅夵噁⡇㈱㈯〰ⰸⰬ唬䑓착_x0018_＀＀_x0018_＀＀_x0008_＀＀_x0001_＀＀_x0001_＀＀豀碵꼝쐕˄䵛＀Ｏ䕒幓南䱟䅅䕓䍟䵏䥍彔剙⠵㈱㈯〰ⰶ㈱㈯〰ⰶⰬ唬䑓착_x0018_＀＀_x0018_＀＀_x0008_＀＀_x0001_＀＀_x0001_＀＀뀡桲㿨˄䵛＀Ｏ䕒幓南䱟䅅䕓䍟䵏䥍彔剙⠵㈱㈯〰ⰷ㈱㈯〰ⰷⰬ唬䑓착_x0018_＀＀_x0018_＀＀_x0008_＀＀_x0001_＀＀_x0001_＀＀삃ꇊ뙅㿧̚䵛_x0011_䕒幓彇剐䍉⡅〲㌱착_x0018_＀＀_x0018_＀＀_x0008_＀＀_x0001_＀＀_x0001_＀＀＀＀＀＀耀䀱˄䵛＀Ｏ䕒幓南䱟䅅䕓䍟䵏䥍彔剙⠵㈱㈯〰ⰸ㈱㈯〰ⰸⰬ唬䑓착_x0018_＀＀_x0018_＀＀_x0008_＀＀_x0001_＀＀_x0001_＀＀눭욧㿯˄䵛＀Ｏ䕒幓南䱟䅅䕓䍟䵏䥍彔剙⠵㈱㈯〰ⰹ㈱㈯〰ⰹⰬ唬䑓착_x0018_＀＀_x0018_＀＀_x0008_＀＀_x0001_＀＀_x0001_＀＀晦晦晦㿮˄䵛＀Ｏ䕒幓南䱟䅅䕓䍟䵏䥍彔剙⠵㈱㈯㄰ⰰ㈱㈯㄰ⰰⰬ唬䑓착_x0018_＀＀_x0018_＀＀_x0008_＀＀_x0001_＀＀_x0001_＀＀豀碵꼝쐕̚䵛_x0011_䕒幓彇剐䍉⡅〲㘰착_x0018_＀＀_x0018_＀＀_x0008_＀＀_x0001_＀＀_x0001_＀＀ﻁ_xDCEB_膴䀦˄䵛'䕒幓南䥟呎剟呁⡅㈱㈯〰ⰳ㈱㈯〰ⰳⰬ唬䑓착_x0018_＀＀_x0018_＀＀_x0008_＀＀_x0001_＀＀_x0001_＀＀㪽胇뗬䀄˄䵛'䕒幓南䥟呎剟呁⡅㈱㈯〰ⰴ㈱㈯〰ⰴⰬ唬䑓착_x0018_＀＀_x0018_＀＀_x0008_＀＀_x0001_＀＀_x0001_＀＀雑⥳ꪮ㿶˄䵛'䕒幓南䥟呎剟呁⡅㈱㈯〰ⰵ㈱㈯〰ⰵⰬ唬䑓착_x0018_＀＀_x0018_＀＀_x0008_＀＀_x0001_＀＀_x0001_＀＀豀碵꼝쐕˄䵛'䕒幓南䥟呎剟呁⡅㈱㈯〰ⰶ㈱㈯〰ⰶⰬ唬䑓착_x0018_＀＀_x0018_＀＀_x0008_＀＀_x0001_＀＀_x0001_＀＀坾_xFFFF_＄쥛㿲˄䵛'䕒幓南䥟呎剟呁⡅㈱㈯〰ⰷ㈱㈯〰ⰷⰬ唬䑓착_x0018_＀＀_x0018_＀＀_x0008_＀＀_x0001_＀＀_x0001_＀＀䬉怼䀅˄䵛[䕒幓南剟久䅔彌偏䱟䕓䕟偘ㄨ⼲〲㐰ㄬ⼲〲㐰ⰬⰬ单⥄䍀彁呒剟久彔䥍彎塅⡐㈱㈯〰ⰴ㈱㈯〰ⰴⰬ唬䑓착_x0018_＀＀_x0018_＀＀_x0008_＀＀_x0001_＀＀_x0001_＀＀娝㭤쿟䀐˄䵛'䕒幓南䥟呎剟呁⡅㈱㈯〰ⰸ㈱㈯〰ⰸⰬ唬䑓착_x0018_＀＀_x0018_＀＀_x0008_＀＀_x0001_＀＀_x0001_＀＀ꅢ㓖㣯䀈˄䵛'䕒幓南䥟呎剟呁⡅㈱㈯〰ⰹ㈱㈯〰ⰹⰬ唬䑓착_x0018_＀＀_x0018_＀＀_x0008_＀＀_x0001_＀＀_x0001_＀＀䦺Ȍ䜫䀃̚䵛_x0011_䕒幓彇剐䍉⡅〲㜰착_x0018_＀＀_x0018_＀＀_x0008_＀＀_x0001_＀＀_x0001_＀＀಻㨆䀟˃䵛_x0013_䕒幓彐剐䍉彅佌彗㈵챗_x0018_＀＀_x0018_＀＀_x0008_＀＀_x0001_＀＀_x0001_＀＀㿮ᴲ洺䀚˄䵛%䕒幓南䥟呎剟呁彅夵噁⡇㈱㈯〰ⰳⰬ唬䑓착_x0018_＀＀_x0018_＀＀_x0008_＀＀_x0001_＀＀_x0001_＀＀豀碵꼝쐕̚䵛_x0011_䕒幓彇剐䍉⡅〲㠰착_x0018_＀＀_x0018_＀＀_x0008_＀＀_x0001_＀＀_x0001_＀＀_xD987_뛋ۓ䀚˄䵛%䕒幓南䥟呎剟呁彅夵噁⡇㈱㈯〰ⰹⰬ唬䑓착_x0018_＀＀_x0018_＀＀_x0008_＀＀_x0001_＀＀_x0001_＀＀豀碵꼝쐕˂䵛_x001B_䕒幓坍呟塁剟呁⡅低ⱗⰬ刢≐착_x0018_＀＀_x0018_＀＀_x0008_＀＀_x0001_＀＀_x0001_＀＀䈱둸ᱱ䁃˄䵛'䕒幓南䥟呎剟呁⡅㈱㈯㄰ⰰ㈱㈯㄰ⰰⰬ唬䑓착_x0018_＀＀_x0018_＀＀_x0008_＀＀_x0001_＀＀_x0001_＀＀棇唝遍䀁˄䵛[䕒幓南剟久䅔彌偏䱟䕓䕟偘ㄨ⼲〲㌰ㄬ⼲〲㌰ⰬⰬ单⥄䍀彁呒剟久彔䥍彎塅⡐㈱㈯〰ⰳ㈱㈯〰ⰳⰬ唬䑓착_x0018_＀＀_x0018_＀＀_x0008_＀＀_x0001_＀＀_x0001_＀＀ᑻ䞮竡䀐̚䵛_x0011_䕒幓彇剐䍉⡅〲㤰착_x0018_＀＀_x0018_＀＀_x0008_＀＀_x0001_＀＀_x0001_＀＀᰺ꕝ뮻䀛˂䵛_x0017_䕒幓杦灟楲散㄁⼰㘲㈯㄰찰_x0018_＀＀_x0018_＀＀_x0008_＀＀_x0001_＀＀_x0001_＀＀釚㯪墿䀯˄䵛[䕒幓南剟久䅔彌偏䱟䕓䕟偘ㄨ⼲〲〱ㄬ⼲〲〱ⰬⰬ单⥄䍀彁呒剟久彔䥍彎塅⡐㈱㈯㄰ⰰ㈱㈯㄰ⰰⰬ唬䑓착_x0018_＀＀_x0018_＀＀_x0008_＀＀_x0001_＀＀_x0001_＀＀豀碵꼝쐕˃䵛_x001C_䕒幓䝆䕟呎噟䱁䕕ㄨ⼲ㄳ㈯〰⤹_x0018_＀＀_x0018_＀＀_x0008_＀＀_x0001_＀＀_x0001_＀＀Ẹ蘑䂑˄䵛%䕒幓南䥟呎剟呁彅夵噁⡇㈱㈯〰ⰴⰬ唬䑓착_x0018_＀＀_x0018_＀＀_x0008_＀＀_x0001_＀＀_x0001_＀＀豀碵꼝쐕˄䵛%䕒幓南䥟呎剟呁彅夵噁⡇㈱㈯㄰ⰰⰬ唬䑓착_x0018_＀＀_x0018_＀＀_x0008_＀＀_x0001_＀＀_x0001_＀＀柋ṹ巜䀂˄䵛[䕒幓南剟久䅔彌偏䱟䕓䕟偘ㄨ⼲〲㈰ㄬ⼲〲㈰ⰬⰬ单⥄䍀彁呒剟久彔䥍彎塅⡐㈱㈯〰ⰲ㈱㈯〰ⰲⰬ唬䑓착_x0018_＀＀_x0018_＀＀_x0008_＀＀_x0001_＀＀_x0001_＀＀㵱휊炣䀏˃䵛_x0013_䕒幓䝆䕟呎噟䱁䕕〨착_x0018_＀＀_x0018_＀＀_x0008_＀＀_x0001_＀＀_x0001_＀＀⃅犰ⷨ䂥ˀ䵛_x0017_䕒幓南䙟䍙〨䀩䅃䙟䍙〨착_x0018_＀＀_x0018_＀＀_x0008_＀＀_x0001_＀＀_x0008_＀＀㈱㈯㄰0˄䵛[䕒幓南剟久䅔彌偏䱟䕓䕟偘ㄨ⼲〲㤰ㄬ⼲〲㤰ⰬⰬ单⥄䍀彁呒剟久彔䥍彎塅⡐㈱㈯〰ⰹ㈱㈯〰ⰹⰬ唬䑓착_x0018_＀＀_x0018_＀＀_x0008_＀＀_x0001_＀＀_x0001_＀＀ꧻ鋱䀥Ⴉ䵛_x000E_䕒幓彐剐䍉⡅⤰_x0018_＀＀_x0018_＀＀_x0008_＀＀_x0001_＀＀_x0001_＀＀ꏗ㵰霊䀱˄䵛%䕒幓南䥟呎剟呁彅夵噁⡇㈱㈯〰ⰵⰬ唬䑓착_x0018_＀＀_x0018_＀＀_x0008_＀＀_x0001_＀＀_x0001_＀＀豀碵꼝쐕˃䵛_x0013_䕒幓卌当䡓当䱆䅏彔챔_x0018_＀＀_x0018_＀＀_x0008_＀＀_x0001_＀＀_x0001_＀＀侠䧤痒䁅˄䵛[䕒幓南剟久䅔彌偏䱟䕓䕟偘ㄨ⼲〲㠰ㄬ⼲〲㠰ⰬⰬ单⥄䍀彁呒剟久彔䥍彎塅⡐㈱㈯〰ⰸ㈱㈯〰ⰸⰬ唬䑓착_x0018_＀＀_x0018_＀＀_x0008_＀＀_x0001_＀＀_x0001_＀＀蜫_xD916_㟎䀢˃䵛,䕒幓彐佔䅔彌䕒啔乒彃单⡄〴㠳ⰷ〴㜴ⰷ䔬䑘呁⥅_x0018_＀＀_x0018_＀＀_x0008_＀＀_x0001_＀＀_x0001_＀＀퉵웻黗䀾˄䵛＀Ｏ䕒幓南䱟䅅䕓䍟䵏䥍彔剙⠱㈱㈯〰ⰲ㈱㈯〰ⰲⰬ唬䑓착_x0018_＀＀_x0018_＀＀_x0008_＀＀_x0001_＀＀_x0001_＀＀갈娜㭤㿷˄䵛＀Ｏ䕒幓南䱟䅅䕓䍟䵏䥍彔剙⠱㈱㈯〰ⰳ㈱㈯〰ⰳⰬ唬䑓착_x0018_＀＀_x0018_＀＀_x0008_＀＀_x0001_＀＀_x0001_＀＀ⓝ脆䎕㿹˃䵛,䕒幓彐佔䅔彌䕒啔乒彃单⡄〴㐴ⰷ〴㜴ⰷ䔬䑘呁⥅_x0018_＀＀_x0018_＀＀_x0008_＀＀_x0001_＀＀_x0001_＀＀ᅳ觟䀱˄䵛＀Ｏ䕒幓南䱟䅅䕓䍟䵏䥍彔剙⠱㈱㈯〰ⰴ㈱㈯〰ⰴⰬ唬䑓착_x0018_＀＀_x0018_＀＀_x0008_＀＀_x0001_＀＀_x0001_＀＀摚_xDF3B_赏㿹˄䵛＀Ｏ䕒幓南䱟䅅䕓䍟䵏䥍彔剙⠱㈱㈯〰ⰵ㈱㈯〰ⰵⰬ唬䑓착_x0018_＀＀_x0018_＀＀_x0008_＀＀_x0001_＀＀_x0001_＀＀䦺Ȍ蜫㿼˄䵛＀Ｏ䕒幓南䱟䅅䕓䍟䵏䥍彔剙⠱㈱㈯〰ⰶ㈱㈯〰ⰶⰬ唬䑓착_x0018_＀＀_x0018_＀＀_x0008_＀＀_x0001_＀＀_x0001_＀＀㽼帵䀃˄䵛＀Ｏ䕒幓南䱟䅅䕓䍟䵏䥍彔夵⡒㈱㈯〰ⰲ㈱㈯〰ⰲⰬ唬䑓착_x0018_＀＀_x0018_＀＀_x0008_＀＀_x0001_＀＀_x0001_＀＀豀碵꼝쐕˄䵛＀Ｏ䕒幓南䱟䅅䕓䍟䵏䥍彔剙⠱㈱㈯〰ⰷ㈱㈯〰ⰷⰬ唬䑓착_x0018_＀＀_x0018_＀＀_x0008_＀＀_x0001_＀＀_x0001_＀＀㵱휊炣䀆˄䵛＀Ｏ䕒幓南䱟䅅䕓䍟䵏䥍彔夵⡒㈱㈯〰ⰳ㈱㈯〰ⰳⰬ唬䑓착_x0018_＀＀_x0018_＀＀_x0008_＀＀_x0001_＀＀_x0001_＀＀豀碵꼝쐕˄䵛＀Ｏ䕒幓南䱟䅅䕓䍟䵏䥍彔剙⠱㈱㈯〰ⰸ㈱㈯〰ⰸⰬ唬䑓착_x0018_＀＀_x0018_＀＀_x0008_＀＀_x0001_＀＀_x0001_＀＀멞౉⬂䀋˄䵛＀Ｏ䕒幓南䱟䅅䕓䍟䵏䥍彔夵⡒㈱㈯〰ⰴ㈱㈯〰ⰴⰬ唬䑓착_x0018_＀＀_x0018_＀＀_x0008_＀＀_x0001_＀＀_x0001_＀＀豀碵꼝쐕˄䵛＀Ｏ䕒幓南䱟䅅䕓䍟䵏䥍彔剙⠱㈱㈯〰ⰹ㈱㈯〰ⰹⰬ唬䑓착_x0018_＀＀_x0018_＀＀_x0008_＀＀_x0001_＀＀_x0001_＀＀㽼帵䀍˄䵛＀Ｏ䕒幓南䱟䅅䕓䍟䵏䥍彔夵⡒㈱㈯〰ⰵ㈱㈯〰ⰵⰬ唬䑓착_x0018_＀＀_x0018_＀＀_x0008_＀＀_x0001_＀＀_x0001_＀＀ᑻ䞮竡㿠˄䵛%䕒幓南䥟呎剟呁彅夵噁⡇㈱㈯〰ⰶⰬ唬䑓착_x0018_＀＀_x0018_＀＀_x0008_＀＀_x0001_＀＀_x0001_＀＀豀碵꼝쐕˄䵛＀Ｏ䕒幓南䱟䅅䕓䍟䵏䥍彔夵⡒㈱㈯〰ⰶ㈱㈯〰ⰶⰬ唬䑓착_x0018_＀＀_x0018_＀＀_x0008_＀＀_x0001_＀＀_x0001_＀＀盉龾⼚㿵˄䵛＀Ｏ䕒幓南䱟䅅䕓䍟䵏䥍彔夵⡒㈱㈯〰ⰷ㈱㈯〰ⰷⰬ唬䑓착_x0018_＀＀_x0018_＀＀_x0008_＀＀_x0001_＀＀_x0001_＀＀绺뱪鍴㿰˃䵛_x0017_䕒幓杦灟楲散㄁⼲ㄳ㈯〰찹_x0018_＀＀_x0018_＀＀_x0008_＀＀_x0001_＀＀_x0001_＀＀໖쀵뮻䀛˄䵛＀Ｏ䕒幓南䱟䅅䕓䍟䵏䥍彔夵⡒㈱㈯〰ⰸ㈱㈯〰ⰸⰬ唬䑓착_x0018_＀＀_x0018_＀＀_x0008_＀＀_x0001_＀＀_x0001_＀＀욨㝋䆉㿲˄䵛＀Ｏ䕒幓南䱟䅅䕓䍟䵏䥍彔夵⡒㈱㈯〰ⰹ㈱㈯〰ⰹⰬ唬䑓착_x0018_＀＀_x0018_＀＀_x0008_＀＀_x0001_＀＀_x0001_＀＀䎖沋ﯧ㿩˂䵛_x0013_䕒幓杦损浯慰祮湟浡챥_x0019_＀＀_x0018_＀＀	＀＀_x0001_＀＀_x0008_＀＀偒⁃湉⹣찀˄䵛＀Ｏ䕒幓南䱟䅅䕓䍟䵏䥍彔剙⠱㈱㈯㄰ⰰ㈱㈯㄰ⰰⰬ唬䑓착_x0018_＀＀_x0018_＀＀_x0008_＀＀_x0001_＀＀_x0001_＀＀豀碵꼝쐕˄䵛[䕒幓南剟久䅔彌偏䱟䕓䕟偘ㄨ⼲〲㜰ㄬ⼲〲㜰ⰬⰬ单⥄䍀彁呒剟久彔䥍彎塅⡐㈱㈯〰ⰷ㈱㈯〰ⰷⰬ唬䑓착_x0018_＀＀_x0018_＀＀_x0008_＀＀_x0001_＀＀_x0001_＀＀堐됹盈䀜˄䵛＀Ｏ䕒幓南䱟䅅䕓䍟䵏䥍彔剙⠲㈱㈯〰ⰲ㈱㈯〰ⰲⰬ唬䑓착_x0018_＀＀_x0018_＀＀_x0008_＀＀_x0001_＀＀_x0001_＀＀ᚇ컙号㿵˄䵛＀Ｏ䕒幓南䱟䅅䕓䍟䵏䥍彔夵⡒㈱㈯㄰ⰰ㈱㈯㄰ⰰⰬ唬䑓착_x0018_＀＀_x0018_＀＀_x0008_＀＀_x0001_＀＀_x0001_＀＀豀碵꼝쐕˄䵛＀Ｏ䕒幓南䱟䅅䕓䍟䵏䥍彔剙⠲㈱㈯〰ⰳ㈱㈯〰ⰳⰬ唬䑓착_x0018_＀＀_x0018_＀＀_x0008_＀＀_x0001_＀＀_x0001_＀＀䯇褷恁㿳˄䵛＀Ｏ䕒幓南䱟䅅䕓䍟䵏䥍彔剙⠲㈱㈯〰ⰴ㈱㈯〰ⰴⰬ唬䑓착_x0018_＀＀_x0018_＀＀_x0008_＀＀_x0001_＀＀_x0001_＀＀Й๖눭㿳˄䵛＀Ｏ䕒幓南䱟䅅䕓䍟䵏䥍彔剙⠲㈱㈯〰ⰵ㈱㈯〰ⰵⰬ唬䑓착_x0018_＀＀_x0018_＀＀_x0008_＀＀_x0001_＀＀_x0001_＀＀⼛ⓝ脆㿹˄䵛＀Ｏ䕒幓南䱟䅅䕓䍟䵏䥍彔剙⠲㈱㈯〰ⰶ㈱㈯〰ⰶⰬ唬䑓착_x0018_＀＀_x0018_＀＀_x0008_＀＀_x0001_＀＀_x0001_＀＀䷓ၢ㥘䀀˄䵛＀Ｏ䕒幓南䱟䅅䕓䍟䵏䥍彔剙⠲㈱㈯〰ⰷ㈱㈯〰ⰷⰬ唬䑓착_x0018_＀＀_x0018_＀＀_x0008_＀＀_x0001_＀＀_x0001_＀＀㽽帵䦺䀅˄䵛＀Ｏ䕒幓南䱟䅅䕓䍟䵏䥍彔剙⠲㈱㈯〰ⰸ㈱㈯〰ⰸⰬ唬䑓착_x0018_＀＀_x0018_＀＀_x0008_＀＀_x0001_＀＀_x0001_＀＀਽ꏗ㵰䀉˄䵛＀Ｏ䕒幓南䱟䅅䕓䍟䵏䥍彔剙⠲㈱㈯〰ⰹ㈱㈯〰ⰹⰬ唬䑓착_x0018_＀＀_x0018_＀＀_x0008_＀＀_x0001_＀＀_x0001_＀＀䯇褷恁䀉˄䵛＀Ｏ䕒幓南䱟䅅䕓䍟䵏䥍彔剙⠲㈱㈯㄰ⰰ㈱㈯㄰ⰰⰬ唬䑓착_x0018_＀＀_x0018_＀＀_x0008_＀＀_x0001_＀＀_x0001_＀＀豀碵꼝쐕˄䵛＀Ｏ䕒幓南䱟䅅䕓䍟䵏䥍彔剙⠳㈱㈯〰ⰵ㈱㈯〰ⰵⰬ唬䑓착_x0018_＀＀_x0018_＀＀_x0008_＀＀_x0001_＀＀_x0001_＀＀桳㽼㿳˄䵛＀Ｏ䕒幓南䱟䅅䕓䍟䵏䥍彔剙⠳㈱㈯〰ⰶ㈱㈯〰ⰶⰬ唬䑓착_x0018_＀＀_x0018_＀＀_x0008_＀＀_x0001_＀＀_x0001_＀＀ꏗ㵰휊㿹˄䵛＀Ｏ䕒幓南䱟䅅䕓䍟䵏䥍彔剙⠳㈱㈯〰ⰷ㈱㈯〰ⰷⰬ唬䑓착_x0018_＀＀_x0018_＀＀_x0008_＀＀_x0001_＀＀_x0001_＀＀ᚇ컙号䀁˄䵛＀Ｏ䕒幓南䱟䅅䕓䍟䵏䥍彔剙⠳㈱㈯〰ⰸ㈱㈯〰ⰸⰬ唬䑓착_x0018_＀＀_x0018_＀＀_x0008_＀＀_x0001_＀＀_x0001_＀＀鶲꟯䯆䀂˄䵛＀Ｏ䕒幓南䱟䅅䕓䍟䵏䥍彔剙⠳㈱㈯〰ⰹ㈱㈯〰ⰹⰬ唬䑓착_x0018_＀＀_x0018_＀＀_x0008_＀＀_x0001_＀＀_x0001_＀＀멞౉⬂䀁̚䵛_x0011_䕒幓彇剐䍉⡅〲〱착_x0018_＀＀_x0018_＀＀_x0008_＀＀_x0001_＀＀_x0001_＀＀蔟凫Ẹ䀲˄䵛＀Ｏ䕒幓南䱟䅅䕓䍟䵏䥍彔剙⠳㈱㈯〰ⰲ㈱㈯〰ⰲⰬ唬䑓착_x0018_＀＀_x0018_＀＀_x0008_＀＀_x0001_＀＀_x0001_＀＀Ȍ蜫_xD916_㿮˄䵛＀Ｏ䕒幓南䱟䅅䕓䍟䵏䥍彔剙⠳㈱㈯〰ⰳ㈱㈯〰ⰳⰬ唬䑓착_x0018_＀＀_x0018_＀＀_x0008_＀＀_x0001_＀＀_x0001_＀＀鮦⃄犰㿠˄䵛＀Ｏ䕒幓南䱟䅅䕓䍟䵏䥍彔剙⠳㈱㈯〰ⰴ㈱㈯〰ⰴⰬ唬䑓착_x0018_＀＀_x0018_＀＀_x0008_＀＀_x0001_＀＀_x0001_＀＀ﯧ䷒㿪˄䵛%䕒幓南䥟呎剟呁彅夵噁⡇㈱㈯〰ⰷⰬ唬䑓착_x0018_＀＀_x0018_＀＀_x0008_＀＀_x0001_＀＀_x0001_＀＀豀碵꼝쐕˄䵛[䕒幓南剟久䅔彌偏䱟䕓䕟偘ㄨ⼲〲㘰ㄬ⼲〲㘰ⰬⰬ单⥄䍀彁呒剟久彔䥍彎塅⡐㈱㈯〰ⰶ㈱㈯〰ⰶⰬ唬䑓착_x0018_＀＀_x0018_＀＀_x0008_＀＀_x0001_＀＀_x0001_＀＀좴빶᪟䀙̚䵛_x0011_䕒幓彇剐䍉⡅〲ㄱ착_x0018_＀＀_x0018_＀＀_x0008_＀＀_x0001_＀＀_x0001_＀＀＀＀＀＀耀䀱˃䵛_x0014_䕒幓彐剐䍉彅䥈䡇㕟圲_x0018_＀＀_x0018_＀＀_x0008_＀＀_x0001_＀＀_x0001_＀＀긕鑺䀶˃䵛%䕒幓彐佖啌䕍䅟䝖㐨㐰㜷㐬㐰㜷㘭䵁Ⱜ㘬착_x0018_＀＀_x0018_＀＀_x0008_＀＀_x0001_＀＀_x0001_＀＀䫮뮁䪢㿦˄䵛＀Ｏ䕒幓南䱟䅅䕓䍟䵏䥍彔剙⠳㈱㈯㄰ⰰ㈱㈯㄰ⰰⰬ唬䑓착_x0018_＀＀_x0018_＀＀_x0008_＀＀_x0001_＀＀_x0001_＀＀豀碵꼝쐕ˀ䵛_x0012_䕒幓南䥟体䍟䑏⡅⤰_x0014_＀＀_x0018_＀＀_x0004_＀＀_x0001_＀＀_x0008_＀＀单D</t>
        </r>
      </text>
    </comment>
    <comment ref="B1" authorId="0">
      <text>
        <r>
          <rPr>
            <sz val="9"/>
            <color indexed="81"/>
            <rFont val="Tahoma"/>
            <family val="2"/>
          </rPr>
          <t>4667</t>
        </r>
      </text>
    </comment>
  </commentList>
</comments>
</file>

<file path=xl/sharedStrings.xml><?xml version="1.0" encoding="utf-8"?>
<sst xmlns="http://schemas.openxmlformats.org/spreadsheetml/2006/main" count="968" uniqueCount="696">
  <si>
    <t>2Q14</t>
  </si>
  <si>
    <t>3Q14</t>
  </si>
  <si>
    <t>4Q14</t>
  </si>
  <si>
    <t>1Q05</t>
  </si>
  <si>
    <t>2Q05</t>
  </si>
  <si>
    <t>3Q05</t>
  </si>
  <si>
    <t>4Q10</t>
  </si>
  <si>
    <t>1Q11</t>
  </si>
  <si>
    <t>This sheet contains Factset binary data for use with this workbook's =FDS codes.  Modifying the worksheet's contents may damage the workbook's =FDS functionality.</t>
  </si>
  <si>
    <t>Pressure Pumping</t>
  </si>
  <si>
    <t>Rental Tools</t>
  </si>
  <si>
    <t>Coiled Tubing</t>
  </si>
  <si>
    <t>Nitrogen</t>
  </si>
  <si>
    <t>Snubbing</t>
  </si>
  <si>
    <t>Morgan Stanley</t>
  </si>
  <si>
    <t>1Q10</t>
  </si>
  <si>
    <t>4Q09</t>
  </si>
  <si>
    <t>3Q09</t>
  </si>
  <si>
    <t>2Q09</t>
  </si>
  <si>
    <t>1Q09</t>
  </si>
  <si>
    <t>4Q08</t>
  </si>
  <si>
    <t>3Q08</t>
  </si>
  <si>
    <t>2Q08</t>
  </si>
  <si>
    <t>1Q08</t>
  </si>
  <si>
    <t>4Q07</t>
  </si>
  <si>
    <t>3Q07</t>
  </si>
  <si>
    <t>4Q05</t>
  </si>
  <si>
    <t>1Q06</t>
  </si>
  <si>
    <t>2Q06</t>
  </si>
  <si>
    <t>3Q06</t>
  </si>
  <si>
    <t>4Q06</t>
  </si>
  <si>
    <t>1Q07</t>
  </si>
  <si>
    <t>2Q07</t>
  </si>
  <si>
    <t>x</t>
  </si>
  <si>
    <t>Income Statement</t>
  </si>
  <si>
    <t>Revenue Breakdown:</t>
  </si>
  <si>
    <t>Total Revenues</t>
  </si>
  <si>
    <t>Interest (Expense)</t>
  </si>
  <si>
    <t>EBT</t>
  </si>
  <si>
    <t>Taxes</t>
  </si>
  <si>
    <t>Net Income (Operating)</t>
  </si>
  <si>
    <t>Net Income (GAAP)</t>
  </si>
  <si>
    <t>Operating EPS</t>
  </si>
  <si>
    <t>Avg. Diluted Share Count</t>
  </si>
  <si>
    <t>GAAP EPS</t>
  </si>
  <si>
    <t>Dividends per Share</t>
  </si>
  <si>
    <t>Effective Tax Rate</t>
  </si>
  <si>
    <t>Total EBIT Margin</t>
  </si>
  <si>
    <t>Cash Flow Statement</t>
  </si>
  <si>
    <t>Stock based compensation</t>
  </si>
  <si>
    <t>Other</t>
  </si>
  <si>
    <t>Capital Expenditures</t>
  </si>
  <si>
    <t>D&amp;A</t>
  </si>
  <si>
    <t>Accounts Receivable</t>
  </si>
  <si>
    <t>Accounts Payable</t>
  </si>
  <si>
    <t>Other Current Assets/Liabs</t>
  </si>
  <si>
    <t>Cash Flow from Operations</t>
  </si>
  <si>
    <t>Free Cash Flow (FCF)</t>
  </si>
  <si>
    <t>Issuance / (Paydown) of Debt</t>
  </si>
  <si>
    <t>Acquisitions &amp; Investments</t>
  </si>
  <si>
    <t>Asset Disposals</t>
  </si>
  <si>
    <t>Dividends</t>
  </si>
  <si>
    <t>Equity Issues / Options Activity</t>
  </si>
  <si>
    <t>($ in Millions)</t>
  </si>
  <si>
    <t>Total Change in Cash</t>
  </si>
  <si>
    <t>Balance Sheet</t>
  </si>
  <si>
    <t>Cash &amp; Equivalents</t>
  </si>
  <si>
    <t>Inventory</t>
  </si>
  <si>
    <t>Total Current Assets</t>
  </si>
  <si>
    <t>Net PP&amp;E</t>
  </si>
  <si>
    <t>Gross PP&amp;E</t>
  </si>
  <si>
    <t>Accumulated Depreciation</t>
  </si>
  <si>
    <t>Other Assets</t>
  </si>
  <si>
    <t>Total Assets</t>
  </si>
  <si>
    <t>Assets:</t>
  </si>
  <si>
    <t>Liabilities &amp; Equity:</t>
  </si>
  <si>
    <t>Total Current Liabilities</t>
  </si>
  <si>
    <t>LT Debt</t>
  </si>
  <si>
    <t>Other LT Liabilities</t>
  </si>
  <si>
    <t>Retained Earnings</t>
  </si>
  <si>
    <t>Shareholders' Equity</t>
  </si>
  <si>
    <t>Total Liabilities &amp; Equity</t>
  </si>
  <si>
    <t>Supporting Schedules</t>
  </si>
  <si>
    <t>Total Capital</t>
  </si>
  <si>
    <t>Total Debt</t>
  </si>
  <si>
    <t>Net Debt</t>
  </si>
  <si>
    <t>Working Capital Management:</t>
  </si>
  <si>
    <t>Current Ratio</t>
  </si>
  <si>
    <t>Receivables Turnover (x)</t>
  </si>
  <si>
    <t>Receivables Days</t>
  </si>
  <si>
    <t>Inventory Turnover (x)</t>
  </si>
  <si>
    <t>Days Inventory</t>
  </si>
  <si>
    <t>Payables Turnover (x)</t>
  </si>
  <si>
    <t>Payables Days</t>
  </si>
  <si>
    <t>Cash Conversion Cycle (Days)</t>
  </si>
  <si>
    <t>Other Current Assets (% of Revenue)</t>
  </si>
  <si>
    <t>Average Cost of Debt</t>
  </si>
  <si>
    <t>Deferred Income Taxes</t>
  </si>
  <si>
    <t>Total Working Capital ($mm)</t>
  </si>
  <si>
    <t>End of Period Common Share Count</t>
  </si>
  <si>
    <t>Average Basic Shares Outstanding</t>
  </si>
  <si>
    <t>Average Diluted Shares Outstanding</t>
  </si>
  <si>
    <t>Statutory Tax Rate</t>
  </si>
  <si>
    <t>Other Income</t>
  </si>
  <si>
    <t>Revenue</t>
  </si>
  <si>
    <t>Less: D&amp;A Expense</t>
  </si>
  <si>
    <t>Less: EBIT</t>
  </si>
  <si>
    <t>Less: SG&amp;A</t>
  </si>
  <si>
    <t>SG&amp;A (% of Revenues)</t>
  </si>
  <si>
    <t>Operating Cash Flows</t>
  </si>
  <si>
    <t>One Time Items</t>
  </si>
  <si>
    <t>Deferred Taxes</t>
  </si>
  <si>
    <t>Drivers</t>
  </si>
  <si>
    <t>Changes in Working Capital</t>
  </si>
  <si>
    <t>EBITDA</t>
  </si>
  <si>
    <t>Other Current Liabilities</t>
  </si>
  <si>
    <t>Cash Cost of Sales</t>
  </si>
  <si>
    <t>Other Current Liabilities (% of Revenue)</t>
  </si>
  <si>
    <t>Contributed Capital</t>
  </si>
  <si>
    <t>Technical Services</t>
  </si>
  <si>
    <t>Support Services</t>
  </si>
  <si>
    <t>RPC Inc (RES) Earnings Model</t>
  </si>
  <si>
    <t>Corporate</t>
  </si>
  <si>
    <t>EBIT Breakdown:</t>
  </si>
  <si>
    <t>Total EBIT</t>
  </si>
  <si>
    <t>Gain (Loss) on Disposition of Assets, Net</t>
  </si>
  <si>
    <t>Interest Income</t>
  </si>
  <si>
    <t>Technical Services EBIT Margin</t>
  </si>
  <si>
    <t>Support Services EBIT Margin</t>
  </si>
  <si>
    <t>Corporate (% of Revenues)</t>
  </si>
  <si>
    <t>Purchase of Treasury Shares</t>
  </si>
  <si>
    <t>Prepaid Expenses &amp; Other Current Assets</t>
  </si>
  <si>
    <t>LT Pension Liabilities</t>
  </si>
  <si>
    <t>Less: Gain on Disposition of Assets</t>
  </si>
  <si>
    <t>AOCI</t>
  </si>
  <si>
    <t>Return on Cash</t>
  </si>
  <si>
    <t>Goodwill &amp; Intangibles</t>
  </si>
  <si>
    <t xml:space="preserve">NM </t>
  </si>
  <si>
    <t>USD</t>
  </si>
  <si>
    <t>RES.N</t>
  </si>
  <si>
    <t>RPC</t>
  </si>
  <si>
    <t>MW Tags</t>
  </si>
  <si>
    <t>Unrecorded Goodwill</t>
  </si>
  <si>
    <t>Net Issuance and repurchase</t>
  </si>
  <si>
    <t>Common dividend</t>
  </si>
  <si>
    <t>EBIT</t>
  </si>
  <si>
    <t>2Q10</t>
  </si>
  <si>
    <t>Change in US Rig Count</t>
  </si>
  <si>
    <t>Group Revenue Growth (Sequential)</t>
  </si>
  <si>
    <t>Revenues</t>
  </si>
  <si>
    <t>CapEx</t>
  </si>
  <si>
    <t>3Q10</t>
  </si>
  <si>
    <t>2Q11</t>
  </si>
  <si>
    <t>3Q11</t>
  </si>
  <si>
    <t>4Q11</t>
  </si>
  <si>
    <t>Stock Split 3:2 on 12/10/10, 3/9/12</t>
  </si>
  <si>
    <t>1Q12</t>
  </si>
  <si>
    <t>United States Land Rig Count</t>
  </si>
  <si>
    <t>2Q12</t>
  </si>
  <si>
    <t>3Q12</t>
  </si>
  <si>
    <t>4Q12</t>
  </si>
  <si>
    <t>1Q13</t>
  </si>
  <si>
    <t>2Q13</t>
  </si>
  <si>
    <t>3Q13</t>
  </si>
  <si>
    <t>4Q13</t>
  </si>
  <si>
    <t>1Q14</t>
  </si>
  <si>
    <t>Revenue Growth</t>
  </si>
  <si>
    <t>ThruTubing</t>
  </si>
  <si>
    <t>ND</t>
  </si>
  <si>
    <t>Pressure Pumping Revenues</t>
  </si>
  <si>
    <t>Total EBITDA</t>
  </si>
  <si>
    <t>Revenue by Product Line</t>
  </si>
  <si>
    <t>Revenue Growth by Product Line</t>
  </si>
  <si>
    <t>Revenue/Rig ($000s)</t>
  </si>
  <si>
    <t>EBIT/Rig ($000s)</t>
  </si>
  <si>
    <t>COGS (% of Revenues)</t>
  </si>
  <si>
    <t>Technical Services D&amp;A</t>
  </si>
  <si>
    <t>Support Services D&amp;A</t>
  </si>
  <si>
    <t>Total D&amp;A Expense</t>
  </si>
  <si>
    <t>Technical Services EBITDA % Margin</t>
  </si>
  <si>
    <t>Support Services EBITDA % Margin</t>
  </si>
  <si>
    <t>Total EBITDA % Margin</t>
  </si>
  <si>
    <t>Incremental EBIT Margins</t>
  </si>
  <si>
    <t>Operating profit (loss)</t>
  </si>
  <si>
    <t>Identifiable Assets</t>
  </si>
  <si>
    <t>Corporate D&amp;A</t>
  </si>
  <si>
    <t>Asset Turnover</t>
  </si>
  <si>
    <t>CapEx/D&amp;A</t>
  </si>
  <si>
    <t>ROIC</t>
  </si>
  <si>
    <t>Net Operating Assets</t>
  </si>
  <si>
    <t>NOPAT</t>
  </si>
  <si>
    <t>NOPAT % Margin</t>
  </si>
  <si>
    <t>RNOA (ROIC)</t>
  </si>
  <si>
    <t>Revenue by Product Line (% of total):</t>
  </si>
  <si>
    <t>D&amp;A % of Beg. Assets</t>
  </si>
  <si>
    <t>1Q15</t>
  </si>
  <si>
    <t>Total Debt/Capital</t>
  </si>
  <si>
    <t>Net Debt/Capital</t>
  </si>
  <si>
    <t>Net Debt/Equity</t>
  </si>
  <si>
    <t>Net Debt/LTM EBITDA</t>
  </si>
  <si>
    <t>Net Debt/LTM EBIT</t>
  </si>
  <si>
    <t>EBITDA/Int. Expense</t>
  </si>
  <si>
    <t>(EBITDA-Capex)/Int. Expense</t>
  </si>
  <si>
    <t>EBIT/Int. Expense</t>
  </si>
  <si>
    <t>Capex/D&amp;A</t>
  </si>
  <si>
    <t>Depreciation &amp; Capex:</t>
  </si>
  <si>
    <t>Depreciation</t>
  </si>
  <si>
    <t>Depreciation / Revenues</t>
  </si>
  <si>
    <t>Capex / Revenues</t>
  </si>
  <si>
    <t>Capex / Depreciation</t>
  </si>
  <si>
    <t>Avg. Asset Life (Years)</t>
  </si>
  <si>
    <t>Average Asset Age (Years)</t>
  </si>
  <si>
    <t>Remaining Useful Life (Years)</t>
  </si>
  <si>
    <t>Shares Outstanding &amp; BV/Sh.</t>
  </si>
  <si>
    <t>Dilution Ratio</t>
  </si>
  <si>
    <t>Basic EPS (Incl. Extraordinary)</t>
  </si>
  <si>
    <t>Basic EPS (Ex-Extraordinary)</t>
  </si>
  <si>
    <t>Return Metrics:</t>
  </si>
  <si>
    <t>Invested Capital</t>
  </si>
  <si>
    <t>Op. Asset Turnover</t>
  </si>
  <si>
    <t>ROE (Operating)</t>
  </si>
  <si>
    <t>ROE (GAAP)</t>
  </si>
  <si>
    <t>Leverage &amp; Credit Metrics:</t>
  </si>
  <si>
    <t>Basic Shares Outstanding</t>
  </si>
  <si>
    <t>Diluted Shares Outstanding</t>
  </si>
  <si>
    <t>Common Shares at Period End</t>
  </si>
  <si>
    <t>Book Value/Share</t>
  </si>
  <si>
    <t>Tangible Book Value/Share</t>
  </si>
  <si>
    <t>1Q18E</t>
  </si>
  <si>
    <t>2Q18E</t>
  </si>
  <si>
    <t>3Q18E</t>
  </si>
  <si>
    <t>4Q18E</t>
  </si>
  <si>
    <t>2Q15</t>
  </si>
  <si>
    <t>2018E</t>
  </si>
  <si>
    <t>3Q15</t>
  </si>
  <si>
    <t>Est. COGS</t>
  </si>
  <si>
    <t>Key Metrics</t>
  </si>
  <si>
    <t>G&amp;A % of Sales</t>
  </si>
  <si>
    <t>EBITDA % Margin</t>
  </si>
  <si>
    <t>Gross Margin %</t>
  </si>
  <si>
    <t>EBIT % Margin</t>
  </si>
  <si>
    <t>Est. SG&amp;A</t>
  </si>
  <si>
    <t>Est. Gross Margin</t>
  </si>
  <si>
    <t>Revenue Mix</t>
  </si>
  <si>
    <t>4Q15</t>
  </si>
  <si>
    <t>Gross Margin (%)</t>
  </si>
  <si>
    <t>1Q16</t>
  </si>
  <si>
    <t>Alt D&amp;A Calc. (assume all 5Y useful life)</t>
  </si>
  <si>
    <t>Vs. Reported/Current</t>
  </si>
  <si>
    <t>Actual/Forecast</t>
  </si>
  <si>
    <t>Incremental EBITDA Margins</t>
  </si>
  <si>
    <t>EBITDA Breakdown:</t>
  </si>
  <si>
    <t>Funding &amp; Debt Detail</t>
  </si>
  <si>
    <t>Net Operating Assets Req'd</t>
  </si>
  <si>
    <t>Operating Cash</t>
  </si>
  <si>
    <t>Funding Req'd</t>
  </si>
  <si>
    <t>Pension Liability</t>
  </si>
  <si>
    <t>Revolver Req'd</t>
  </si>
  <si>
    <t>Revolver Capacity</t>
  </si>
  <si>
    <t>(Letters of Credit)</t>
  </si>
  <si>
    <t>Cash Capacity</t>
  </si>
  <si>
    <t>Availability</t>
  </si>
  <si>
    <t>Amount Drawn</t>
  </si>
  <si>
    <t>2Q16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</si>
  <si>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</si>
  <si>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</si>
  <si>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</si>
  <si>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</si>
  <si>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</si>
  <si>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</si>
  <si>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</si>
  <si>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</si>
  <si>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2019E</t>
  </si>
  <si>
    <t>2020E</t>
  </si>
  <si>
    <t>3Q16</t>
  </si>
  <si>
    <t>Patterson Tubular Services</t>
  </si>
  <si>
    <t>Op. Working Capital</t>
  </si>
  <si>
    <t>4Q16</t>
  </si>
  <si>
    <t>Active "Fleets"</t>
  </si>
  <si>
    <t>Revenue / Active Fleet (Annualized)</t>
  </si>
  <si>
    <t>Assumed HP/Fleet</t>
  </si>
  <si>
    <t>Available "Fleets"</t>
  </si>
  <si>
    <t>Gross Profit / Active Fleet (Annualized)</t>
  </si>
  <si>
    <t>1Q17</t>
  </si>
  <si>
    <t>Full Segment Earnings/HP</t>
  </si>
  <si>
    <t>Ann. Revenue/Active HP</t>
  </si>
  <si>
    <t>Ann. Gross Margin/Active HP</t>
  </si>
  <si>
    <t>Ann. EBITDA/Active HP</t>
  </si>
  <si>
    <t>Ann. EBIT/Active HP</t>
  </si>
  <si>
    <t>Implied Frac-Only EBITDA</t>
  </si>
  <si>
    <t>Ann. Frac Revenues/Active HP</t>
  </si>
  <si>
    <t>EBITDA/Active Fleet (Annualized)</t>
  </si>
  <si>
    <t>HP Utilization</t>
  </si>
  <si>
    <t>Ann. Frac GM / Active HP</t>
  </si>
  <si>
    <t>Ann. Frac EBITDA / Active HP</t>
  </si>
  <si>
    <t>2Q17</t>
  </si>
  <si>
    <t>RES.N,mscalc:targetPrice,,,,USD</t>
  </si>
  <si>
    <t>RES.N,mscalc:sedolCodeCalc</t>
  </si>
  <si>
    <t>RES.N,mscalc:closePriceCurrencyCalc</t>
  </si>
  <si>
    <t>$F$2</t>
  </si>
  <si>
    <t>2719456</t>
  </si>
  <si>
    <t>Technical Services Incr. EBITDA % Margin</t>
  </si>
  <si>
    <t>Support Services Incr. EBITDA % Margin</t>
  </si>
  <si>
    <t>3Q17</t>
  </si>
  <si>
    <t>25</t>
  </si>
  <si>
    <t>Other Items</t>
  </si>
  <si>
    <t>US HP Demand (MM)</t>
  </si>
  <si>
    <t>RES Market Share</t>
  </si>
  <si>
    <t>FCF/EBITDA</t>
  </si>
  <si>
    <t>CFO/EBITDA</t>
  </si>
  <si>
    <t>CapEx Schedule</t>
  </si>
  <si>
    <t>Est. Growth CapEx</t>
  </si>
  <si>
    <t>Implied Maint. Capex</t>
  </si>
  <si>
    <t>Total Capex</t>
  </si>
  <si>
    <t>Ann. Maint. Capex $ / HP</t>
  </si>
  <si>
    <t>COGS Reconciliation</t>
  </si>
  <si>
    <t>Full Segment Detail</t>
  </si>
  <si>
    <t>Rig Count</t>
  </si>
  <si>
    <t>Fully-Loaded Frac-Only EBITDA</t>
  </si>
  <si>
    <t>Proportionate Corporate</t>
  </si>
  <si>
    <t>Fully-Loaded EBITDA / Active HP</t>
  </si>
  <si>
    <t>4Q17</t>
  </si>
  <si>
    <t>% Growth</t>
  </si>
  <si>
    <t>Nameplate Pumping HP (000s)</t>
  </si>
  <si>
    <t>Active Pumping HP</t>
  </si>
  <si>
    <t>Ann. Frac EBIT / Active HP</t>
  </si>
  <si>
    <t>US Hz Well Completions</t>
  </si>
  <si>
    <t>Non-Frac Rev. / Completion ($000s)</t>
  </si>
  <si>
    <t>Technical Services Revenue Drivers</t>
  </si>
  <si>
    <t>Non-Frac Revenues</t>
  </si>
  <si>
    <t>Est. Non-Frac EBITDA  Margin</t>
  </si>
  <si>
    <t>Est. Non-Frac EBITDA  ($mm)</t>
  </si>
  <si>
    <t>Other Services</t>
  </si>
  <si>
    <t>Benchmarking Calculations</t>
  </si>
  <si>
    <t>Currency</t>
  </si>
  <si>
    <t>Current Stock Price</t>
  </si>
  <si>
    <t>Count</t>
  </si>
  <si>
    <t>D&amp;A % of Beg. Net PP&amp;E (Ann.)</t>
  </si>
  <si>
    <t>Q Index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</si>
  <si>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</si>
  <si>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</si>
  <si>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</si>
  <si>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</si>
  <si>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</si>
  <si>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</si>
  <si>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</si>
  <si>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</si>
  <si>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</si>
  <si>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</si>
  <si>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</si>
  <si>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RES.N</t>
  </si>
  <si>
    <t>Stock Rating: Underweight</t>
  </si>
  <si>
    <t>Industry: Oil Services, Drilling &amp; Equipment</t>
  </si>
  <si>
    <t>Industry View: In-Line</t>
  </si>
  <si>
    <t>Price as of 11 Apr 2018: 18.20</t>
  </si>
  <si>
    <t>Target Price: 23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</si>
  <si>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</si>
  <si>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</si>
  <si>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</si>
  <si>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</si>
  <si>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RPC.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</si>
  <si>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</si>
  <si>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</si>
  <si>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</si>
  <si>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</si>
  <si>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</si>
  <si>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</si>
  <si>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</si>
  <si>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</si>
  <si>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</si>
  <si>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</si>
  <si>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</si>
  <si>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</si>
  <si>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</si>
  <si>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</si>
  <si>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</si>
  <si>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</si>
  <si>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</si>
  <si>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</si>
  <si>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</si>
  <si>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</si>
  <si>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</si>
  <si>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</si>
  <si>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</si>
  <si>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</si>
  <si>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</si>
  <si>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</si>
  <si>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</si>
  <si>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</si>
  <si>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</si>
  <si>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</si>
  <si>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</si>
  <si>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</si>
  <si>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</si>
  <si>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</si>
  <si>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</si>
  <si>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</si>
  <si>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</si>
  <si>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</si>
  <si>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</si>
  <si>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</si>
  <si>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</si>
  <si>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</si>
  <si>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</si>
  <si>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</si>
  <si>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</si>
  <si>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</si>
  <si>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</si>
  <si>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</si>
  <si>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</si>
  <si>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</si>
  <si>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</si>
  <si>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</si>
  <si>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</si>
  <si>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</si>
  <si>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</si>
  <si>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</si>
  <si>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</si>
  <si>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</si>
  <si>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</si>
  <si>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</si>
  <si>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</si>
  <si>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</si>
  <si>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</si>
  <si>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</si>
  <si>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</si>
  <si>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</si>
  <si>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</si>
  <si>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</si>
  <si>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</si>
  <si>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</si>
  <si>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</si>
  <si>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</si>
  <si>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</si>
  <si>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</si>
  <si>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</si>
  <si>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</si>
  <si>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</si>
  <si>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</si>
  <si>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</si>
  <si>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</si>
  <si>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</si>
  <si>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</si>
  <si>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</si>
  <si>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</si>
  <si>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</si>
  <si>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</si>
  <si>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</si>
  <si>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</si>
  <si>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</si>
  <si>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</si>
  <si>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</si>
  <si>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</si>
  <si>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</si>
  <si>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</si>
  <si>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</si>
  <si>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</si>
  <si>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</si>
  <si>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</si>
  <si>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</si>
  <si>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</si>
  <si>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</si>
  <si>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</si>
  <si>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</si>
  <si>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</si>
  <si>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</si>
  <si>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</si>
  <si>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</si>
  <si>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</si>
  <si>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</si>
  <si>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</si>
  <si>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</si>
  <si>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</si>
  <si>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</si>
  <si>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</si>
  <si>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</si>
  <si>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</si>
  <si>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</si>
  <si>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</si>
  <si>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</si>
  <si>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</si>
  <si>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</si>
  <si>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</si>
  <si>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</si>
  <si>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</si>
  <si>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</si>
  <si>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</si>
  <si>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</si>
  <si>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</si>
  <si>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</si>
  <si>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</si>
  <si>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</si>
  <si>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</si>
  <si>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</si>
  <si>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</si>
  <si>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</si>
  <si>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</si>
  <si>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</si>
  <si>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</si>
  <si>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</si>
  <si>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</si>
  <si>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</si>
  <si>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</si>
  <si>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</si>
  <si>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</si>
  <si>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</si>
  <si>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</si>
  <si>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</si>
  <si>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</si>
  <si>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</si>
  <si>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</si>
  <si>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</si>
  <si>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</si>
  <si>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</si>
  <si>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</si>
  <si>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</si>
  <si>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</si>
  <si>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</si>
  <si>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</si>
  <si>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</si>
  <si>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</si>
  <si>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</si>
  <si>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</si>
  <si>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</si>
  <si>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</si>
  <si>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</si>
  <si>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</si>
  <si>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</si>
  <si>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</si>
  <si>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</si>
  <si>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</si>
  <si>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</si>
  <si>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</si>
  <si>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</si>
  <si>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</si>
  <si>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</si>
  <si>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</si>
  <si>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</si>
  <si>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</si>
  <si>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</si>
  <si>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</si>
  <si>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</si>
  <si>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</si>
  <si>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</si>
  <si>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</si>
  <si>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</si>
  <si>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</si>
  <si>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</si>
  <si>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</si>
  <si>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</si>
  <si>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</si>
  <si>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</si>
  <si>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</si>
  <si>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</si>
  <si>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</si>
  <si>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</si>
  <si>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</si>
  <si>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</si>
  <si>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</si>
  <si>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</si>
  <si>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</si>
  <si>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</si>
  <si>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</si>
  <si>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</si>
  <si>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</si>
  <si>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</si>
  <si>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</si>
  <si>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</si>
  <si>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</si>
  <si>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</si>
  <si>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</si>
  <si>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</si>
  <si>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</si>
  <si>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</si>
  <si>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</si>
  <si>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</si>
  <si>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</si>
  <si>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</si>
  <si>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</si>
  <si>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</si>
  <si>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</si>
  <si>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</si>
  <si>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</si>
  <si>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</si>
  <si>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</si>
  <si>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</si>
  <si>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</si>
  <si>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</si>
  <si>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</si>
  <si>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</si>
  <si>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</si>
  <si>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</si>
  <si>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</si>
  <si>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</si>
  <si>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</si>
  <si>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</si>
  <si>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</si>
  <si>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</si>
  <si>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</si>
  <si>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</si>
  <si>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</si>
  <si>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</si>
  <si>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</si>
  <si>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</si>
  <si>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</si>
  <si>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</si>
  <si>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</si>
  <si>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</si>
  <si>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</si>
  <si>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</si>
  <si>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</si>
  <si>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</si>
  <si>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</si>
  <si>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</si>
  <si>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</si>
  <si>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</si>
  <si>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</si>
  <si>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</si>
  <si>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</si>
  <si>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</si>
  <si>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</si>
  <si>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</si>
  <si>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</si>
  <si>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</si>
  <si>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</si>
  <si>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</si>
  <si>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</si>
  <si>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</si>
  <si>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</si>
  <si>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</si>
  <si>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</si>
  <si>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</si>
  <si>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</si>
  <si>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</si>
  <si>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</si>
  <si>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</si>
  <si>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</si>
  <si>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</si>
  <si>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</si>
  <si>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</si>
  <si>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</si>
  <si>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</si>
  <si>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</si>
  <si>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</si>
  <si>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</si>
  <si>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</si>
  <si>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</si>
  <si>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</si>
  <si>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</si>
  <si>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</si>
  <si>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</si>
  <si>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</si>
  <si>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</si>
  <si>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</si>
  <si>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</si>
  <si>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</si>
  <si>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</si>
  <si>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</si>
  <si>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</si>
  <si>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</si>
  <si>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</si>
  <si>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</si>
  <si>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</si>
  <si>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</si>
  <si>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</si>
  <si>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</si>
  <si>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</si>
  <si>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</si>
  <si>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</si>
  <si>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</si>
  <si>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</si>
  <si>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</si>
  <si>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</si>
  <si>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</si>
  <si>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</si>
  <si>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</si>
  <si>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</si>
  <si>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</si>
  <si>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Underweight / In-Line</t>
  </si>
  <si>
    <t>Regular Update</t>
  </si>
  <si>
    <t>NorthAmerica</t>
  </si>
  <si>
    <t>ozierale</t>
  </si>
  <si>
    <t>L:\ENERGY\Lynagh\Models\RES.xlsm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</si>
  <si>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</si>
  <si>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</si>
  <si>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</si>
  <si>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</si>
  <si>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</si>
  <si>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</si>
  <si>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11:27]</t>
  </si>
  <si>
    <t>[PSYM RES.N(S&amp;P) (None)]</t>
  </si>
  <si>
    <t>[COU 1]</t>
  </si>
  <si>
    <t>[ANA ]</t>
  </si>
  <si>
    <t>[HL RES.N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</si>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</sst>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##_)"/>
    <numFmt numFmtId="165" formatCode="####"/>
    <numFmt numFmtId="166" formatCode="#,##0.00_);\ \(#,##0.00\);\ &quot;- &quot;"/>
    <numFmt numFmtId="167" formatCode="[$-409]mmm\-yy;@"/>
    <numFmt numFmtId="168" formatCode="#,##0.0%_);\ \(#,##0.0%\);\ &quot;- &quot;"/>
    <numFmt numFmtId="169" formatCode="#,##0.0\x_);\ \(#,##0.0\x\);\ &quot;- &quot;"/>
    <numFmt numFmtId="170" formatCode="#,##0.0_);\ \(#,##0.0\);\ &quot;- &quot;"/>
    <numFmt numFmtId="171" formatCode="_(* #,##0_);_(* \(#,##0\);_(* &quot;-&quot;??_);_(@_)"/>
    <numFmt numFmtId="173" formatCode="0.0%"/>
    <numFmt numFmtId="174" formatCode="_(* #,##0.0_);_(* \(#,##0.0\);_(* &quot;-&quot;??_);_(@_)"/>
    <numFmt numFmtId="175" formatCode="0.0"/>
    <numFmt numFmtId="176" formatCode="#,##0.0"/>
    <numFmt numFmtId="177" formatCode="_ * #,##0_ ;_ * \-#,##0_ ;_ * &quot;-&quot;_ ;_ @_ "/>
    <numFmt numFmtId="178" formatCode="#,##0_);\ \(#,##0\);\ &quot;- &quot;"/>
    <numFmt numFmtId="179" formatCode="0.0%_);\(0.0%\);&quot;–&quot;_)"/>
    <numFmt numFmtId="180" formatCode="#,##0.0_);\(#,##0.0\);\–_);&quot;–&quot;_)"/>
    <numFmt numFmtId="181" formatCode="0.0\x_);\(0.0\x\);&quot;–&quot;_)"/>
    <numFmt numFmtId="182" formatCode="#,##0_);\(#,##0\);\–_);&quot;–&quot;_)"/>
    <numFmt numFmtId="183" formatCode="#,##0.0_);\(#,##0.0\);&quot;-&quot;_);@_)"/>
    <numFmt numFmtId="184" formatCode="#,##0.000_);\ \(#,##0.000\);\ &quot;- &quot;"/>
    <numFmt numFmtId="185" formatCode="0.00\x_);\(0.00\x\);&quot;–&quot;_)"/>
    <numFmt numFmtId="186" formatCode="0%_);\(0%\);&quot;–&quot;_)"/>
    <numFmt numFmtId="189" formatCode="#,##0.0_);\(#,##0.0\);&quot;-&quot;"/>
    <numFmt numFmtId="190" formatCode="0.0%_);\(0.0%\);&quot;-&quot;"/>
    <numFmt numFmtId="191" formatCode="#,##0%_);\ \(#,##0%\);\ &quot;- &quot;"/>
    <numFmt numFmtId="192" formatCode="#,##0.0_);\(#,##0.0\)"/>
    <numFmt numFmtId="193" formatCode="#,##0_);\(#,##0\);\–_)"/>
    <numFmt numFmtId="194" formatCode="#,##0.0_);\(#,##0.0\);\–_)"/>
    <numFmt numFmtId="206" formatCode="mm/dd/yy\ hh:mm"/>
  </numFmts>
  <fonts count="53">
    <font>
      <sz val="10"/>
      <name val="Arial"/>
    </font>
    <font>
      <sz val="10"/>
      <name val="Arial"/>
      <family val="2"/>
    </font>
    <font>
      <b/>
      <sz val="12"/>
      <color indexed="8"/>
      <name val="News Gothic MT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53"/>
      <name val="Arial"/>
      <family val="2"/>
    </font>
    <font>
      <u/>
      <sz val="8"/>
      <name val="Arial"/>
      <family val="2"/>
    </font>
    <font>
      <sz val="8"/>
      <color indexed="53"/>
      <name val="Arial"/>
      <family val="2"/>
    </font>
    <font>
      <sz val="10"/>
      <name val="Arial"/>
      <family val="2"/>
    </font>
    <font>
      <b/>
      <i/>
      <sz val="8"/>
      <name val="Arial"/>
      <family val="2"/>
    </font>
    <font>
      <b/>
      <sz val="10"/>
      <name val="Arial"/>
      <family val="2"/>
    </font>
    <font>
      <sz val="8"/>
      <color indexed="19"/>
      <name val="Arial"/>
      <family val="2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i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0"/>
      <name val="Beatles"/>
      <charset val="162"/>
    </font>
    <font>
      <sz val="8"/>
      <name val="Times New Roman"/>
      <family val="1"/>
    </font>
    <font>
      <sz val="12"/>
      <name val="바탕체"/>
      <family val="1"/>
      <charset val="129"/>
    </font>
    <font>
      <i/>
      <sz val="8"/>
      <color indexed="55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8"/>
      <color indexed="24"/>
      <name val="Arial"/>
      <family val="2"/>
    </font>
    <font>
      <b/>
      <sz val="8"/>
      <color indexed="10"/>
      <name val="Arial"/>
      <family val="2"/>
    </font>
    <font>
      <b/>
      <sz val="8"/>
      <color indexed="24"/>
      <name val="Arial"/>
      <family val="2"/>
    </font>
    <font>
      <sz val="8"/>
      <name val="Arial"/>
      <family val="2"/>
    </font>
    <font>
      <sz val="10"/>
      <name val="Arial"/>
      <family val="2"/>
    </font>
    <font>
      <sz val="5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5"/>
      <color indexed="8"/>
      <name val="Arial"/>
      <family val="2"/>
    </font>
    <font>
      <sz val="8"/>
      <color indexed="55"/>
      <name val="Arial"/>
      <family val="2"/>
    </font>
    <font>
      <b/>
      <sz val="8"/>
      <color indexed="19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8"/>
      <color rgb="FF137CB1"/>
      <name val="Arial"/>
      <family val="2"/>
    </font>
    <font>
      <b/>
      <sz val="8"/>
      <color rgb="FF137CB1"/>
      <name val="Arial"/>
      <family val="2"/>
    </font>
    <font>
      <i/>
      <sz val="8"/>
      <color theme="0"/>
      <name val="Arial"/>
      <family val="2"/>
    </font>
    <font>
      <sz val="8"/>
      <color rgb="FF008000"/>
      <name val="Arial"/>
      <family val="2"/>
    </font>
    <font>
      <sz val="8"/>
      <color rgb="FFFF0000"/>
      <name val="Arial"/>
      <family val="2"/>
    </font>
    <font>
      <i/>
      <sz val="8"/>
      <color rgb="FFFF0000"/>
      <name val="Arial"/>
      <family val="2"/>
    </font>
    <font>
      <sz val="5"/>
      <color rgb="FF008000"/>
      <name val="Arial"/>
      <family val="2"/>
    </font>
    <font>
      <sz val="10"/>
      <color rgb="FF008000"/>
      <name val="Arial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4">
    <xf numFmtId="0" fontId="0" fillId="0" borderId="0" applyNumberFormat="0" applyFont="0" applyFill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" fillId="0" borderId="0"/>
    <xf numFmtId="0" fontId="13" fillId="0" borderId="0"/>
    <xf numFmtId="0" fontId="13" fillId="0" borderId="0"/>
    <xf numFmtId="0" fontId="14" fillId="0" borderId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9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33" fillId="0" borderId="0"/>
    <xf numFmtId="0" fontId="8" fillId="0" borderId="0" applyNumberFormat="0" applyFill="0" applyBorder="0" applyAlignment="0" applyProtection="0"/>
    <xf numFmtId="0" fontId="39" fillId="0" borderId="0"/>
    <xf numFmtId="0" fontId="8" fillId="0" borderId="0"/>
    <xf numFmtId="189" fontId="30" fillId="0" borderId="0"/>
    <xf numFmtId="0" fontId="8" fillId="0" borderId="0" applyNumberFormat="0" applyFont="0" applyFill="0" applyBorder="0" applyAlignment="0" applyProtection="0"/>
    <xf numFmtId="0" fontId="15" fillId="0" borderId="0">
      <alignment vertical="center"/>
    </xf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190" fontId="31" fillId="0" borderId="0" applyFont="0" applyFill="0" applyBorder="0" applyAlignment="0" applyProtection="0"/>
    <xf numFmtId="0" fontId="8" fillId="2" borderId="0" applyNumberFormat="0" applyFont="0" applyBorder="0" applyAlignment="0" applyProtection="0"/>
    <xf numFmtId="0" fontId="16" fillId="0" borderId="0"/>
    <xf numFmtId="0" fontId="16" fillId="0" borderId="1">
      <alignment horizontal="centerContinuous"/>
    </xf>
    <xf numFmtId="0" fontId="17" fillId="0" borderId="1"/>
    <xf numFmtId="189" fontId="3" fillId="0" borderId="2"/>
    <xf numFmtId="177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1" fillId="0" borderId="0"/>
    <xf numFmtId="0" fontId="1" fillId="2" borderId="0" applyNumberFormat="0" applyFont="0" applyBorder="0" applyAlignment="0" applyProtection="0"/>
    <xf numFmtId="44" fontId="1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189" fontId="3" fillId="0" borderId="2"/>
    <xf numFmtId="0" fontId="49" fillId="0" borderId="0"/>
  </cellStyleXfs>
  <cellXfs count="268">
    <xf numFmtId="0" fontId="0" fillId="0" borderId="0" xfId="0"/>
    <xf numFmtId="0" fontId="4" fillId="0" borderId="0" xfId="3" applyFont="1"/>
    <xf numFmtId="49" fontId="2" fillId="0" borderId="0" xfId="3" applyNumberFormat="1" applyFont="1" applyFill="1" applyBorder="1"/>
    <xf numFmtId="49" fontId="3" fillId="0" borderId="0" xfId="3" applyNumberFormat="1" applyFont="1" applyFill="1" applyBorder="1" applyAlignment="1">
      <alignment vertical="center"/>
    </xf>
    <xf numFmtId="0" fontId="4" fillId="0" borderId="0" xfId="3" applyFont="1" applyFill="1"/>
    <xf numFmtId="165" fontId="5" fillId="0" borderId="0" xfId="3" applyNumberFormat="1" applyFont="1" applyBorder="1" applyAlignment="1">
      <alignment horizontal="right"/>
    </xf>
    <xf numFmtId="168" fontId="4" fillId="0" borderId="0" xfId="3" applyNumberFormat="1" applyFont="1" applyFill="1"/>
    <xf numFmtId="37" fontId="9" fillId="0" borderId="0" xfId="9" applyNumberFormat="1" applyFont="1" applyFill="1" applyBorder="1" applyAlignment="1">
      <alignment horizontal="left"/>
    </xf>
    <xf numFmtId="168" fontId="11" fillId="0" borderId="0" xfId="3" applyNumberFormat="1" applyFont="1" applyFill="1"/>
    <xf numFmtId="0" fontId="7" fillId="0" borderId="0" xfId="3" applyFont="1" applyFill="1"/>
    <xf numFmtId="0" fontId="4" fillId="0" borderId="0" xfId="3" applyFont="1" applyFill="1" applyAlignment="1">
      <alignment horizontal="left"/>
    </xf>
    <xf numFmtId="0" fontId="3" fillId="0" borderId="0" xfId="3" applyFont="1" applyFill="1"/>
    <xf numFmtId="0" fontId="3" fillId="0" borderId="0" xfId="3" applyFont="1" applyFill="1" applyAlignment="1">
      <alignment horizontal="left" indent="1"/>
    </xf>
    <xf numFmtId="166" fontId="3" fillId="0" borderId="0" xfId="3" applyNumberFormat="1" applyFont="1" applyFill="1"/>
    <xf numFmtId="166" fontId="4" fillId="0" borderId="0" xfId="3" applyNumberFormat="1" applyFont="1" applyFill="1"/>
    <xf numFmtId="165" fontId="3" fillId="0" borderId="3" xfId="3" applyNumberFormat="1" applyFont="1" applyFill="1" applyBorder="1" applyAlignment="1">
      <alignment horizontal="right"/>
    </xf>
    <xf numFmtId="168" fontId="3" fillId="0" borderId="0" xfId="3" applyNumberFormat="1" applyFont="1" applyFill="1"/>
    <xf numFmtId="0" fontId="4" fillId="0" borderId="3" xfId="3" applyFont="1" applyFill="1" applyBorder="1" applyAlignment="1">
      <alignment horizontal="left"/>
    </xf>
    <xf numFmtId="164" fontId="3" fillId="0" borderId="3" xfId="3" applyNumberFormat="1" applyFont="1" applyFill="1" applyBorder="1" applyAlignment="1">
      <alignment horizontal="right"/>
    </xf>
    <xf numFmtId="0" fontId="4" fillId="0" borderId="0" xfId="3" applyFont="1" applyFill="1" applyAlignment="1">
      <alignment horizontal="left" indent="1"/>
    </xf>
    <xf numFmtId="0" fontId="3" fillId="0" borderId="3" xfId="3" applyFont="1" applyFill="1" applyBorder="1" applyAlignment="1">
      <alignment horizontal="left"/>
    </xf>
    <xf numFmtId="0" fontId="3" fillId="0" borderId="0" xfId="3" applyFont="1" applyFill="1" applyAlignment="1">
      <alignment horizontal="left"/>
    </xf>
    <xf numFmtId="169" fontId="4" fillId="0" borderId="0" xfId="3" applyNumberFormat="1" applyFont="1" applyFill="1"/>
    <xf numFmtId="170" fontId="4" fillId="0" borderId="0" xfId="3" applyNumberFormat="1" applyFont="1" applyFill="1"/>
    <xf numFmtId="165" fontId="5" fillId="0" borderId="0" xfId="3" applyNumberFormat="1" applyFont="1" applyFill="1" applyBorder="1" applyAlignment="1">
      <alignment horizontal="right"/>
    </xf>
    <xf numFmtId="0" fontId="5" fillId="0" borderId="0" xfId="3" applyFont="1" applyFill="1" applyBorder="1" applyAlignment="1">
      <alignment horizontal="right"/>
    </xf>
    <xf numFmtId="0" fontId="3" fillId="0" borderId="0" xfId="3" applyFont="1" applyFill="1" applyBorder="1" applyAlignment="1">
      <alignment horizontal="left"/>
    </xf>
    <xf numFmtId="164" fontId="3" fillId="0" borderId="0" xfId="3" applyNumberFormat="1" applyFont="1" applyFill="1" applyBorder="1" applyAlignment="1">
      <alignment horizontal="right"/>
    </xf>
    <xf numFmtId="169" fontId="4" fillId="0" borderId="0" xfId="3" applyNumberFormat="1" applyFont="1" applyFill="1" applyAlignment="1">
      <alignment horizontal="right"/>
    </xf>
    <xf numFmtId="0" fontId="3" fillId="0" borderId="0" xfId="3" applyFont="1"/>
    <xf numFmtId="43" fontId="4" fillId="0" borderId="0" xfId="9" applyFont="1" applyFill="1"/>
    <xf numFmtId="171" fontId="4" fillId="0" borderId="0" xfId="9" applyNumberFormat="1" applyFont="1" applyFill="1"/>
    <xf numFmtId="2" fontId="4" fillId="0" borderId="0" xfId="3" applyNumberFormat="1" applyFont="1" applyFill="1"/>
    <xf numFmtId="2" fontId="4" fillId="0" borderId="0" xfId="3" applyNumberFormat="1" applyFont="1"/>
    <xf numFmtId="0" fontId="18" fillId="0" borderId="0" xfId="3" applyFont="1" applyAlignment="1">
      <alignment horizontal="left"/>
    </xf>
    <xf numFmtId="9" fontId="4" fillId="0" borderId="0" xfId="3" applyNumberFormat="1" applyFont="1" applyFill="1"/>
    <xf numFmtId="165" fontId="20" fillId="0" borderId="3" xfId="3" applyNumberFormat="1" applyFont="1" applyBorder="1" applyAlignment="1">
      <alignment horizontal="right"/>
    </xf>
    <xf numFmtId="0" fontId="20" fillId="0" borderId="3" xfId="3" applyFont="1" applyBorder="1" applyAlignment="1">
      <alignment horizontal="right"/>
    </xf>
    <xf numFmtId="3" fontId="4" fillId="0" borderId="0" xfId="3" applyNumberFormat="1" applyFont="1" applyFill="1"/>
    <xf numFmtId="178" fontId="4" fillId="0" borderId="0" xfId="3" applyNumberFormat="1" applyFont="1" applyFill="1"/>
    <xf numFmtId="178" fontId="3" fillId="0" borderId="0" xfId="3" applyNumberFormat="1" applyFont="1" applyFill="1"/>
    <xf numFmtId="178" fontId="3" fillId="0" borderId="0" xfId="3" applyNumberFormat="1" applyFont="1" applyFill="1" applyAlignment="1">
      <alignment horizontal="left" indent="1"/>
    </xf>
    <xf numFmtId="178" fontId="4" fillId="0" borderId="0" xfId="3" applyNumberFormat="1" applyFont="1" applyFill="1" applyAlignment="1">
      <alignment horizontal="left" indent="2"/>
    </xf>
    <xf numFmtId="178" fontId="4" fillId="0" borderId="0" xfId="3" applyNumberFormat="1" applyFont="1" applyFill="1" applyBorder="1" applyAlignment="1"/>
    <xf numFmtId="178" fontId="3" fillId="0" borderId="3" xfId="3" applyNumberFormat="1" applyFont="1" applyFill="1" applyBorder="1"/>
    <xf numFmtId="178" fontId="4" fillId="0" borderId="0" xfId="3" applyNumberFormat="1" applyFont="1" applyFill="1" applyAlignment="1">
      <alignment horizontal="left" indent="1"/>
    </xf>
    <xf numFmtId="178" fontId="3" fillId="0" borderId="0" xfId="3" applyNumberFormat="1" applyFont="1" applyFill="1" applyBorder="1"/>
    <xf numFmtId="173" fontId="4" fillId="0" borderId="0" xfId="3" applyNumberFormat="1" applyFont="1" applyFill="1"/>
    <xf numFmtId="175" fontId="4" fillId="0" borderId="0" xfId="3" applyNumberFormat="1" applyFont="1" applyFill="1"/>
    <xf numFmtId="179" fontId="18" fillId="0" borderId="0" xfId="3" applyNumberFormat="1" applyFont="1" applyFill="1"/>
    <xf numFmtId="180" fontId="4" fillId="0" borderId="0" xfId="3" applyNumberFormat="1" applyFont="1" applyFill="1"/>
    <xf numFmtId="0" fontId="4" fillId="0" borderId="0" xfId="0" applyFont="1"/>
    <xf numFmtId="0" fontId="28" fillId="0" borderId="0" xfId="3" applyNumberFormat="1" applyFont="1" applyFill="1" applyBorder="1" applyAlignment="1">
      <alignment vertical="center"/>
    </xf>
    <xf numFmtId="178" fontId="4" fillId="0" borderId="0" xfId="3" applyNumberFormat="1" applyFont="1" applyFill="1" applyBorder="1" applyAlignment="1">
      <alignment horizontal="left" indent="1"/>
    </xf>
    <xf numFmtId="170" fontId="3" fillId="0" borderId="2" xfId="3" applyNumberFormat="1" applyFont="1" applyFill="1" applyBorder="1"/>
    <xf numFmtId="170" fontId="4" fillId="0" borderId="2" xfId="3" applyNumberFormat="1" applyFont="1" applyFill="1" applyBorder="1"/>
    <xf numFmtId="183" fontId="4" fillId="0" borderId="0" xfId="3" applyNumberFormat="1" applyFont="1" applyFill="1"/>
    <xf numFmtId="179" fontId="4" fillId="0" borderId="0" xfId="3" applyNumberFormat="1" applyFont="1" applyFill="1"/>
    <xf numFmtId="184" fontId="4" fillId="0" borderId="0" xfId="3" applyNumberFormat="1" applyFont="1" applyFill="1"/>
    <xf numFmtId="183" fontId="4" fillId="0" borderId="0" xfId="3" applyNumberFormat="1" applyFont="1" applyFill="1" applyBorder="1" applyAlignment="1"/>
    <xf numFmtId="170" fontId="29" fillId="0" borderId="2" xfId="3" applyNumberFormat="1" applyFont="1" applyFill="1" applyBorder="1"/>
    <xf numFmtId="183" fontId="40" fillId="0" borderId="0" xfId="3" applyNumberFormat="1" applyFont="1" applyFill="1" applyAlignment="1">
      <alignment horizontal="right"/>
    </xf>
    <xf numFmtId="179" fontId="40" fillId="0" borderId="0" xfId="3" applyNumberFormat="1" applyFont="1" applyFill="1" applyAlignment="1">
      <alignment horizontal="right"/>
    </xf>
    <xf numFmtId="168" fontId="41" fillId="0" borderId="0" xfId="3" applyNumberFormat="1" applyFont="1" applyFill="1"/>
    <xf numFmtId="183" fontId="4" fillId="0" borderId="2" xfId="3" applyNumberFormat="1" applyFont="1" applyFill="1" applyBorder="1"/>
    <xf numFmtId="183" fontId="41" fillId="0" borderId="0" xfId="3" applyNumberFormat="1" applyFont="1" applyFill="1" applyBorder="1" applyAlignment="1"/>
    <xf numFmtId="183" fontId="41" fillId="0" borderId="0" xfId="3" applyNumberFormat="1" applyFont="1" applyFill="1"/>
    <xf numFmtId="179" fontId="4" fillId="0" borderId="0" xfId="3" applyNumberFormat="1" applyFont="1" applyFill="1" applyBorder="1"/>
    <xf numFmtId="168" fontId="3" fillId="0" borderId="0" xfId="3" applyNumberFormat="1" applyFont="1" applyFill="1" applyAlignment="1">
      <alignment horizontal="right"/>
    </xf>
    <xf numFmtId="170" fontId="3" fillId="0" borderId="0" xfId="3" applyNumberFormat="1" applyFont="1" applyFill="1" applyBorder="1"/>
    <xf numFmtId="170" fontId="3" fillId="0" borderId="0" xfId="3" applyNumberFormat="1" applyFont="1" applyFill="1"/>
    <xf numFmtId="168" fontId="3" fillId="0" borderId="0" xfId="3" applyNumberFormat="1" applyFont="1" applyFill="1" applyBorder="1"/>
    <xf numFmtId="170" fontId="39" fillId="0" borderId="0" xfId="3" applyNumberFormat="1" applyFont="1" applyFill="1" applyBorder="1"/>
    <xf numFmtId="175" fontId="39" fillId="0" borderId="0" xfId="3" applyNumberFormat="1" applyFont="1" applyFill="1"/>
    <xf numFmtId="179" fontId="40" fillId="0" borderId="0" xfId="3" applyNumberFormat="1" applyFont="1" applyFill="1" applyBorder="1"/>
    <xf numFmtId="185" fontId="40" fillId="0" borderId="0" xfId="3" applyNumberFormat="1" applyFont="1" applyFill="1" applyBorder="1"/>
    <xf numFmtId="170" fontId="42" fillId="0" borderId="0" xfId="3" applyNumberFormat="1" applyFont="1" applyFill="1"/>
    <xf numFmtId="179" fontId="41" fillId="0" borderId="0" xfId="3" applyNumberFormat="1" applyFont="1" applyFill="1" applyBorder="1"/>
    <xf numFmtId="183" fontId="4" fillId="0" borderId="0" xfId="3" applyNumberFormat="1" applyFont="1" applyFill="1" applyAlignment="1">
      <alignment horizontal="right"/>
    </xf>
    <xf numFmtId="176" fontId="43" fillId="3" borderId="0" xfId="3" applyNumberFormat="1" applyFont="1" applyFill="1" applyAlignment="1">
      <alignment horizontal="right"/>
    </xf>
    <xf numFmtId="183" fontId="40" fillId="0" borderId="0" xfId="3" applyNumberFormat="1" applyFont="1" applyFill="1"/>
    <xf numFmtId="166" fontId="4" fillId="0" borderId="0" xfId="3" applyNumberFormat="1" applyFont="1" applyFill="1" applyBorder="1" applyAlignment="1"/>
    <xf numFmtId="178" fontId="44" fillId="0" borderId="0" xfId="3" applyNumberFormat="1" applyFont="1" applyFill="1"/>
    <xf numFmtId="10" fontId="4" fillId="0" borderId="0" xfId="26" applyNumberFormat="1" applyFont="1" applyFill="1"/>
    <xf numFmtId="0" fontId="4" fillId="0" borderId="0" xfId="3" applyNumberFormat="1" applyFont="1" applyFill="1" applyBorder="1" applyAlignment="1">
      <alignment horizontal="left" vertical="center"/>
    </xf>
    <xf numFmtId="174" fontId="4" fillId="0" borderId="0" xfId="9" applyNumberFormat="1" applyFont="1" applyFill="1"/>
    <xf numFmtId="49" fontId="4" fillId="0" borderId="0" xfId="3" applyNumberFormat="1" applyFont="1" applyFill="1" applyBorder="1"/>
    <xf numFmtId="173" fontId="4" fillId="0" borderId="0" xfId="26" applyNumberFormat="1" applyFont="1" applyFill="1"/>
    <xf numFmtId="181" fontId="4" fillId="0" borderId="0" xfId="26" applyNumberFormat="1" applyFont="1" applyFill="1"/>
    <xf numFmtId="9" fontId="4" fillId="0" borderId="0" xfId="26" applyNumberFormat="1" applyFont="1" applyFill="1"/>
    <xf numFmtId="49" fontId="3" fillId="0" borderId="0" xfId="3" applyNumberFormat="1" applyFont="1" applyFill="1" applyBorder="1"/>
    <xf numFmtId="49" fontId="4" fillId="0" borderId="0" xfId="9" applyNumberFormat="1" applyFont="1" applyFill="1" applyBorder="1"/>
    <xf numFmtId="9" fontId="4" fillId="0" borderId="0" xfId="26" applyFont="1" applyFill="1"/>
    <xf numFmtId="174" fontId="4" fillId="0" borderId="0" xfId="26" applyNumberFormat="1" applyFont="1" applyFill="1"/>
    <xf numFmtId="174" fontId="4" fillId="0" borderId="0" xfId="9" applyNumberFormat="1" applyFont="1" applyFill="1" applyAlignment="1">
      <alignment horizontal="right"/>
    </xf>
    <xf numFmtId="176" fontId="4" fillId="0" borderId="0" xfId="3" applyNumberFormat="1" applyFont="1" applyFill="1"/>
    <xf numFmtId="179" fontId="40" fillId="0" borderId="0" xfId="9" applyNumberFormat="1" applyFont="1" applyFill="1"/>
    <xf numFmtId="49" fontId="4" fillId="0" borderId="0" xfId="9" applyNumberFormat="1" applyFont="1" applyFill="1" applyAlignment="1">
      <alignment horizontal="left"/>
    </xf>
    <xf numFmtId="43" fontId="4" fillId="0" borderId="0" xfId="10" applyFont="1" applyFill="1"/>
    <xf numFmtId="0" fontId="3" fillId="0" borderId="0" xfId="3" applyNumberFormat="1" applyFont="1" applyFill="1" applyBorder="1" applyAlignment="1">
      <alignment horizontal="left" vertical="center"/>
    </xf>
    <xf numFmtId="186" fontId="4" fillId="0" borderId="0" xfId="9" applyNumberFormat="1" applyFont="1" applyFill="1"/>
    <xf numFmtId="49" fontId="3" fillId="4" borderId="0" xfId="3" applyNumberFormat="1" applyFont="1" applyFill="1" applyBorder="1" applyAlignment="1">
      <alignment vertical="center"/>
    </xf>
    <xf numFmtId="165" fontId="4" fillId="4" borderId="0" xfId="3" applyNumberFormat="1" applyFont="1" applyFill="1" applyBorder="1" applyAlignment="1">
      <alignment horizontal="right"/>
    </xf>
    <xf numFmtId="0" fontId="4" fillId="4" borderId="0" xfId="3" applyFont="1" applyFill="1" applyBorder="1" applyAlignment="1">
      <alignment horizontal="right"/>
    </xf>
    <xf numFmtId="0" fontId="4" fillId="4" borderId="0" xfId="3" applyFont="1" applyFill="1"/>
    <xf numFmtId="170" fontId="40" fillId="0" borderId="0" xfId="3" applyNumberFormat="1" applyFont="1" applyFill="1"/>
    <xf numFmtId="0" fontId="20" fillId="0" borderId="0" xfId="3" applyFont="1" applyBorder="1" applyAlignment="1">
      <alignment horizontal="right"/>
    </xf>
    <xf numFmtId="165" fontId="3" fillId="0" borderId="0" xfId="3" applyNumberFormat="1" applyFont="1" applyFill="1" applyBorder="1" applyAlignment="1">
      <alignment horizontal="right"/>
    </xf>
    <xf numFmtId="170" fontId="4" fillId="0" borderId="0" xfId="3" applyNumberFormat="1" applyFont="1" applyFill="1" applyBorder="1"/>
    <xf numFmtId="183" fontId="4" fillId="0" borderId="0" xfId="3" applyNumberFormat="1" applyFont="1" applyFill="1" applyBorder="1"/>
    <xf numFmtId="191" fontId="4" fillId="0" borderId="0" xfId="3" applyNumberFormat="1" applyFont="1" applyFill="1"/>
    <xf numFmtId="170" fontId="41" fillId="0" borderId="0" xfId="3" applyNumberFormat="1" applyFont="1" applyFill="1"/>
    <xf numFmtId="0" fontId="10" fillId="0" borderId="0" xfId="0" applyFont="1"/>
    <xf numFmtId="166" fontId="3" fillId="0" borderId="0" xfId="3" applyNumberFormat="1" applyFont="1"/>
    <xf numFmtId="170" fontId="40" fillId="0" borderId="0" xfId="3" applyNumberFormat="1" applyFont="1" applyFill="1" applyBorder="1"/>
    <xf numFmtId="179" fontId="4" fillId="6" borderId="0" xfId="3" applyNumberFormat="1" applyFont="1" applyFill="1" applyAlignment="1">
      <alignment horizontal="right"/>
    </xf>
    <xf numFmtId="175" fontId="4" fillId="6" borderId="0" xfId="3" applyNumberFormat="1" applyFont="1" applyFill="1"/>
    <xf numFmtId="178" fontId="4" fillId="6" borderId="0" xfId="3" applyNumberFormat="1" applyFont="1" applyFill="1"/>
    <xf numFmtId="183" fontId="43" fillId="3" borderId="0" xfId="3" applyNumberFormat="1" applyFont="1" applyFill="1" applyAlignment="1">
      <alignment horizontal="right"/>
    </xf>
    <xf numFmtId="183" fontId="24" fillId="0" borderId="0" xfId="3" applyNumberFormat="1" applyFont="1" applyAlignment="1">
      <alignment horizontal="right"/>
    </xf>
    <xf numFmtId="183" fontId="18" fillId="0" borderId="0" xfId="3" applyNumberFormat="1" applyFont="1" applyFill="1"/>
    <xf numFmtId="183" fontId="45" fillId="0" borderId="0" xfId="0" applyNumberFormat="1" applyFont="1"/>
    <xf numFmtId="183" fontId="4" fillId="6" borderId="0" xfId="3" applyNumberFormat="1" applyFont="1" applyFill="1" applyAlignment="1">
      <alignment horizontal="right"/>
    </xf>
    <xf numFmtId="183" fontId="4" fillId="6" borderId="0" xfId="3" applyNumberFormat="1" applyFont="1" applyFill="1"/>
    <xf numFmtId="179" fontId="4" fillId="6" borderId="0" xfId="3" applyNumberFormat="1" applyFont="1" applyFill="1"/>
    <xf numFmtId="179" fontId="40" fillId="6" borderId="0" xfId="3" applyNumberFormat="1" applyFont="1" applyFill="1" applyAlignment="1">
      <alignment horizontal="right"/>
    </xf>
    <xf numFmtId="179" fontId="4" fillId="0" borderId="0" xfId="26" applyNumberFormat="1" applyFont="1" applyFill="1"/>
    <xf numFmtId="183" fontId="46" fillId="0" borderId="0" xfId="3" applyNumberFormat="1" applyFont="1" applyFill="1"/>
    <xf numFmtId="178" fontId="45" fillId="0" borderId="0" xfId="3" applyNumberFormat="1" applyFont="1" applyFill="1"/>
    <xf numFmtId="168" fontId="4" fillId="0" borderId="0" xfId="3" applyNumberFormat="1" applyFont="1" applyFill="1" applyAlignment="1">
      <alignment horizontal="right"/>
    </xf>
    <xf numFmtId="173" fontId="41" fillId="0" borderId="0" xfId="3" applyNumberFormat="1" applyFont="1" applyFill="1"/>
    <xf numFmtId="183" fontId="3" fillId="0" borderId="0" xfId="3" applyNumberFormat="1" applyFont="1" applyFill="1" applyBorder="1" applyAlignment="1">
      <alignment horizontal="right"/>
    </xf>
    <xf numFmtId="183" fontId="11" fillId="0" borderId="0" xfId="3" applyNumberFormat="1" applyFont="1" applyFill="1"/>
    <xf numFmtId="168" fontId="3" fillId="0" borderId="0" xfId="3" applyNumberFormat="1" applyFont="1" applyFill="1" applyBorder="1" applyAlignment="1">
      <alignment horizontal="right"/>
    </xf>
    <xf numFmtId="179" fontId="4" fillId="0" borderId="0" xfId="3" applyNumberFormat="1" applyFont="1" applyFill="1" applyBorder="1" applyAlignment="1">
      <alignment horizontal="right"/>
    </xf>
    <xf numFmtId="178" fontId="3" fillId="0" borderId="0" xfId="3" applyNumberFormat="1" applyFont="1" applyFill="1" applyAlignment="1">
      <alignment horizontal="left"/>
    </xf>
    <xf numFmtId="170" fontId="4" fillId="6" borderId="0" xfId="3" applyNumberFormat="1" applyFont="1" applyFill="1"/>
    <xf numFmtId="179" fontId="41" fillId="7" borderId="0" xfId="3" applyNumberFormat="1" applyFont="1" applyFill="1" applyBorder="1"/>
    <xf numFmtId="168" fontId="19" fillId="7" borderId="0" xfId="3" applyNumberFormat="1" applyFont="1" applyFill="1"/>
    <xf numFmtId="178" fontId="3" fillId="0" borderId="0" xfId="3" applyNumberFormat="1" applyFont="1" applyFill="1" applyBorder="1" applyAlignment="1"/>
    <xf numFmtId="0" fontId="35" fillId="0" borderId="0" xfId="3" applyFont="1"/>
    <xf numFmtId="0" fontId="32" fillId="0" borderId="0" xfId="3" applyFont="1"/>
    <xf numFmtId="0" fontId="32" fillId="4" borderId="0" xfId="3" applyFont="1" applyFill="1"/>
    <xf numFmtId="0" fontId="32" fillId="0" borderId="0" xfId="3" applyFont="1" applyFill="1"/>
    <xf numFmtId="178" fontId="32" fillId="0" borderId="0" xfId="3" applyNumberFormat="1" applyFont="1" applyFill="1"/>
    <xf numFmtId="178" fontId="32" fillId="0" borderId="0" xfId="3" applyNumberFormat="1" applyFont="1" applyFill="1" applyBorder="1"/>
    <xf numFmtId="0" fontId="32" fillId="0" borderId="0" xfId="0" applyFont="1" applyFill="1"/>
    <xf numFmtId="0" fontId="32" fillId="0" borderId="0" xfId="0" applyFont="1"/>
    <xf numFmtId="192" fontId="4" fillId="0" borderId="0" xfId="3" applyNumberFormat="1" applyFont="1" applyFill="1"/>
    <xf numFmtId="167" fontId="4" fillId="4" borderId="0" xfId="3" applyNumberFormat="1" applyFont="1" applyFill="1" applyBorder="1" applyAlignment="1">
      <alignment horizontal="right"/>
    </xf>
    <xf numFmtId="183" fontId="4" fillId="0" borderId="0" xfId="26" applyNumberFormat="1" applyFont="1" applyFill="1"/>
    <xf numFmtId="179" fontId="27" fillId="0" borderId="0" xfId="3" applyNumberFormat="1" applyFont="1" applyFill="1" applyAlignment="1">
      <alignment horizontal="right"/>
    </xf>
    <xf numFmtId="194" fontId="4" fillId="0" borderId="0" xfId="3" applyNumberFormat="1" applyFont="1" applyFill="1"/>
    <xf numFmtId="180" fontId="41" fillId="0" borderId="0" xfId="3" applyNumberFormat="1" applyFont="1" applyFill="1"/>
    <xf numFmtId="180" fontId="40" fillId="0" borderId="0" xfId="3" applyNumberFormat="1" applyFont="1" applyFill="1"/>
    <xf numFmtId="176" fontId="41" fillId="0" borderId="0" xfId="3" applyNumberFormat="1" applyFont="1" applyFill="1"/>
    <xf numFmtId="0" fontId="4" fillId="0" borderId="0" xfId="0" applyFont="1" applyFill="1"/>
    <xf numFmtId="0" fontId="0" fillId="0" borderId="0" xfId="0" applyFill="1"/>
    <xf numFmtId="194" fontId="4" fillId="0" borderId="0" xfId="3" applyNumberFormat="1" applyFont="1" applyFill="1" applyAlignment="1">
      <alignment horizontal="right"/>
    </xf>
    <xf numFmtId="178" fontId="47" fillId="0" borderId="0" xfId="3" applyNumberFormat="1" applyFont="1" applyFill="1"/>
    <xf numFmtId="170" fontId="44" fillId="0" borderId="0" xfId="3" applyNumberFormat="1" applyFont="1" applyFill="1"/>
    <xf numFmtId="0" fontId="44" fillId="0" borderId="0" xfId="0" applyFont="1" applyFill="1"/>
    <xf numFmtId="0" fontId="48" fillId="0" borderId="0" xfId="0" applyFont="1" applyFill="1"/>
    <xf numFmtId="170" fontId="44" fillId="0" borderId="3" xfId="3" applyNumberFormat="1" applyFont="1" applyFill="1" applyBorder="1"/>
    <xf numFmtId="170" fontId="44" fillId="0" borderId="0" xfId="3" applyNumberFormat="1" applyFont="1" applyFill="1" applyBorder="1"/>
    <xf numFmtId="178" fontId="4" fillId="0" borderId="0" xfId="3" applyNumberFormat="1" applyFont="1" applyFill="1" applyAlignment="1">
      <alignment horizontal="left"/>
    </xf>
    <xf numFmtId="178" fontId="44" fillId="0" borderId="0" xfId="3" applyNumberFormat="1" applyFont="1" applyFill="1" applyAlignment="1">
      <alignment horizontal="left" indent="1"/>
    </xf>
    <xf numFmtId="0" fontId="44" fillId="0" borderId="0" xfId="3" applyFont="1" applyFill="1" applyAlignment="1">
      <alignment horizontal="left" indent="1"/>
    </xf>
    <xf numFmtId="178" fontId="44" fillId="0" borderId="0" xfId="3" applyNumberFormat="1" applyFont="1" applyFill="1" applyAlignment="1">
      <alignment horizontal="left" indent="2"/>
    </xf>
    <xf numFmtId="0" fontId="44" fillId="0" borderId="0" xfId="3" applyFont="1" applyFill="1" applyAlignment="1">
      <alignment horizontal="left" indent="2"/>
    </xf>
    <xf numFmtId="0" fontId="48" fillId="0" borderId="0" xfId="0" applyFont="1"/>
    <xf numFmtId="194" fontId="27" fillId="0" borderId="0" xfId="3" applyNumberFormat="1" applyFont="1" applyFill="1" applyAlignment="1">
      <alignment horizontal="right"/>
    </xf>
    <xf numFmtId="168" fontId="4" fillId="6" borderId="0" xfId="3" applyNumberFormat="1" applyFont="1" applyFill="1"/>
    <xf numFmtId="178" fontId="3" fillId="0" borderId="0" xfId="3" applyNumberFormat="1" applyFont="1" applyFill="1" applyAlignment="1"/>
    <xf numFmtId="186" fontId="4" fillId="0" borderId="0" xfId="3" applyNumberFormat="1" applyFont="1" applyFill="1"/>
    <xf numFmtId="194" fontId="4" fillId="6" borderId="0" xfId="3" applyNumberFormat="1" applyFont="1" applyFill="1"/>
    <xf numFmtId="49" fontId="0" fillId="0" borderId="0" xfId="0" applyNumberFormat="1"/>
    <xf numFmtId="168" fontId="32" fillId="0" borderId="0" xfId="3" applyNumberFormat="1" applyFont="1" applyFill="1"/>
    <xf numFmtId="168" fontId="4" fillId="0" borderId="0" xfId="3" applyNumberFormat="1" applyFont="1" applyFill="1" applyAlignment="1">
      <alignment horizontal="left"/>
    </xf>
    <xf numFmtId="168" fontId="0" fillId="0" borderId="0" xfId="0" applyNumberFormat="1"/>
    <xf numFmtId="173" fontId="4" fillId="0" borderId="0" xfId="3" applyNumberFormat="1" applyFont="1" applyFill="1" applyAlignment="1">
      <alignment horizontal="right"/>
    </xf>
    <xf numFmtId="173" fontId="41" fillId="0" borderId="0" xfId="3" applyNumberFormat="1" applyFont="1" applyFill="1" applyAlignment="1">
      <alignment horizontal="right"/>
    </xf>
    <xf numFmtId="173" fontId="27" fillId="0" borderId="0" xfId="3" applyNumberFormat="1" applyFont="1" applyFill="1"/>
    <xf numFmtId="173" fontId="19" fillId="0" borderId="0" xfId="3" applyNumberFormat="1" applyFont="1" applyFill="1"/>
    <xf numFmtId="182" fontId="4" fillId="0" borderId="0" xfId="3" applyNumberFormat="1" applyFont="1" applyFill="1"/>
    <xf numFmtId="182" fontId="41" fillId="0" borderId="0" xfId="3" applyNumberFormat="1" applyFont="1" applyFill="1"/>
    <xf numFmtId="166" fontId="41" fillId="0" borderId="0" xfId="3" applyNumberFormat="1" applyFont="1" applyFill="1"/>
    <xf numFmtId="176" fontId="44" fillId="0" borderId="0" xfId="3" applyNumberFormat="1" applyFont="1" applyFill="1"/>
    <xf numFmtId="166" fontId="41" fillId="0" borderId="5" xfId="3" applyNumberFormat="1" applyFont="1" applyFill="1" applyBorder="1"/>
    <xf numFmtId="178" fontId="41" fillId="0" borderId="0" xfId="3" applyNumberFormat="1" applyFont="1" applyFill="1"/>
    <xf numFmtId="178" fontId="4" fillId="0" borderId="0" xfId="3" applyNumberFormat="1" applyFont="1" applyFill="1" applyBorder="1"/>
    <xf numFmtId="186" fontId="4" fillId="0" borderId="0" xfId="26" applyNumberFormat="1" applyFont="1" applyFill="1"/>
    <xf numFmtId="0" fontId="4" fillId="4" borderId="0" xfId="0" applyFont="1" applyFill="1"/>
    <xf numFmtId="0" fontId="37" fillId="0" borderId="0" xfId="3" applyFont="1"/>
    <xf numFmtId="170" fontId="27" fillId="0" borderId="0" xfId="3" applyNumberFormat="1" applyFont="1" applyFill="1"/>
    <xf numFmtId="170" fontId="27" fillId="0" borderId="0" xfId="3" applyNumberFormat="1" applyFont="1" applyFill="1" applyBorder="1"/>
    <xf numFmtId="170" fontId="19" fillId="0" borderId="0" xfId="3" applyNumberFormat="1" applyFont="1" applyFill="1"/>
    <xf numFmtId="183" fontId="27" fillId="0" borderId="0" xfId="3" applyNumberFormat="1" applyFont="1" applyFill="1"/>
    <xf numFmtId="183" fontId="27" fillId="0" borderId="0" xfId="3" applyNumberFormat="1" applyFont="1" applyFill="1" applyBorder="1" applyAlignment="1"/>
    <xf numFmtId="166" fontId="27" fillId="0" borderId="0" xfId="3" applyNumberFormat="1" applyFont="1" applyFill="1"/>
    <xf numFmtId="166" fontId="19" fillId="0" borderId="0" xfId="3" applyNumberFormat="1" applyFont="1" applyFill="1"/>
    <xf numFmtId="0" fontId="3" fillId="0" borderId="0" xfId="3" applyFont="1" applyFill="1" applyBorder="1"/>
    <xf numFmtId="0" fontId="3" fillId="0" borderId="0" xfId="0" applyFont="1"/>
    <xf numFmtId="0" fontId="4" fillId="6" borderId="0" xfId="3" applyFont="1" applyFill="1"/>
    <xf numFmtId="168" fontId="4" fillId="0" borderId="0" xfId="3" applyNumberFormat="1" applyFont="1" applyFill="1" applyBorder="1"/>
    <xf numFmtId="0" fontId="44" fillId="0" borderId="0" xfId="3" applyFont="1" applyFill="1"/>
    <xf numFmtId="0" fontId="6" fillId="0" borderId="0" xfId="3" applyFont="1" applyFill="1"/>
    <xf numFmtId="0" fontId="41" fillId="0" borderId="0" xfId="3" applyFont="1" applyFill="1"/>
    <xf numFmtId="0" fontId="6" fillId="0" borderId="0" xfId="3" applyFont="1" applyFill="1" applyAlignment="1">
      <alignment horizontal="left"/>
    </xf>
    <xf numFmtId="170" fontId="27" fillId="0" borderId="2" xfId="3" applyNumberFormat="1" applyFont="1" applyFill="1" applyBorder="1"/>
    <xf numFmtId="183" fontId="36" fillId="0" borderId="0" xfId="3" applyNumberFormat="1" applyFont="1" applyFill="1"/>
    <xf numFmtId="0" fontId="44" fillId="0" borderId="0" xfId="0" applyFont="1"/>
    <xf numFmtId="0" fontId="45" fillId="0" borderId="0" xfId="3" applyFont="1" applyFill="1"/>
    <xf numFmtId="3" fontId="19" fillId="0" borderId="0" xfId="3" applyNumberFormat="1" applyFont="1" applyFill="1" applyBorder="1"/>
    <xf numFmtId="3" fontId="19" fillId="0" borderId="0" xfId="3" applyNumberFormat="1" applyFont="1" applyFill="1"/>
    <xf numFmtId="168" fontId="19" fillId="0" borderId="0" xfId="3" applyNumberFormat="1" applyFont="1" applyFill="1"/>
    <xf numFmtId="176" fontId="27" fillId="0" borderId="0" xfId="3" applyNumberFormat="1" applyFont="1" applyFill="1"/>
    <xf numFmtId="170" fontId="11" fillId="0" borderId="0" xfId="3" applyNumberFormat="1" applyFont="1" applyFill="1"/>
    <xf numFmtId="168" fontId="27" fillId="0" borderId="0" xfId="3" applyNumberFormat="1" applyFont="1" applyFill="1"/>
    <xf numFmtId="168" fontId="4" fillId="0" borderId="0" xfId="0" applyNumberFormat="1" applyFont="1"/>
    <xf numFmtId="0" fontId="5" fillId="0" borderId="0" xfId="3" applyFont="1" applyFill="1"/>
    <xf numFmtId="0" fontId="8" fillId="0" borderId="0" xfId="0" applyFont="1"/>
    <xf numFmtId="183" fontId="46" fillId="8" borderId="0" xfId="3" applyNumberFormat="1" applyFont="1" applyFill="1"/>
    <xf numFmtId="194" fontId="4" fillId="0" borderId="4" xfId="3" applyNumberFormat="1" applyFont="1" applyFill="1" applyBorder="1"/>
    <xf numFmtId="170" fontId="4" fillId="0" borderId="4" xfId="3" applyNumberFormat="1" applyFont="1" applyFill="1" applyBorder="1"/>
    <xf numFmtId="194" fontId="4" fillId="0" borderId="0" xfId="3" applyNumberFormat="1" applyFont="1" applyFill="1" applyBorder="1"/>
    <xf numFmtId="193" fontId="4" fillId="0" borderId="0" xfId="3" applyNumberFormat="1" applyFont="1" applyFill="1"/>
    <xf numFmtId="193" fontId="41" fillId="0" borderId="0" xfId="3" applyNumberFormat="1" applyFont="1" applyFill="1"/>
    <xf numFmtId="193" fontId="27" fillId="0" borderId="0" xfId="3" applyNumberFormat="1" applyFont="1" applyFill="1"/>
    <xf numFmtId="193" fontId="27" fillId="0" borderId="0" xfId="3" applyNumberFormat="1" applyFont="1" applyFill="1" applyBorder="1"/>
    <xf numFmtId="193" fontId="27" fillId="0" borderId="7" xfId="3" applyNumberFormat="1" applyFont="1" applyFill="1" applyBorder="1"/>
    <xf numFmtId="193" fontId="27" fillId="0" borderId="6" xfId="3" applyNumberFormat="1" applyFont="1" applyFill="1" applyBorder="1"/>
    <xf numFmtId="179" fontId="41" fillId="7" borderId="0" xfId="3" applyNumberFormat="1" applyFont="1" applyFill="1"/>
    <xf numFmtId="193" fontId="41" fillId="7" borderId="0" xfId="3" applyNumberFormat="1" applyFont="1" applyFill="1"/>
    <xf numFmtId="193" fontId="44" fillId="0" borderId="0" xfId="3" applyNumberFormat="1" applyFont="1" applyFill="1"/>
    <xf numFmtId="168" fontId="41" fillId="7" borderId="0" xfId="3" applyNumberFormat="1" applyFont="1" applyFill="1"/>
    <xf numFmtId="0" fontId="1" fillId="0" borderId="0" xfId="36"/>
    <xf numFmtId="193" fontId="27" fillId="0" borderId="5" xfId="3" applyNumberFormat="1" applyFont="1" applyFill="1" applyBorder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0" xfId="3" applyFont="1" applyFill="1" applyAlignment="1">
      <alignment horizontal="center"/>
    </xf>
    <xf numFmtId="183" fontId="41" fillId="0" borderId="0" xfId="3" applyNumberFormat="1" applyFont="1" applyFill="1" applyAlignment="1">
      <alignment horizontal="right"/>
    </xf>
    <xf numFmtId="0" fontId="1" fillId="9" borderId="0" xfId="43" applyFont="1" applyFill="1" applyAlignment="1">
      <alignment vertical="top"/>
    </xf>
    <xf numFmtId="0" fontId="1" fillId="9" borderId="0" xfId="36" applyFill="1" applyAlignment="1">
      <alignment vertical="top"/>
    </xf>
    <xf numFmtId="0" fontId="1" fillId="9" borderId="0" xfId="36" applyFill="1"/>
    <xf numFmtId="0" fontId="12" fillId="9" borderId="0" xfId="43" applyFont="1" applyFill="1" applyAlignment="1">
      <alignment horizontal="left" vertical="top"/>
    </xf>
    <xf numFmtId="0" fontId="1" fillId="9" borderId="0" xfId="36" applyFont="1" applyFill="1" applyAlignment="1">
      <alignment vertical="top"/>
    </xf>
    <xf numFmtId="0" fontId="50" fillId="9" borderId="0" xfId="43" applyFont="1" applyFill="1" applyAlignment="1">
      <alignment vertical="top"/>
    </xf>
    <xf numFmtId="0" fontId="0" fillId="9" borderId="0" xfId="0" applyFill="1" applyAlignment="1">
      <alignment vertical="top"/>
    </xf>
    <xf numFmtId="0" fontId="51" fillId="9" borderId="0" xfId="0" applyFont="1" applyFill="1" applyAlignment="1">
      <alignment vertical="top"/>
    </xf>
    <xf numFmtId="0" fontId="52" fillId="9" borderId="0" xfId="0" applyFont="1" applyFill="1" applyAlignment="1">
      <alignment vertical="top"/>
    </xf>
    <xf numFmtId="0" fontId="52" fillId="9" borderId="0" xfId="0" applyFont="1" applyFill="1" applyAlignment="1">
      <alignment vertical="top"/>
    </xf>
    <xf numFmtId="0" fontId="51" fillId="9" borderId="0" xfId="0" applyFont="1" applyFill="1" applyAlignment="1">
      <alignment vertical="top"/>
    </xf>
    <xf numFmtId="0" fontId="0" fillId="9" borderId="0" xfId="0" applyFill="1" applyAlignment="1">
      <alignment vertical="top"/>
    </xf>
    <xf numFmtId="0" fontId="0" fillId="9" borderId="12" xfId="0" applyFill="1" applyBorder="1" applyAlignment="1">
      <alignment vertical="top"/>
    </xf>
    <xf numFmtId="0" fontId="51" fillId="9" borderId="8" xfId="0" applyFont="1" applyFill="1" applyBorder="1" applyAlignment="1">
      <alignment vertical="top"/>
    </xf>
    <xf numFmtId="0" fontId="51" fillId="9" borderId="9" xfId="0" applyFont="1" applyFill="1" applyBorder="1" applyAlignment="1">
      <alignment vertical="top"/>
    </xf>
    <xf numFmtId="0" fontId="51" fillId="9" borderId="10" xfId="0" applyFont="1" applyFill="1" applyBorder="1" applyAlignment="1">
      <alignment vertical="top"/>
    </xf>
    <xf numFmtId="0" fontId="51" fillId="9" borderId="11" xfId="0" applyFont="1" applyFill="1" applyBorder="1" applyAlignment="1">
      <alignment vertical="top"/>
    </xf>
    <xf numFmtId="9" fontId="51" fillId="9" borderId="8" xfId="0" applyNumberFormat="1" applyFont="1" applyFill="1" applyBorder="1" applyAlignment="1">
      <alignment vertical="top"/>
    </xf>
    <xf numFmtId="3" fontId="51" fillId="9" borderId="8" xfId="0" applyNumberFormat="1" applyFont="1" applyFill="1" applyBorder="1" applyAlignment="1">
      <alignment vertical="top"/>
    </xf>
    <xf numFmtId="0" fontId="0" fillId="9" borderId="13" xfId="0" applyFill="1" applyBorder="1" applyAlignment="1">
      <alignment vertical="top"/>
    </xf>
    <xf numFmtId="2" fontId="1" fillId="0" borderId="0" xfId="36" applyNumberFormat="1" applyAlignment="1">
      <alignment horizontal="left"/>
    </xf>
    <xf numFmtId="0" fontId="1" fillId="0" borderId="0" xfId="36" applyNumberFormat="1" applyAlignment="1">
      <alignment horizontal="left"/>
    </xf>
    <xf numFmtId="1" fontId="1" fillId="0" borderId="0" xfId="36" applyNumberFormat="1" applyAlignment="1">
      <alignment horizontal="left"/>
    </xf>
    <xf numFmtId="0" fontId="1" fillId="0" borderId="0" xfId="36" applyFont="1"/>
    <xf numFmtId="206" fontId="1" fillId="0" borderId="0" xfId="36" applyNumberFormat="1" applyAlignment="1">
      <alignment horizontal="left"/>
    </xf>
    <xf numFmtId="49" fontId="1" fillId="0" borderId="0" xfId="36" applyNumberFormat="1"/>
  </cellXfs>
  <cellStyles count="44">
    <cellStyle name="          _x000d__x000a_network.drv=netware." xfId="1"/>
    <cellStyle name=" 1" xfId="2"/>
    <cellStyle name=" 1 2" xfId="40"/>
    <cellStyle name="_x000a_386grabber=M" xfId="3"/>
    <cellStyle name="_x000a_386grabber=M 2" xfId="4"/>
    <cellStyle name="_SUMMARY " xfId="5"/>
    <cellStyle name="0_Capex &amp; Depreciation " xfId="6"/>
    <cellStyle name="0_Valuing BP " xfId="7"/>
    <cellStyle name="c_HardInc " xfId="8"/>
    <cellStyle name="Comma" xfId="9" builtinId="3"/>
    <cellStyle name="Comma 2" xfId="10"/>
    <cellStyle name="Comma 2 2" xfId="11"/>
    <cellStyle name="Comma 2 3" xfId="12"/>
    <cellStyle name="Comma 4" xfId="13"/>
    <cellStyle name="Comma 8" xfId="14"/>
    <cellStyle name="Currency 2" xfId="15"/>
    <cellStyle name="Currency 3" xfId="16"/>
    <cellStyle name="Currency 4" xfId="38"/>
    <cellStyle name="Currency 6" xfId="41"/>
    <cellStyle name="Normal" xfId="0" builtinId="0"/>
    <cellStyle name="Normal 2" xfId="17"/>
    <cellStyle name="Normal 2 2" xfId="18"/>
    <cellStyle name="Normal 3" xfId="19"/>
    <cellStyle name="Normal 3 2" xfId="20"/>
    <cellStyle name="Normal 4" xfId="21"/>
    <cellStyle name="Normal 5" xfId="22"/>
    <cellStyle name="Normal 6" xfId="23"/>
    <cellStyle name="Normal 7" xfId="24"/>
    <cellStyle name="Normal 8" xfId="36"/>
    <cellStyle name="Normal_DisclaimerSheet Samples" xfId="43"/>
    <cellStyle name="p " xfId="25"/>
    <cellStyle name="Percent" xfId="26" builtinId="5"/>
    <cellStyle name="Percent 2" xfId="27"/>
    <cellStyle name="Percent 3" xfId="39"/>
    <cellStyle name="Percent 4" xfId="28"/>
    <cellStyle name="RRSInstruction" xfId="29"/>
    <cellStyle name="RRSInstruction 2" xfId="37"/>
    <cellStyle name="s_HardInc " xfId="30"/>
    <cellStyle name="s_Valuation " xfId="31"/>
    <cellStyle name="ssp " xfId="32"/>
    <cellStyle name="Subtotal" xfId="33"/>
    <cellStyle name="Subtotal 2" xfId="42"/>
    <cellStyle name="콤마 [0]_#3이설 견적_준공내역총괄표 " xfId="34"/>
    <cellStyle name="콤마_#3이설 견적_준공내역총괄표 " xfId="35"/>
  </cellStyles>
  <dxfs count="4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sharedStrings.xml" Type="http://schemas.openxmlformats.org/officeDocument/2006/relationships/sharedStrings"/>
<Relationship Id="rId11" Target="calcChain.xml" Type="http://schemas.openxmlformats.org/officeDocument/2006/relationships/calcChain"/>
<Relationship Id="rId12" Target="../customXml/item1.xml" Type="http://schemas.openxmlformats.org/officeDocument/2006/relationships/customXml"/>
<Relationship Id="rId13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externalLinks/externalLink1.xml" Type="http://schemas.openxmlformats.org/officeDocument/2006/relationships/externalLink"/>
<Relationship Id="rId8" Target="theme/theme1.xml" Type="http://schemas.openxmlformats.org/officeDocument/2006/relationships/theme"/>
<Relationship Id="rId9" Target="styles.xml" Type="http://schemas.openxmlformats.org/officeDocument/2006/relationships/styles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7</xdr:col>
      <xdr:colOff>390525</xdr:colOff>
      <xdr:row>184</xdr:row>
      <xdr:rowOff>104775</xdr:rowOff>
    </xdr:to>
    <xdr:pic>
      <xdr:nvPicPr>
        <xdr:cNvPr id="24142849" name="Picture 1" descr="C:\Users\ozierale.MSAD\AppData\Local\Temp\MercuryPriceRatingHistoryChart\RES.N_2018_04_10_18_59_5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6983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ENERGY/SLORER/Swomley/New%20Model%20Project/Old%20Models/RES_MW%20Old%20Models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RNINGS"/>
      <sheetName val="mwareTaxoPres"/>
      <sheetName val="mwareValPrintout"/>
      <sheetName val="Remarks"/>
      <sheetName val="MW-Cache"/>
      <sheetName val="Q's"/>
      <sheetName val="mStartup"/>
      <sheetName val="BUSINESS"/>
      <sheetName val="__FDSCACHE__"/>
      <sheetName val="RES Snapshot"/>
      <sheetName val="MWA RR"/>
      <sheetName val="mwareDates"/>
      <sheetName val="mwareSettings"/>
      <sheetName val="NY UPLOAD shadow"/>
      <sheetName val="MainCode"/>
    </sheetNames>
    <sheetDataSet>
      <sheetData sheetId="0">
        <row r="5">
          <cell r="AD5" t="str">
            <v>1Q01</v>
          </cell>
          <cell r="AE5" t="str">
            <v>2Q01</v>
          </cell>
          <cell r="AF5" t="str">
            <v>3Q01</v>
          </cell>
          <cell r="AG5" t="str">
            <v>4Q01</v>
          </cell>
          <cell r="AH5" t="str">
            <v>1Q02</v>
          </cell>
          <cell r="AI5" t="str">
            <v>2Q02</v>
          </cell>
          <cell r="AJ5" t="str">
            <v>3Q02</v>
          </cell>
          <cell r="AK5" t="str">
            <v>4Q02</v>
          </cell>
          <cell r="AL5" t="str">
            <v>1Q03</v>
          </cell>
          <cell r="AM5" t="str">
            <v>2Q03</v>
          </cell>
          <cell r="AN5" t="str">
            <v>3Q03</v>
          </cell>
          <cell r="AO5" t="str">
            <v>4Q03</v>
          </cell>
          <cell r="AP5" t="str">
            <v>1Q04</v>
          </cell>
          <cell r="AQ5" t="str">
            <v>2Q04</v>
          </cell>
          <cell r="AR5" t="str">
            <v>3Q04</v>
          </cell>
          <cell r="AS5" t="str">
            <v>4Q04</v>
          </cell>
          <cell r="AT5" t="str">
            <v>1Q05</v>
          </cell>
          <cell r="AU5" t="str">
            <v>2Q05</v>
          </cell>
          <cell r="AV5" t="str">
            <v>3Q05</v>
          </cell>
          <cell r="AW5" t="str">
            <v>4Q05</v>
          </cell>
          <cell r="AX5" t="str">
            <v>1Q06</v>
          </cell>
          <cell r="AY5" t="str">
            <v>2Q06</v>
          </cell>
          <cell r="AZ5" t="str">
            <v>3Q06</v>
          </cell>
          <cell r="BA5" t="str">
            <v>4Q06</v>
          </cell>
          <cell r="BB5" t="str">
            <v>1Q07</v>
          </cell>
        </row>
        <row r="10">
          <cell r="AD10">
            <v>62.732999999999997</v>
          </cell>
          <cell r="AE10">
            <v>70.831000000000003</v>
          </cell>
          <cell r="AF10">
            <v>75.674000000000007</v>
          </cell>
          <cell r="AG10">
            <v>55.703999999999986</v>
          </cell>
          <cell r="AH10">
            <v>50.765999999999998</v>
          </cell>
          <cell r="AI10">
            <v>49.820999999999998</v>
          </cell>
          <cell r="AJ10">
            <v>53.37</v>
          </cell>
          <cell r="AK10">
            <v>55.072999999999993</v>
          </cell>
          <cell r="AL10">
            <v>60.699999999999996</v>
          </cell>
          <cell r="AM10">
            <v>70.86399999999999</v>
          </cell>
          <cell r="AN10">
            <v>69.244000000000014</v>
          </cell>
          <cell r="AO10">
            <v>69.718999999999994</v>
          </cell>
          <cell r="AP10">
            <v>80.00200000000001</v>
          </cell>
          <cell r="AQ10">
            <v>85.426000000000002</v>
          </cell>
          <cell r="AR10">
            <v>88.720999999999989</v>
          </cell>
          <cell r="AS10">
            <v>85.643000000000001</v>
          </cell>
          <cell r="AT10">
            <v>92.33</v>
          </cell>
          <cell r="AU10">
            <v>101.94500000000001</v>
          </cell>
          <cell r="AV10">
            <v>115.801</v>
          </cell>
          <cell r="AW10">
            <v>117.56700000000001</v>
          </cell>
          <cell r="AX10">
            <v>136.024</v>
          </cell>
          <cell r="AY10">
            <v>146.065</v>
          </cell>
          <cell r="AZ10">
            <v>154.209</v>
          </cell>
          <cell r="BA10">
            <v>160.33199999999999</v>
          </cell>
          <cell r="BB10">
            <v>171.04499999999999</v>
          </cell>
        </row>
        <row r="36">
          <cell r="AD36">
            <v>7.1468139721773627E-2</v>
          </cell>
          <cell r="AE36">
            <v>0.10097509704140781</v>
          </cell>
          <cell r="AF36">
            <v>0.10278719572296281</v>
          </cell>
          <cell r="AG36">
            <v>-1.0869408411988373E-2</v>
          </cell>
          <cell r="AH36">
            <v>-1.2233858540113839E-2</v>
          </cell>
          <cell r="AI36">
            <v>-2.0472905242054366E-2</v>
          </cell>
          <cell r="AJ36">
            <v>-1.0904425073362398E-2</v>
          </cell>
          <cell r="AK36">
            <v>-1.1533526519902542E-2</v>
          </cell>
          <cell r="AL36">
            <v>3.1535181760257674E-3</v>
          </cell>
          <cell r="AM36">
            <v>4.8319783510938068E-2</v>
          </cell>
          <cell r="AN36">
            <v>2.6441650987137012E-2</v>
          </cell>
          <cell r="AO36">
            <v>3.4041501594730052E-2</v>
          </cell>
          <cell r="AP36">
            <v>5.9859818026565925E-2</v>
          </cell>
          <cell r="AQ36">
            <v>7.686097870743154E-2</v>
          </cell>
          <cell r="AR36">
            <v>0.10490288003853031</v>
          </cell>
          <cell r="AS36">
            <v>9.2358101841292978E-2</v>
          </cell>
          <cell r="AT36">
            <v>0.10019833759784405</v>
          </cell>
          <cell r="AU36">
            <v>0.12162431260818285</v>
          </cell>
          <cell r="AV36">
            <v>0.16470282101911807</v>
          </cell>
          <cell r="AW36">
            <v>0.1831695231906425</v>
          </cell>
          <cell r="AX36">
            <v>0.25215955927775036</v>
          </cell>
          <cell r="AY36">
            <v>0.27996431250887116</v>
          </cell>
          <cell r="AZ36">
            <v>0.29267548321464909</v>
          </cell>
          <cell r="BA36">
            <v>0.30032872306862468</v>
          </cell>
        </row>
        <row r="57">
          <cell r="AD57">
            <v>0.17354502414996892</v>
          </cell>
          <cell r="AE57">
            <v>0.22117434456664456</v>
          </cell>
          <cell r="AF57">
            <v>0.21408938340777545</v>
          </cell>
          <cell r="AG57">
            <v>-2.8112882378285468E-2</v>
          </cell>
          <cell r="AH57">
            <v>-6.3625261001457822E-2</v>
          </cell>
          <cell r="AI57">
            <v>-7.2017823809237158E-2</v>
          </cell>
          <cell r="AJ57">
            <v>-3.8560989319842601E-2</v>
          </cell>
          <cell r="AK57">
            <v>-2.8144462803914843E-2</v>
          </cell>
          <cell r="AL57">
            <v>1.359143327841829E-2</v>
          </cell>
          <cell r="AM57">
            <v>9.6875705576879551E-2</v>
          </cell>
          <cell r="AN57">
            <v>5.6856911790191367E-2</v>
          </cell>
          <cell r="AO57">
            <v>6.8446191138713891E-2</v>
          </cell>
          <cell r="AP57">
            <v>0.11540961475963116</v>
          </cell>
          <cell r="AQ57">
            <v>0.13423313745229787</v>
          </cell>
          <cell r="AR57">
            <v>0.14619988503285575</v>
          </cell>
          <cell r="AS57">
            <v>0.14206648529360247</v>
          </cell>
          <cell r="AT57">
            <v>0.1609336077114697</v>
          </cell>
          <cell r="AU57">
            <v>0.18822894698121539</v>
          </cell>
          <cell r="AV57">
            <v>0.22104299617447165</v>
          </cell>
          <cell r="AW57">
            <v>0.23262480117720113</v>
          </cell>
          <cell r="AX57">
            <v>0.29051490913368228</v>
          </cell>
          <cell r="AY57">
            <v>0.30363194468216209</v>
          </cell>
          <cell r="AZ57">
            <v>0.30234940891906442</v>
          </cell>
          <cell r="BA57">
            <v>0.2950627448045306</v>
          </cell>
          <cell r="BB57">
            <v>0.25715454997222953</v>
          </cell>
        </row>
        <row r="58">
          <cell r="AD58">
            <v>0.1095117402324136</v>
          </cell>
          <cell r="AE58">
            <v>0.13698804195902928</v>
          </cell>
          <cell r="AF58">
            <v>0.13160398551682218</v>
          </cell>
          <cell r="AG58">
            <v>-1.8598305328163391E-2</v>
          </cell>
          <cell r="AH58">
            <v>-2.2987826498050031E-2</v>
          </cell>
          <cell r="AI58">
            <v>-3.9200337207201862E-2</v>
          </cell>
          <cell r="AJ58">
            <v>-1.9486602960464665E-2</v>
          </cell>
          <cell r="AK58">
            <v>-1.997348973181055E-2</v>
          </cell>
          <cell r="AL58">
            <v>5.0247116968696898E-3</v>
          </cell>
          <cell r="AM58">
            <v>6.6394784375705465E-2</v>
          </cell>
          <cell r="AN58">
            <v>3.7216220900005946E-2</v>
          </cell>
          <cell r="AO58">
            <v>4.7418924539938803E-2</v>
          </cell>
          <cell r="AP58">
            <v>7.2510687232819324E-2</v>
          </cell>
          <cell r="AQ58">
            <v>8.7490927820569803E-2</v>
          </cell>
          <cell r="AR58">
            <v>0.11538418187351351</v>
          </cell>
          <cell r="AS58">
            <v>0.10638872996041705</v>
          </cell>
          <cell r="AT58">
            <v>0.10751651684176319</v>
          </cell>
          <cell r="AU58">
            <v>0.11682770121143757</v>
          </cell>
          <cell r="AV58">
            <v>0.1393796253918359</v>
          </cell>
          <cell r="AW58">
            <v>0.15344441892707991</v>
          </cell>
          <cell r="AX58">
            <v>0.18305593130624012</v>
          </cell>
          <cell r="AY58">
            <v>0.18905281895046733</v>
          </cell>
          <cell r="AZ58">
            <v>0.18656498647938846</v>
          </cell>
          <cell r="BA58">
            <v>0.18405558466182667</v>
          </cell>
        </row>
        <row r="233">
          <cell r="AD233">
            <v>46.921999999999997</v>
          </cell>
          <cell r="AE233">
            <v>53.58</v>
          </cell>
          <cell r="AF233">
            <v>58.987000000000002</v>
          </cell>
          <cell r="AG233">
            <v>43.787999999999982</v>
          </cell>
          <cell r="AH233">
            <v>39.936999999999998</v>
          </cell>
          <cell r="AI233">
            <v>38.795999999999999</v>
          </cell>
          <cell r="AJ233">
            <v>41.542000000000002</v>
          </cell>
          <cell r="AK233">
            <v>43.32</v>
          </cell>
          <cell r="AL233">
            <v>47.817999999999998</v>
          </cell>
          <cell r="AM233">
            <v>58.073</v>
          </cell>
          <cell r="AN233">
            <v>53.603000000000002</v>
          </cell>
          <cell r="AO233">
            <v>56.826999999999998</v>
          </cell>
          <cell r="AP233">
            <v>65.486000000000004</v>
          </cell>
          <cell r="AQ233">
            <v>70.632999999999996</v>
          </cell>
          <cell r="AR233">
            <v>73.403999999999996</v>
          </cell>
          <cell r="AS233">
            <v>69.546999999999997</v>
          </cell>
          <cell r="AT233">
            <v>77.957999999999998</v>
          </cell>
          <cell r="AU233">
            <v>85.959000000000003</v>
          </cell>
          <cell r="AV233">
            <v>99.046000000000006</v>
          </cell>
          <cell r="AW233">
            <v>100.176</v>
          </cell>
          <cell r="AX233">
            <v>114.761</v>
          </cell>
          <cell r="AY233">
            <v>119.572</v>
          </cell>
          <cell r="AZ233">
            <v>127.929</v>
          </cell>
          <cell r="BA233">
            <v>132.828</v>
          </cell>
          <cell r="BB233">
            <v>142.30699999999999</v>
          </cell>
        </row>
        <row r="234">
          <cell r="AD234">
            <v>12.538</v>
          </cell>
          <cell r="AE234">
            <v>14.2</v>
          </cell>
          <cell r="AF234">
            <v>13.785</v>
          </cell>
          <cell r="AG234">
            <v>8.9140000000000015</v>
          </cell>
          <cell r="AH234">
            <v>8.5</v>
          </cell>
          <cell r="AI234">
            <v>8.359</v>
          </cell>
          <cell r="AJ234">
            <v>9.3390000000000004</v>
          </cell>
          <cell r="AK234">
            <v>9.5839999999999996</v>
          </cell>
          <cell r="AL234">
            <v>9.6980000000000004</v>
          </cell>
          <cell r="AM234">
            <v>10.67</v>
          </cell>
          <cell r="AN234">
            <v>13.125</v>
          </cell>
          <cell r="AO234">
            <v>10.416</v>
          </cell>
          <cell r="AP234">
            <v>11.7</v>
          </cell>
          <cell r="AQ234">
            <v>13.846</v>
          </cell>
          <cell r="AR234">
            <v>15.302</v>
          </cell>
          <cell r="AS234">
            <v>16.068999999999999</v>
          </cell>
          <cell r="AT234">
            <v>14.355</v>
          </cell>
          <cell r="AU234">
            <v>15.986000000000001</v>
          </cell>
          <cell r="AV234">
            <v>16.754999999999999</v>
          </cell>
          <cell r="AW234">
            <v>17.390999999999998</v>
          </cell>
          <cell r="AX234">
            <v>21.263000000000002</v>
          </cell>
          <cell r="AY234">
            <v>26.492999999999999</v>
          </cell>
          <cell r="AZ234">
            <v>26.28</v>
          </cell>
          <cell r="BA234">
            <v>27.504000000000001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75"/>
  <sheetViews>
    <sheetView showGridLines="0" tabSelected="1" workbookViewId="0">
      <selection activeCell="Z1" sqref="Z1"/>
    </sheetView>
  </sheetViews>
  <sheetFormatPr defaultRowHeight="12.75"/>
  <cols>
    <col min="1" max="1" width="25.7109375" style="244" customWidth="1"/>
    <col min="2" max="5" width="9.140625" style="244"/>
    <col min="6" max="6" width="18.7109375" style="244" customWidth="1"/>
    <col min="7" max="256" width="9.140625" style="244"/>
    <col min="257" max="257" width="100.7109375" style="244" customWidth="1"/>
    <col min="258" max="512" width="9.140625" style="244"/>
    <col min="513" max="513" width="100.7109375" style="244" customWidth="1"/>
    <col min="514" max="768" width="9.140625" style="244"/>
    <col min="769" max="769" width="100.7109375" style="244" customWidth="1"/>
    <col min="770" max="1024" width="9.140625" style="244"/>
    <col min="1025" max="1025" width="100.7109375" style="244" customWidth="1"/>
    <col min="1026" max="1280" width="9.140625" style="244"/>
    <col min="1281" max="1281" width="100.7109375" style="244" customWidth="1"/>
    <col min="1282" max="1536" width="9.140625" style="244"/>
    <col min="1537" max="1537" width="100.7109375" style="244" customWidth="1"/>
    <col min="1538" max="1792" width="9.140625" style="244"/>
    <col min="1793" max="1793" width="100.7109375" style="244" customWidth="1"/>
    <col min="1794" max="2048" width="9.140625" style="244"/>
    <col min="2049" max="2049" width="100.7109375" style="244" customWidth="1"/>
    <col min="2050" max="2304" width="9.140625" style="244"/>
    <col min="2305" max="2305" width="100.7109375" style="244" customWidth="1"/>
    <col min="2306" max="2560" width="9.140625" style="244"/>
    <col min="2561" max="2561" width="100.7109375" style="244" customWidth="1"/>
    <col min="2562" max="2816" width="9.140625" style="244"/>
    <col min="2817" max="2817" width="100.7109375" style="244" customWidth="1"/>
    <col min="2818" max="3072" width="9.140625" style="244"/>
    <col min="3073" max="3073" width="100.7109375" style="244" customWidth="1"/>
    <col min="3074" max="3328" width="9.140625" style="244"/>
    <col min="3329" max="3329" width="100.7109375" style="244" customWidth="1"/>
    <col min="3330" max="3584" width="9.140625" style="244"/>
    <col min="3585" max="3585" width="100.7109375" style="244" customWidth="1"/>
    <col min="3586" max="3840" width="9.140625" style="244"/>
    <col min="3841" max="3841" width="100.7109375" style="244" customWidth="1"/>
    <col min="3842" max="4096" width="9.140625" style="244"/>
    <col min="4097" max="4097" width="100.7109375" style="244" customWidth="1"/>
    <col min="4098" max="4352" width="9.140625" style="244"/>
    <col min="4353" max="4353" width="100.7109375" style="244" customWidth="1"/>
    <col min="4354" max="4608" width="9.140625" style="244"/>
    <col min="4609" max="4609" width="100.7109375" style="244" customWidth="1"/>
    <col min="4610" max="4864" width="9.140625" style="244"/>
    <col min="4865" max="4865" width="100.7109375" style="244" customWidth="1"/>
    <col min="4866" max="5120" width="9.140625" style="244"/>
    <col min="5121" max="5121" width="100.7109375" style="244" customWidth="1"/>
    <col min="5122" max="5376" width="9.140625" style="244"/>
    <col min="5377" max="5377" width="100.7109375" style="244" customWidth="1"/>
    <col min="5378" max="5632" width="9.140625" style="244"/>
    <col min="5633" max="5633" width="100.7109375" style="244" customWidth="1"/>
    <col min="5634" max="5888" width="9.140625" style="244"/>
    <col min="5889" max="5889" width="100.7109375" style="244" customWidth="1"/>
    <col min="5890" max="6144" width="9.140625" style="244"/>
    <col min="6145" max="6145" width="100.7109375" style="244" customWidth="1"/>
    <col min="6146" max="6400" width="9.140625" style="244"/>
    <col min="6401" max="6401" width="100.7109375" style="244" customWidth="1"/>
    <col min="6402" max="6656" width="9.140625" style="244"/>
    <col min="6657" max="6657" width="100.7109375" style="244" customWidth="1"/>
    <col min="6658" max="6912" width="9.140625" style="244"/>
    <col min="6913" max="6913" width="100.7109375" style="244" customWidth="1"/>
    <col min="6914" max="7168" width="9.140625" style="244"/>
    <col min="7169" max="7169" width="100.7109375" style="244" customWidth="1"/>
    <col min="7170" max="7424" width="9.140625" style="244"/>
    <col min="7425" max="7425" width="100.7109375" style="244" customWidth="1"/>
    <col min="7426" max="7680" width="9.140625" style="244"/>
    <col min="7681" max="7681" width="100.7109375" style="244" customWidth="1"/>
    <col min="7682" max="7936" width="9.140625" style="244"/>
    <col min="7937" max="7937" width="100.7109375" style="244" customWidth="1"/>
    <col min="7938" max="8192" width="9.140625" style="244"/>
    <col min="8193" max="8193" width="100.7109375" style="244" customWidth="1"/>
    <col min="8194" max="8448" width="9.140625" style="244"/>
    <col min="8449" max="8449" width="100.7109375" style="244" customWidth="1"/>
    <col min="8450" max="8704" width="9.140625" style="244"/>
    <col min="8705" max="8705" width="100.7109375" style="244" customWidth="1"/>
    <col min="8706" max="8960" width="9.140625" style="244"/>
    <col min="8961" max="8961" width="100.7109375" style="244" customWidth="1"/>
    <col min="8962" max="9216" width="9.140625" style="244"/>
    <col min="9217" max="9217" width="100.7109375" style="244" customWidth="1"/>
    <col min="9218" max="9472" width="9.140625" style="244"/>
    <col min="9473" max="9473" width="100.7109375" style="244" customWidth="1"/>
    <col min="9474" max="9728" width="9.140625" style="244"/>
    <col min="9729" max="9729" width="100.7109375" style="244" customWidth="1"/>
    <col min="9730" max="9984" width="9.140625" style="244"/>
    <col min="9985" max="9985" width="100.7109375" style="244" customWidth="1"/>
    <col min="9986" max="10240" width="9.140625" style="244"/>
    <col min="10241" max="10241" width="100.7109375" style="244" customWidth="1"/>
    <col min="10242" max="10496" width="9.140625" style="244"/>
    <col min="10497" max="10497" width="100.7109375" style="244" customWidth="1"/>
    <col min="10498" max="10752" width="9.140625" style="244"/>
    <col min="10753" max="10753" width="100.7109375" style="244" customWidth="1"/>
    <col min="10754" max="11008" width="9.140625" style="244"/>
    <col min="11009" max="11009" width="100.7109375" style="244" customWidth="1"/>
    <col min="11010" max="11264" width="9.140625" style="244"/>
    <col min="11265" max="11265" width="100.7109375" style="244" customWidth="1"/>
    <col min="11266" max="11520" width="9.140625" style="244"/>
    <col min="11521" max="11521" width="100.7109375" style="244" customWidth="1"/>
    <col min="11522" max="11776" width="9.140625" style="244"/>
    <col min="11777" max="11777" width="100.7109375" style="244" customWidth="1"/>
    <col min="11778" max="12032" width="9.140625" style="244"/>
    <col min="12033" max="12033" width="100.7109375" style="244" customWidth="1"/>
    <col min="12034" max="12288" width="9.140625" style="244"/>
    <col min="12289" max="12289" width="100.7109375" style="244" customWidth="1"/>
    <col min="12290" max="12544" width="9.140625" style="244"/>
    <col min="12545" max="12545" width="100.7109375" style="244" customWidth="1"/>
    <col min="12546" max="12800" width="9.140625" style="244"/>
    <col min="12801" max="12801" width="100.7109375" style="244" customWidth="1"/>
    <col min="12802" max="13056" width="9.140625" style="244"/>
    <col min="13057" max="13057" width="100.7109375" style="244" customWidth="1"/>
    <col min="13058" max="13312" width="9.140625" style="244"/>
    <col min="13313" max="13313" width="100.7109375" style="244" customWidth="1"/>
    <col min="13314" max="13568" width="9.140625" style="244"/>
    <col min="13569" max="13569" width="100.7109375" style="244" customWidth="1"/>
    <col min="13570" max="13824" width="9.140625" style="244"/>
    <col min="13825" max="13825" width="100.7109375" style="244" customWidth="1"/>
    <col min="13826" max="14080" width="9.140625" style="244"/>
    <col min="14081" max="14081" width="100.7109375" style="244" customWidth="1"/>
    <col min="14082" max="14336" width="9.140625" style="244"/>
    <col min="14337" max="14337" width="100.7109375" style="244" customWidth="1"/>
    <col min="14338" max="14592" width="9.140625" style="244"/>
    <col min="14593" max="14593" width="100.7109375" style="244" customWidth="1"/>
    <col min="14594" max="14848" width="9.140625" style="244"/>
    <col min="14849" max="14849" width="100.7109375" style="244" customWidth="1"/>
    <col min="14850" max="15104" width="9.140625" style="244"/>
    <col min="15105" max="15105" width="100.7109375" style="244" customWidth="1"/>
    <col min="15106" max="15360" width="9.140625" style="244"/>
    <col min="15361" max="15361" width="100.7109375" style="244" customWidth="1"/>
    <col min="15362" max="15616" width="9.140625" style="244"/>
    <col min="15617" max="15617" width="100.7109375" style="244" customWidth="1"/>
    <col min="15618" max="15872" width="9.140625" style="244"/>
    <col min="15873" max="15873" width="100.7109375" style="244" customWidth="1"/>
    <col min="15874" max="16128" width="9.140625" style="244"/>
    <col min="16129" max="16129" width="100.7109375" style="244" customWidth="1"/>
    <col min="16130" max="16384" width="9.140625" style="244"/>
  </cols>
  <sheetData>
    <row r="1" spans="1:8" ht="30" customHeight="1">
      <c r="A1" s="242"/>
      <c r="B1" s="243"/>
      <c r="C1" s="243"/>
      <c r="D1" s="243"/>
      <c r="E1" s="243"/>
      <c r="F1" s="243"/>
      <c r="G1" s="243"/>
      <c r="H1" s="243"/>
    </row>
    <row r="2" spans="1:8" ht="14.25">
      <c r="A2" s="245" t="s">
        <v>344</v>
      </c>
      <c r="B2" s="243"/>
      <c r="C2" s="243"/>
      <c r="D2" s="243"/>
      <c r="E2" s="243"/>
      <c r="F2" s="243"/>
      <c r="G2" s="243"/>
      <c r="H2" s="243"/>
    </row>
    <row r="3" spans="1:8" ht="14.25">
      <c r="A3" s="245" t="s">
        <v>345</v>
      </c>
      <c r="B3" s="243"/>
      <c r="C3" s="243"/>
      <c r="D3" s="243"/>
      <c r="E3" s="243"/>
      <c r="F3" s="243"/>
      <c r="G3" s="243"/>
      <c r="H3" s="243"/>
    </row>
    <row r="4" spans="1:8" ht="14.25">
      <c r="A4" s="245" t="s">
        <v>346</v>
      </c>
      <c r="B4" s="243"/>
      <c r="C4" s="243"/>
      <c r="D4" s="243"/>
      <c r="E4" s="243"/>
      <c r="F4" s="243"/>
      <c r="G4" s="243"/>
      <c r="H4" s="243"/>
    </row>
    <row r="5" spans="1:8" ht="14.25">
      <c r="A5" s="245" t="s">
        <v>347</v>
      </c>
      <c r="B5" s="243"/>
      <c r="C5" s="243"/>
      <c r="D5" s="243"/>
      <c r="E5" s="243"/>
      <c r="F5" s="243"/>
      <c r="G5" s="243"/>
      <c r="H5" s="243"/>
    </row>
    <row r="6" spans="1:8" ht="14.25">
      <c r="A6" s="245"/>
      <c r="B6" s="243"/>
      <c r="C6" s="243"/>
      <c r="D6" s="243"/>
      <c r="E6" s="243"/>
      <c r="F6" s="243"/>
      <c r="G6" s="243"/>
      <c r="H6" s="243"/>
    </row>
    <row r="7" spans="1:8">
      <c r="A7" s="242" t="s">
        <v>348</v>
      </c>
      <c r="B7" s="243"/>
      <c r="C7" s="243"/>
      <c r="D7" s="243"/>
      <c r="E7" s="243"/>
      <c r="F7" s="243"/>
      <c r="G7" s="243"/>
      <c r="H7" s="243"/>
    </row>
    <row r="8" spans="1:8">
      <c r="A8" s="242" t="s">
        <v>349</v>
      </c>
      <c r="B8" s="243"/>
      <c r="C8" s="243"/>
      <c r="D8" s="243"/>
      <c r="E8" s="243"/>
      <c r="F8" s="243"/>
      <c r="G8" s="243"/>
      <c r="H8" s="243"/>
    </row>
    <row r="9" spans="1:8">
      <c r="A9" s="242"/>
      <c r="B9" s="243"/>
      <c r="C9" s="243"/>
      <c r="D9" s="243"/>
      <c r="E9" s="243"/>
      <c r="F9" s="243"/>
      <c r="G9" s="243"/>
      <c r="H9" s="243"/>
    </row>
    <row r="10" spans="1:8">
      <c r="A10" s="246" t="s">
        <v>350</v>
      </c>
      <c r="B10" s="243"/>
      <c r="C10" s="243"/>
      <c r="D10" s="243"/>
      <c r="E10" s="243"/>
      <c r="F10" s="243"/>
      <c r="G10" s="243"/>
      <c r="H10" s="243"/>
    </row>
    <row r="11" spans="1:8">
      <c r="A11" s="246" t="s">
        <v>351</v>
      </c>
      <c r="B11" s="243"/>
      <c r="C11" s="243"/>
      <c r="D11" s="243"/>
      <c r="E11" s="243"/>
      <c r="F11" s="243"/>
      <c r="G11" s="243"/>
      <c r="H11" s="243"/>
    </row>
    <row r="12" spans="1:8">
      <c r="A12" s="246" t="s">
        <v>352</v>
      </c>
      <c r="B12" s="243"/>
      <c r="C12" s="243"/>
      <c r="D12" s="243"/>
      <c r="E12" s="243"/>
      <c r="F12" s="243"/>
      <c r="G12" s="243"/>
      <c r="H12" s="243"/>
    </row>
    <row r="13" spans="1:8">
      <c r="A13" s="246" t="s">
        <v>353</v>
      </c>
      <c r="B13" s="243"/>
      <c r="C13" s="243"/>
      <c r="D13" s="243"/>
      <c r="E13" s="243"/>
      <c r="F13" s="243"/>
      <c r="G13" s="243"/>
      <c r="H13" s="243"/>
    </row>
    <row r="14" spans="1:8">
      <c r="A14" s="246" t="s">
        <v>354</v>
      </c>
      <c r="B14" s="243"/>
      <c r="C14" s="243"/>
      <c r="D14" s="243"/>
      <c r="E14" s="243"/>
      <c r="F14" s="243"/>
      <c r="G14" s="243"/>
      <c r="H14" s="243"/>
    </row>
    <row r="15" spans="1:8">
      <c r="A15" s="246" t="s">
        <v>355</v>
      </c>
      <c r="B15" s="243"/>
      <c r="C15" s="243"/>
      <c r="D15" s="243"/>
      <c r="E15" s="243"/>
      <c r="F15" s="243"/>
      <c r="G15" s="243"/>
      <c r="H15" s="243"/>
    </row>
    <row r="16" spans="1:8">
      <c r="A16" s="246"/>
      <c r="B16" s="243"/>
      <c r="C16" s="243"/>
      <c r="D16" s="243"/>
      <c r="E16" s="243"/>
      <c r="F16" s="243"/>
      <c r="G16" s="243"/>
      <c r="H16" s="243"/>
    </row>
    <row r="17" spans="1:8">
      <c r="A17" s="246" t="s">
        <v>341</v>
      </c>
      <c r="B17" s="243"/>
      <c r="C17" s="243"/>
      <c r="D17" s="243"/>
      <c r="E17" s="243"/>
      <c r="F17" s="243"/>
      <c r="G17" s="243"/>
      <c r="H17" s="243"/>
    </row>
    <row r="18" spans="1:8">
      <c r="A18" s="246"/>
      <c r="B18" s="243"/>
      <c r="C18" s="243"/>
      <c r="D18" s="243"/>
      <c r="E18" s="243"/>
      <c r="F18" s="243"/>
      <c r="G18" s="243"/>
      <c r="H18" s="243"/>
    </row>
    <row r="19" spans="1:8">
      <c r="A19" s="246" t="s">
        <v>342</v>
      </c>
      <c r="B19" s="243"/>
      <c r="C19" s="243"/>
      <c r="D19" s="243"/>
      <c r="E19" s="243"/>
      <c r="F19" s="243"/>
      <c r="G19" s="243"/>
      <c r="H19" s="243"/>
    </row>
    <row r="20" spans="1:8">
      <c r="A20" s="242"/>
      <c r="B20" s="243"/>
      <c r="C20" s="243"/>
      <c r="D20" s="243"/>
      <c r="E20" s="243"/>
      <c r="F20" s="243"/>
      <c r="G20" s="243"/>
      <c r="H20" s="243"/>
    </row>
    <row r="21" spans="1:8">
      <c r="A21" s="247" t="s">
        <v>343</v>
      </c>
      <c r="B21" s="243"/>
      <c r="C21" s="243"/>
      <c r="D21" s="243"/>
      <c r="E21" s="243"/>
      <c r="F21" s="243"/>
      <c r="G21" s="243"/>
      <c r="H21" s="243"/>
    </row>
    <row r="22" spans="1:8">
      <c r="A22" s="248"/>
      <c r="B22" s="248"/>
      <c r="C22" s="248"/>
      <c r="D22" s="248"/>
      <c r="E22" s="248"/>
      <c r="F22" s="248"/>
      <c r="G22" s="248"/>
      <c r="H22" s="248"/>
    </row>
    <row r="23" spans="1:8">
      <c r="A23" s="249" t="s">
        <v>624</v>
      </c>
      <c r="B23" s="248"/>
      <c r="C23" s="248"/>
      <c r="D23" s="248"/>
      <c r="E23" s="248"/>
      <c r="F23" s="248"/>
      <c r="G23" s="248"/>
      <c r="H23" s="248"/>
    </row>
    <row r="24" spans="1:8">
      <c r="A24" s="249" t="s">
        <v>625</v>
      </c>
      <c r="B24" s="248"/>
      <c r="C24" s="248"/>
      <c r="D24" s="248"/>
      <c r="E24" s="248"/>
      <c r="F24" s="248"/>
      <c r="G24" s="248"/>
      <c r="H24" s="248"/>
    </row>
    <row r="25" spans="1:8">
      <c r="A25" s="249" t="s">
        <v>626</v>
      </c>
      <c r="B25" s="248"/>
      <c r="C25" s="248"/>
      <c r="D25" s="248"/>
      <c r="E25" s="248"/>
      <c r="F25" s="248"/>
      <c r="G25" s="248"/>
      <c r="H25" s="248"/>
    </row>
    <row r="26" spans="1:8">
      <c r="A26" s="249" t="s">
        <v>627</v>
      </c>
      <c r="B26" s="248"/>
      <c r="C26" s="248"/>
      <c r="D26" s="248"/>
      <c r="E26" s="248"/>
      <c r="F26" s="248"/>
      <c r="G26" s="248"/>
      <c r="H26" s="248"/>
    </row>
    <row r="27" spans="1:8">
      <c r="A27" s="248"/>
      <c r="B27" s="248"/>
      <c r="C27" s="248"/>
      <c r="D27" s="248"/>
      <c r="E27" s="248"/>
      <c r="F27" s="248"/>
      <c r="G27" s="248"/>
      <c r="H27" s="248"/>
    </row>
    <row r="28" spans="1:8">
      <c r="A28" s="248"/>
      <c r="B28" s="248"/>
      <c r="C28" s="248"/>
      <c r="D28" s="248"/>
      <c r="E28" s="248"/>
      <c r="F28" s="248"/>
      <c r="G28" s="248"/>
      <c r="H28" s="248"/>
    </row>
    <row r="29" spans="1:8">
      <c r="A29" s="249" t="s">
        <v>619</v>
      </c>
      <c r="B29" s="248"/>
      <c r="C29" s="248"/>
      <c r="D29" s="248"/>
      <c r="E29" s="248"/>
      <c r="F29" s="248"/>
      <c r="G29" s="248"/>
      <c r="H29" s="248"/>
    </row>
    <row r="30" spans="1:8">
      <c r="A30" s="249" t="s">
        <v>620</v>
      </c>
      <c r="B30" s="248"/>
      <c r="C30" s="248"/>
      <c r="D30" s="248"/>
      <c r="E30" s="248"/>
      <c r="F30" s="248"/>
      <c r="G30" s="248"/>
      <c r="H30" s="248"/>
    </row>
    <row r="31" spans="1:8">
      <c r="A31" s="249" t="s">
        <v>621</v>
      </c>
      <c r="B31" s="248"/>
      <c r="C31" s="248"/>
      <c r="D31" s="248"/>
      <c r="E31" s="248"/>
      <c r="F31" s="248"/>
      <c r="G31" s="248"/>
      <c r="H31" s="248"/>
    </row>
    <row r="32" spans="1:8">
      <c r="A32" s="249" t="s">
        <v>622</v>
      </c>
      <c r="B32" s="248"/>
      <c r="C32" s="248"/>
      <c r="D32" s="248"/>
      <c r="E32" s="248"/>
      <c r="F32" s="248"/>
      <c r="G32" s="248"/>
      <c r="H32" s="248"/>
    </row>
    <row r="33" spans="1:8">
      <c r="A33" s="249" t="s">
        <v>623</v>
      </c>
      <c r="B33" s="248"/>
      <c r="C33" s="248"/>
      <c r="D33" s="248"/>
      <c r="E33" s="248"/>
      <c r="F33" s="248"/>
      <c r="G33" s="248"/>
      <c r="H33" s="248"/>
    </row>
    <row r="34" spans="1:8">
      <c r="A34" s="248"/>
      <c r="B34" s="248"/>
      <c r="C34" s="248"/>
      <c r="D34" s="248"/>
      <c r="E34" s="248"/>
      <c r="F34" s="248"/>
      <c r="G34" s="248"/>
      <c r="H34" s="248"/>
    </row>
    <row r="35" spans="1:8">
      <c r="A35" s="249" t="s">
        <v>615</v>
      </c>
      <c r="B35" s="248"/>
      <c r="C35" s="248"/>
      <c r="D35" s="248"/>
      <c r="E35" s="248"/>
      <c r="F35" s="248"/>
      <c r="G35" s="248"/>
      <c r="H35" s="248"/>
    </row>
    <row r="36" spans="1:8">
      <c r="A36" s="249" t="s">
        <v>616</v>
      </c>
      <c r="B36" s="248"/>
      <c r="C36" s="248"/>
      <c r="D36" s="248"/>
      <c r="E36" s="248"/>
      <c r="F36" s="248"/>
      <c r="G36" s="248"/>
      <c r="H36" s="248"/>
    </row>
    <row r="37" spans="1:8">
      <c r="A37" s="249" t="s">
        <v>617</v>
      </c>
      <c r="B37" s="248"/>
      <c r="C37" s="248"/>
      <c r="D37" s="248"/>
      <c r="E37" s="248"/>
      <c r="F37" s="248"/>
      <c r="G37" s="248"/>
      <c r="H37" s="248"/>
    </row>
    <row r="38" spans="1:8">
      <c r="A38" s="249" t="s">
        <v>618</v>
      </c>
      <c r="B38" s="248"/>
      <c r="C38" s="248"/>
      <c r="D38" s="248"/>
      <c r="E38" s="248"/>
      <c r="F38" s="248"/>
      <c r="G38" s="248"/>
      <c r="H38" s="248"/>
    </row>
    <row r="39" spans="1:8">
      <c r="A39" s="248"/>
      <c r="B39" s="248"/>
      <c r="C39" s="248"/>
      <c r="D39" s="248"/>
      <c r="E39" s="248"/>
      <c r="F39" s="248"/>
      <c r="G39" s="248"/>
      <c r="H39" s="248"/>
    </row>
    <row r="40" spans="1:8">
      <c r="A40" s="249" t="s">
        <v>609</v>
      </c>
      <c r="B40" s="248"/>
      <c r="C40" s="248"/>
      <c r="D40" s="248"/>
      <c r="E40" s="248"/>
      <c r="F40" s="248"/>
      <c r="G40" s="248"/>
      <c r="H40" s="248"/>
    </row>
    <row r="41" spans="1:8">
      <c r="A41" s="249" t="s">
        <v>610</v>
      </c>
      <c r="B41" s="248"/>
      <c r="C41" s="248"/>
      <c r="D41" s="248"/>
      <c r="E41" s="248"/>
      <c r="F41" s="248"/>
      <c r="G41" s="248"/>
      <c r="H41" s="248"/>
    </row>
    <row r="42" spans="1:8">
      <c r="A42" s="249" t="s">
        <v>611</v>
      </c>
      <c r="B42" s="248"/>
      <c r="C42" s="248"/>
      <c r="D42" s="248"/>
      <c r="E42" s="248"/>
      <c r="F42" s="248"/>
      <c r="G42" s="248"/>
      <c r="H42" s="248"/>
    </row>
    <row r="43" spans="1:8">
      <c r="A43" s="249" t="s">
        <v>612</v>
      </c>
      <c r="B43" s="248"/>
      <c r="C43" s="248"/>
      <c r="D43" s="248"/>
      <c r="E43" s="248"/>
      <c r="F43" s="248"/>
      <c r="G43" s="248"/>
      <c r="H43" s="248"/>
    </row>
    <row r="44" spans="1:8">
      <c r="A44" s="249" t="s">
        <v>613</v>
      </c>
      <c r="B44" s="248"/>
      <c r="C44" s="248"/>
      <c r="D44" s="248"/>
      <c r="E44" s="248"/>
      <c r="F44" s="248"/>
      <c r="G44" s="248"/>
      <c r="H44" s="248"/>
    </row>
    <row r="45" spans="1:8">
      <c r="A45" s="249" t="s">
        <v>614</v>
      </c>
      <c r="B45" s="248"/>
      <c r="C45" s="248"/>
      <c r="D45" s="248"/>
      <c r="E45" s="248"/>
      <c r="F45" s="248"/>
      <c r="G45" s="248"/>
      <c r="H45" s="248"/>
    </row>
    <row r="46" spans="1:8">
      <c r="A46" s="248"/>
      <c r="B46" s="248"/>
      <c r="C46" s="248"/>
      <c r="D46" s="248"/>
      <c r="E46" s="248"/>
      <c r="F46" s="248"/>
      <c r="G46" s="248"/>
      <c r="H46" s="248"/>
    </row>
    <row r="47" spans="1:8" ht="15.75">
      <c r="A47" s="250" t="s">
        <v>356</v>
      </c>
      <c r="B47" s="248"/>
      <c r="C47" s="248"/>
      <c r="D47" s="248"/>
      <c r="E47" s="248"/>
      <c r="F47" s="248"/>
      <c r="G47" s="248"/>
      <c r="H47" s="248"/>
    </row>
    <row r="48" spans="1:8">
      <c r="A48" s="248"/>
      <c r="B48" s="248"/>
      <c r="C48" s="248"/>
      <c r="D48" s="248"/>
      <c r="E48" s="248"/>
      <c r="F48" s="248"/>
      <c r="G48" s="248"/>
      <c r="H48" s="248"/>
    </row>
    <row r="49" spans="1:8">
      <c r="A49" s="249" t="s">
        <v>605</v>
      </c>
      <c r="B49" s="248"/>
      <c r="C49" s="248"/>
      <c r="D49" s="248"/>
      <c r="E49" s="248"/>
      <c r="F49" s="248"/>
      <c r="G49" s="248"/>
      <c r="H49" s="248"/>
    </row>
    <row r="50" spans="1:8">
      <c r="A50" s="249" t="s">
        <v>606</v>
      </c>
      <c r="B50" s="248"/>
      <c r="C50" s="248"/>
      <c r="D50" s="248"/>
      <c r="E50" s="248"/>
      <c r="F50" s="248"/>
      <c r="G50" s="248"/>
      <c r="H50" s="248"/>
    </row>
    <row r="51" spans="1:8">
      <c r="A51" s="249" t="s">
        <v>607</v>
      </c>
      <c r="B51" s="248"/>
      <c r="C51" s="248"/>
      <c r="D51" s="248"/>
      <c r="E51" s="248"/>
      <c r="F51" s="248"/>
      <c r="G51" s="248"/>
      <c r="H51" s="248"/>
    </row>
    <row r="52" spans="1:8">
      <c r="A52" s="249" t="s">
        <v>608</v>
      </c>
      <c r="B52" s="248"/>
      <c r="C52" s="248"/>
      <c r="D52" s="248"/>
      <c r="E52" s="248"/>
      <c r="F52" s="248"/>
      <c r="G52" s="248"/>
      <c r="H52" s="248"/>
    </row>
    <row r="53" spans="1:8">
      <c r="A53" s="248"/>
      <c r="B53" s="248"/>
      <c r="C53" s="248"/>
      <c r="D53" s="248"/>
      <c r="E53" s="248"/>
      <c r="F53" s="248"/>
      <c r="G53" s="248"/>
      <c r="H53" s="248"/>
    </row>
    <row r="54" spans="1:8">
      <c r="A54" s="249" t="s">
        <v>357</v>
      </c>
      <c r="B54" s="248"/>
      <c r="C54" s="248"/>
      <c r="D54" s="248"/>
      <c r="E54" s="248"/>
      <c r="F54" s="248"/>
      <c r="G54" s="248"/>
      <c r="H54" s="248"/>
    </row>
    <row r="55" spans="1:8">
      <c r="A55" s="248"/>
      <c r="B55" s="248"/>
      <c r="C55" s="248"/>
      <c r="D55" s="248"/>
      <c r="E55" s="248"/>
      <c r="F55" s="248"/>
      <c r="G55" s="248"/>
      <c r="H55" s="248"/>
    </row>
    <row r="56" spans="1:8" ht="15.75">
      <c r="A56" s="250" t="s">
        <v>358</v>
      </c>
      <c r="B56" s="248"/>
      <c r="C56" s="248"/>
      <c r="D56" s="248"/>
      <c r="E56" s="248"/>
      <c r="F56" s="248"/>
      <c r="G56" s="248"/>
      <c r="H56" s="248"/>
    </row>
    <row r="57" spans="1:8">
      <c r="A57" s="248"/>
      <c r="B57" s="248"/>
      <c r="C57" s="248"/>
      <c r="D57" s="248"/>
      <c r="E57" s="248"/>
      <c r="F57" s="248"/>
      <c r="G57" s="248"/>
      <c r="H57" s="248"/>
    </row>
    <row r="58" spans="1:8">
      <c r="A58" s="249" t="s">
        <v>603</v>
      </c>
      <c r="B58" s="248"/>
      <c r="C58" s="248"/>
      <c r="D58" s="248"/>
      <c r="E58" s="248"/>
      <c r="F58" s="248"/>
      <c r="G58" s="248"/>
      <c r="H58" s="248"/>
    </row>
    <row r="59" spans="1:8">
      <c r="A59" s="249" t="s">
        <v>604</v>
      </c>
      <c r="B59" s="248"/>
      <c r="C59" s="248"/>
      <c r="D59" s="248"/>
      <c r="E59" s="248"/>
      <c r="F59" s="248"/>
      <c r="G59" s="248"/>
      <c r="H59" s="248"/>
    </row>
    <row r="60" spans="1:8">
      <c r="A60" s="248"/>
      <c r="B60" s="248"/>
      <c r="C60" s="248"/>
      <c r="D60" s="248"/>
      <c r="E60" s="248"/>
      <c r="F60" s="248"/>
      <c r="G60" s="248"/>
      <c r="H60" s="248"/>
    </row>
    <row r="61" spans="1:8" ht="15.75">
      <c r="A61" s="250" t="s">
        <v>359</v>
      </c>
      <c r="B61" s="248"/>
      <c r="C61" s="248"/>
      <c r="D61" s="248"/>
      <c r="E61" s="248"/>
      <c r="F61" s="248"/>
      <c r="G61" s="248"/>
      <c r="H61" s="248"/>
    </row>
    <row r="62" spans="1:8">
      <c r="A62" s="248"/>
      <c r="B62" s="248"/>
      <c r="C62" s="248"/>
      <c r="D62" s="248"/>
      <c r="E62" s="248"/>
      <c r="F62" s="248"/>
      <c r="G62" s="248"/>
      <c r="H62" s="248"/>
    </row>
    <row r="63" spans="1:8">
      <c r="A63" s="249" t="s">
        <v>360</v>
      </c>
      <c r="B63" s="248"/>
      <c r="C63" s="248"/>
      <c r="D63" s="248"/>
      <c r="E63" s="248"/>
      <c r="F63" s="248"/>
      <c r="G63" s="248"/>
      <c r="H63" s="248"/>
    </row>
    <row r="64" spans="1:8">
      <c r="A64" s="248"/>
      <c r="B64" s="248"/>
      <c r="C64" s="248"/>
      <c r="D64" s="248"/>
      <c r="E64" s="248"/>
      <c r="F64" s="248"/>
      <c r="G64" s="248"/>
      <c r="H64" s="248"/>
    </row>
    <row r="65" spans="1:8">
      <c r="A65" s="249" t="s">
        <v>598</v>
      </c>
      <c r="B65" s="248"/>
      <c r="C65" s="248"/>
      <c r="D65" s="248"/>
      <c r="E65" s="248"/>
      <c r="F65" s="248"/>
      <c r="G65" s="248"/>
      <c r="H65" s="248"/>
    </row>
    <row r="66" spans="1:8">
      <c r="A66" s="249" t="s">
        <v>599</v>
      </c>
      <c r="B66" s="248"/>
      <c r="C66" s="248"/>
      <c r="D66" s="248"/>
      <c r="E66" s="248"/>
      <c r="F66" s="248"/>
      <c r="G66" s="248"/>
      <c r="H66" s="248"/>
    </row>
    <row r="67" spans="1:8">
      <c r="A67" s="249" t="s">
        <v>600</v>
      </c>
      <c r="B67" s="248"/>
      <c r="C67" s="248"/>
      <c r="D67" s="248"/>
      <c r="E67" s="248"/>
      <c r="F67" s="248"/>
      <c r="G67" s="248"/>
      <c r="H67" s="248"/>
    </row>
    <row r="68" spans="1:8">
      <c r="A68" s="249" t="s">
        <v>601</v>
      </c>
      <c r="B68" s="248"/>
      <c r="C68" s="248"/>
      <c r="D68" s="248"/>
      <c r="E68" s="248"/>
      <c r="F68" s="248"/>
      <c r="G68" s="248"/>
      <c r="H68" s="248"/>
    </row>
    <row r="69" spans="1:8">
      <c r="A69" s="249" t="s">
        <v>602</v>
      </c>
      <c r="B69" s="248"/>
      <c r="C69" s="248"/>
      <c r="D69" s="248"/>
      <c r="E69" s="248"/>
      <c r="F69" s="248"/>
      <c r="G69" s="248"/>
      <c r="H69" s="248"/>
    </row>
    <row r="70" spans="1:8">
      <c r="A70" s="249" t="s">
        <v>487</v>
      </c>
      <c r="B70" s="248"/>
      <c r="C70" s="248"/>
      <c r="D70" s="248"/>
      <c r="E70" s="248"/>
      <c r="F70" s="248"/>
      <c r="G70" s="248"/>
      <c r="H70" s="248"/>
    </row>
    <row r="71" spans="1:8">
      <c r="A71" s="248"/>
      <c r="B71" s="248"/>
      <c r="C71" s="248"/>
      <c r="D71" s="248"/>
      <c r="E71" s="248"/>
      <c r="F71" s="248"/>
      <c r="G71" s="248"/>
      <c r="H71" s="248"/>
    </row>
    <row r="72" spans="1:8">
      <c r="A72" s="249" t="s">
        <v>591</v>
      </c>
      <c r="B72" s="248"/>
      <c r="C72" s="248"/>
      <c r="D72" s="248"/>
      <c r="E72" s="248"/>
      <c r="F72" s="248"/>
      <c r="G72" s="248"/>
      <c r="H72" s="248"/>
    </row>
    <row r="73" spans="1:8">
      <c r="A73" s="249" t="s">
        <v>592</v>
      </c>
      <c r="B73" s="248"/>
      <c r="C73" s="248"/>
      <c r="D73" s="248"/>
      <c r="E73" s="248"/>
      <c r="F73" s="248"/>
      <c r="G73" s="248"/>
      <c r="H73" s="248"/>
    </row>
    <row r="74" spans="1:8">
      <c r="A74" s="249" t="s">
        <v>593</v>
      </c>
      <c r="B74" s="248"/>
      <c r="C74" s="248"/>
      <c r="D74" s="248"/>
      <c r="E74" s="248"/>
      <c r="F74" s="248"/>
      <c r="G74" s="248"/>
      <c r="H74" s="248"/>
    </row>
    <row r="75" spans="1:8">
      <c r="A75" s="249" t="s">
        <v>594</v>
      </c>
      <c r="B75" s="248"/>
      <c r="C75" s="248"/>
      <c r="D75" s="248"/>
      <c r="E75" s="248"/>
      <c r="F75" s="248"/>
      <c r="G75" s="248"/>
      <c r="H75" s="248"/>
    </row>
    <row r="76" spans="1:8">
      <c r="A76" s="249" t="s">
        <v>595</v>
      </c>
      <c r="B76" s="248"/>
      <c r="C76" s="248"/>
      <c r="D76" s="248"/>
      <c r="E76" s="248"/>
      <c r="F76" s="248"/>
      <c r="G76" s="248"/>
      <c r="H76" s="248"/>
    </row>
    <row r="77" spans="1:8">
      <c r="A77" s="249" t="s">
        <v>596</v>
      </c>
      <c r="B77" s="248"/>
      <c r="C77" s="248"/>
      <c r="D77" s="248"/>
      <c r="E77" s="248"/>
      <c r="F77" s="248"/>
      <c r="G77" s="248"/>
      <c r="H77" s="248"/>
    </row>
    <row r="78" spans="1:8">
      <c r="A78" s="249" t="s">
        <v>597</v>
      </c>
      <c r="B78" s="248"/>
      <c r="C78" s="248"/>
      <c r="D78" s="248"/>
      <c r="E78" s="248"/>
      <c r="F78" s="248"/>
      <c r="G78" s="248"/>
      <c r="H78" s="248"/>
    </row>
    <row r="79" spans="1:8">
      <c r="A79" s="248"/>
      <c r="B79" s="248"/>
      <c r="C79" s="248"/>
      <c r="D79" s="248"/>
      <c r="E79" s="248"/>
      <c r="F79" s="248"/>
      <c r="G79" s="248"/>
      <c r="H79" s="248"/>
    </row>
    <row r="80" spans="1:8">
      <c r="A80" s="249" t="s">
        <v>589</v>
      </c>
      <c r="B80" s="248"/>
      <c r="C80" s="248"/>
      <c r="D80" s="248"/>
      <c r="E80" s="248"/>
      <c r="F80" s="248"/>
      <c r="G80" s="248"/>
      <c r="H80" s="248"/>
    </row>
    <row r="81" spans="1:8">
      <c r="A81" s="249" t="s">
        <v>590</v>
      </c>
      <c r="B81" s="248"/>
      <c r="C81" s="248"/>
      <c r="D81" s="248"/>
      <c r="E81" s="248"/>
      <c r="F81" s="248"/>
      <c r="G81" s="248"/>
      <c r="H81" s="248"/>
    </row>
    <row r="82" spans="1:8">
      <c r="A82" s="248"/>
      <c r="B82" s="248"/>
      <c r="C82" s="248"/>
      <c r="D82" s="248"/>
      <c r="E82" s="248"/>
      <c r="F82" s="248"/>
      <c r="G82" s="248"/>
      <c r="H82" s="248"/>
    </row>
    <row r="83" spans="1:8" ht="15.75">
      <c r="A83" s="250" t="s">
        <v>361</v>
      </c>
      <c r="B83" s="248"/>
      <c r="C83" s="248"/>
      <c r="D83" s="248"/>
      <c r="E83" s="248"/>
      <c r="F83" s="248"/>
      <c r="G83" s="248"/>
      <c r="H83" s="248"/>
    </row>
    <row r="84" spans="1:8">
      <c r="A84" s="248"/>
      <c r="B84" s="248"/>
      <c r="C84" s="248"/>
      <c r="D84" s="248"/>
      <c r="E84" s="248"/>
      <c r="F84" s="248"/>
      <c r="G84" s="248"/>
      <c r="H84" s="248"/>
    </row>
    <row r="85" spans="1:8">
      <c r="A85" s="249" t="s">
        <v>580</v>
      </c>
      <c r="B85" s="248"/>
      <c r="C85" s="248"/>
      <c r="D85" s="248"/>
      <c r="E85" s="248"/>
      <c r="F85" s="248"/>
      <c r="G85" s="248"/>
      <c r="H85" s="248"/>
    </row>
    <row r="86" spans="1:8">
      <c r="A86" s="249" t="s">
        <v>581</v>
      </c>
      <c r="B86" s="248"/>
      <c r="C86" s="248"/>
      <c r="D86" s="248"/>
      <c r="E86" s="248"/>
      <c r="F86" s="248"/>
      <c r="G86" s="248"/>
      <c r="H86" s="248"/>
    </row>
    <row r="87" spans="1:8">
      <c r="A87" s="249" t="s">
        <v>582</v>
      </c>
      <c r="B87" s="248"/>
      <c r="C87" s="248"/>
      <c r="D87" s="248"/>
      <c r="E87" s="248"/>
      <c r="F87" s="248"/>
      <c r="G87" s="248"/>
      <c r="H87" s="248"/>
    </row>
    <row r="88" spans="1:8">
      <c r="A88" s="249" t="s">
        <v>583</v>
      </c>
      <c r="B88" s="248"/>
      <c r="C88" s="248"/>
      <c r="D88" s="248"/>
      <c r="E88" s="248"/>
      <c r="F88" s="248"/>
      <c r="G88" s="248"/>
      <c r="H88" s="248"/>
    </row>
    <row r="89" spans="1:8">
      <c r="A89" s="249" t="s">
        <v>584</v>
      </c>
      <c r="B89" s="248"/>
      <c r="C89" s="248"/>
      <c r="D89" s="248"/>
      <c r="E89" s="248"/>
      <c r="F89" s="248"/>
      <c r="G89" s="248"/>
      <c r="H89" s="248"/>
    </row>
    <row r="90" spans="1:8">
      <c r="A90" s="249" t="s">
        <v>585</v>
      </c>
      <c r="B90" s="248"/>
      <c r="C90" s="248"/>
      <c r="D90" s="248"/>
      <c r="E90" s="248"/>
      <c r="F90" s="248"/>
      <c r="G90" s="248"/>
      <c r="H90" s="248"/>
    </row>
    <row r="91" spans="1:8">
      <c r="A91" s="249" t="s">
        <v>586</v>
      </c>
      <c r="B91" s="248"/>
      <c r="C91" s="248"/>
      <c r="D91" s="248"/>
      <c r="E91" s="248"/>
      <c r="F91" s="248"/>
      <c r="G91" s="248"/>
      <c r="H91" s="248"/>
    </row>
    <row r="92" spans="1:8">
      <c r="A92" s="249" t="s">
        <v>587</v>
      </c>
      <c r="B92" s="248"/>
      <c r="C92" s="248"/>
      <c r="D92" s="248"/>
      <c r="E92" s="248"/>
      <c r="F92" s="248"/>
      <c r="G92" s="248"/>
      <c r="H92" s="248"/>
    </row>
    <row r="93" spans="1:8">
      <c r="A93" s="249" t="s">
        <v>588</v>
      </c>
      <c r="B93" s="248"/>
      <c r="C93" s="248"/>
      <c r="D93" s="248"/>
      <c r="E93" s="248"/>
      <c r="F93" s="248"/>
      <c r="G93" s="248"/>
      <c r="H93" s="248"/>
    </row>
    <row r="94" spans="1:8">
      <c r="A94" s="248"/>
      <c r="B94" s="248"/>
      <c r="C94" s="248"/>
      <c r="D94" s="248"/>
      <c r="E94" s="248"/>
      <c r="F94" s="248"/>
      <c r="G94" s="248"/>
      <c r="H94" s="248"/>
    </row>
    <row r="95" spans="1:8" ht="15.75">
      <c r="A95" s="251" t="s">
        <v>362</v>
      </c>
      <c r="B95" s="251"/>
      <c r="C95" s="251"/>
      <c r="D95" s="251"/>
      <c r="E95" s="251"/>
      <c r="F95" s="251"/>
      <c r="G95" s="251"/>
      <c r="H95" s="251"/>
    </row>
    <row r="96" spans="1:8">
      <c r="A96" s="252" t="s">
        <v>363</v>
      </c>
      <c r="B96" s="252"/>
      <c r="C96" s="252"/>
      <c r="D96" s="252"/>
      <c r="E96" s="252"/>
      <c r="F96" s="252"/>
      <c r="G96" s="252"/>
      <c r="H96" s="252"/>
    </row>
    <row r="97" spans="1:8">
      <c r="A97" s="253"/>
      <c r="B97" s="253"/>
      <c r="C97" s="253"/>
      <c r="D97" s="253"/>
      <c r="E97" s="253"/>
      <c r="F97" s="253"/>
      <c r="G97" s="253"/>
      <c r="H97" s="253"/>
    </row>
    <row r="98" spans="1:8">
      <c r="A98" s="252" t="s">
        <v>578</v>
      </c>
      <c r="B98" s="252"/>
      <c r="C98" s="252"/>
      <c r="D98" s="252"/>
      <c r="E98" s="252"/>
      <c r="F98" s="252"/>
      <c r="G98" s="252"/>
      <c r="H98" s="252"/>
    </row>
    <row r="99" spans="1:8">
      <c r="A99" s="249" t="s">
        <v>579</v>
      </c>
      <c r="B99" s="249"/>
      <c r="C99" s="249"/>
      <c r="D99" s="249"/>
      <c r="E99" s="249"/>
      <c r="F99" s="249"/>
      <c r="G99" s="249"/>
      <c r="H99" s="249"/>
    </row>
    <row r="100" spans="1:8">
      <c r="A100" s="253"/>
      <c r="B100" s="253"/>
      <c r="C100" s="253"/>
      <c r="D100" s="253"/>
      <c r="E100" s="253"/>
      <c r="F100" s="253"/>
      <c r="G100" s="253"/>
      <c r="H100" s="253"/>
    </row>
    <row r="101" spans="1:8">
      <c r="A101" s="252" t="s">
        <v>571</v>
      </c>
      <c r="B101" s="252"/>
      <c r="C101" s="252"/>
      <c r="D101" s="252"/>
      <c r="E101" s="252"/>
      <c r="F101" s="252"/>
      <c r="G101" s="252"/>
      <c r="H101" s="252"/>
    </row>
    <row r="102" spans="1:8">
      <c r="A102" s="249" t="s">
        <v>572</v>
      </c>
      <c r="B102" s="249"/>
      <c r="C102" s="249"/>
      <c r="D102" s="249"/>
      <c r="E102" s="249"/>
      <c r="F102" s="249"/>
      <c r="G102" s="249"/>
      <c r="H102" s="249"/>
    </row>
    <row r="103" spans="1:8">
      <c r="A103" s="249" t="s">
        <v>573</v>
      </c>
      <c r="B103" s="249"/>
      <c r="C103" s="249"/>
      <c r="D103" s="249"/>
      <c r="E103" s="249"/>
      <c r="F103" s="249"/>
      <c r="G103" s="249"/>
      <c r="H103" s="249"/>
    </row>
    <row r="104" spans="1:8">
      <c r="A104" s="249" t="s">
        <v>574</v>
      </c>
      <c r="B104" s="249"/>
      <c r="C104" s="249"/>
      <c r="D104" s="249"/>
      <c r="E104" s="249"/>
      <c r="F104" s="249"/>
      <c r="G104" s="249"/>
      <c r="H104" s="249"/>
    </row>
    <row r="105" spans="1:8">
      <c r="A105" s="249" t="s">
        <v>575</v>
      </c>
      <c r="B105" s="249"/>
      <c r="C105" s="249"/>
      <c r="D105" s="249"/>
      <c r="E105" s="249"/>
      <c r="F105" s="249"/>
      <c r="G105" s="249"/>
      <c r="H105" s="249"/>
    </row>
    <row r="106" spans="1:8">
      <c r="A106" s="249" t="s">
        <v>576</v>
      </c>
      <c r="B106" s="249"/>
      <c r="C106" s="249"/>
      <c r="D106" s="249"/>
      <c r="E106" s="249"/>
      <c r="F106" s="249"/>
      <c r="G106" s="249"/>
      <c r="H106" s="249"/>
    </row>
    <row r="107" spans="1:8">
      <c r="A107" s="249" t="s">
        <v>577</v>
      </c>
      <c r="B107" s="249"/>
      <c r="C107" s="249"/>
      <c r="D107" s="249"/>
      <c r="E107" s="249"/>
      <c r="F107" s="249"/>
      <c r="G107" s="249"/>
      <c r="H107" s="249"/>
    </row>
    <row r="108" spans="1:8">
      <c r="A108" s="254"/>
      <c r="B108" s="254"/>
      <c r="C108" s="254"/>
      <c r="D108" s="254"/>
      <c r="E108" s="254"/>
      <c r="F108" s="254"/>
      <c r="G108" s="254"/>
      <c r="H108" s="254"/>
    </row>
    <row r="109" spans="1:8">
      <c r="A109" s="255"/>
      <c r="B109" s="256" t="s">
        <v>364</v>
      </c>
      <c r="C109" s="257"/>
      <c r="D109" s="256" t="s">
        <v>365</v>
      </c>
      <c r="E109" s="258"/>
      <c r="F109" s="257"/>
      <c r="G109" s="256" t="s">
        <v>366</v>
      </c>
      <c r="H109" s="257"/>
    </row>
    <row r="110" spans="1:8">
      <c r="A110" s="255" t="s">
        <v>367</v>
      </c>
      <c r="B110" s="255" t="s">
        <v>336</v>
      </c>
      <c r="C110" s="255" t="s">
        <v>368</v>
      </c>
      <c r="D110" s="255" t="s">
        <v>336</v>
      </c>
      <c r="E110" s="255" t="s">
        <v>369</v>
      </c>
      <c r="F110" s="255" t="s">
        <v>370</v>
      </c>
      <c r="G110" s="255" t="s">
        <v>336</v>
      </c>
      <c r="H110" s="255" t="s">
        <v>371</v>
      </c>
    </row>
    <row r="111" spans="1:8">
      <c r="A111" s="255" t="s">
        <v>372</v>
      </c>
      <c r="B111" s="255">
        <v>1189</v>
      </c>
      <c r="C111" s="259">
        <v>0.38</v>
      </c>
      <c r="D111" s="255">
        <v>315</v>
      </c>
      <c r="E111" s="259">
        <v>0.41</v>
      </c>
      <c r="F111" s="259">
        <v>0.26</v>
      </c>
      <c r="G111" s="255">
        <v>555</v>
      </c>
      <c r="H111" s="259">
        <v>0.39</v>
      </c>
    </row>
    <row r="112" spans="1:8">
      <c r="A112" s="255" t="s">
        <v>373</v>
      </c>
      <c r="B112" s="255">
        <v>1355</v>
      </c>
      <c r="C112" s="259">
        <v>0.43</v>
      </c>
      <c r="D112" s="255">
        <v>364</v>
      </c>
      <c r="E112" s="259">
        <v>0.47</v>
      </c>
      <c r="F112" s="259">
        <v>0.27</v>
      </c>
      <c r="G112" s="255">
        <v>644</v>
      </c>
      <c r="H112" s="259">
        <v>0.45</v>
      </c>
    </row>
    <row r="113" spans="1:8">
      <c r="A113" s="255" t="s">
        <v>374</v>
      </c>
      <c r="B113" s="255">
        <v>53</v>
      </c>
      <c r="C113" s="259">
        <v>0.02</v>
      </c>
      <c r="D113" s="255">
        <v>4</v>
      </c>
      <c r="E113" s="259">
        <v>0.01</v>
      </c>
      <c r="F113" s="259">
        <v>0.08</v>
      </c>
      <c r="G113" s="255">
        <v>7</v>
      </c>
      <c r="H113" s="259">
        <v>0</v>
      </c>
    </row>
    <row r="114" spans="1:8">
      <c r="A114" s="255" t="s">
        <v>375</v>
      </c>
      <c r="B114" s="255">
        <v>545</v>
      </c>
      <c r="C114" s="259">
        <v>0.17</v>
      </c>
      <c r="D114" s="255">
        <v>84</v>
      </c>
      <c r="E114" s="259">
        <v>0.11</v>
      </c>
      <c r="F114" s="259">
        <v>0.15</v>
      </c>
      <c r="G114" s="255">
        <v>214</v>
      </c>
      <c r="H114" s="259">
        <v>0.15</v>
      </c>
    </row>
    <row r="115" spans="1:8">
      <c r="A115" s="255" t="s">
        <v>376</v>
      </c>
      <c r="B115" s="260">
        <v>3142</v>
      </c>
      <c r="C115" s="255"/>
      <c r="D115" s="255">
        <v>767</v>
      </c>
      <c r="E115" s="255"/>
      <c r="F115" s="255"/>
      <c r="G115" s="255">
        <v>1420</v>
      </c>
      <c r="H115" s="255"/>
    </row>
    <row r="116" spans="1:8">
      <c r="A116" s="261"/>
      <c r="B116" s="261"/>
      <c r="C116" s="261"/>
      <c r="D116" s="261"/>
      <c r="E116" s="261"/>
      <c r="F116" s="261"/>
      <c r="G116" s="261"/>
      <c r="H116" s="261"/>
    </row>
    <row r="117" spans="1:8">
      <c r="A117" s="252" t="s">
        <v>567</v>
      </c>
      <c r="B117" s="252"/>
      <c r="C117" s="252"/>
      <c r="D117" s="252"/>
      <c r="E117" s="252"/>
      <c r="F117" s="252"/>
      <c r="G117" s="252"/>
      <c r="H117" s="252"/>
    </row>
    <row r="118" spans="1:8">
      <c r="A118" s="249" t="s">
        <v>568</v>
      </c>
      <c r="B118" s="249"/>
      <c r="C118" s="249"/>
      <c r="D118" s="249"/>
      <c r="E118" s="249"/>
      <c r="F118" s="249"/>
      <c r="G118" s="249"/>
      <c r="H118" s="249"/>
    </row>
    <row r="119" spans="1:8">
      <c r="A119" s="249" t="s">
        <v>569</v>
      </c>
      <c r="B119" s="249"/>
      <c r="C119" s="249"/>
      <c r="D119" s="249"/>
      <c r="E119" s="249"/>
      <c r="F119" s="249"/>
      <c r="G119" s="249"/>
      <c r="H119" s="249"/>
    </row>
    <row r="120" spans="1:8">
      <c r="A120" s="249" t="s">
        <v>570</v>
      </c>
      <c r="B120" s="249"/>
      <c r="C120" s="249"/>
      <c r="D120" s="249"/>
      <c r="E120" s="249"/>
      <c r="F120" s="249"/>
      <c r="G120" s="249"/>
      <c r="H120" s="249"/>
    </row>
    <row r="121" spans="1:8">
      <c r="A121" s="248"/>
      <c r="B121" s="248"/>
      <c r="C121" s="248"/>
      <c r="D121" s="248"/>
      <c r="E121" s="248"/>
      <c r="F121" s="248"/>
      <c r="G121" s="248"/>
      <c r="H121" s="248"/>
    </row>
    <row r="122" spans="1:8" ht="15.75">
      <c r="A122" s="250" t="s">
        <v>377</v>
      </c>
      <c r="B122" s="248"/>
      <c r="C122" s="248"/>
      <c r="D122" s="248"/>
      <c r="E122" s="248"/>
      <c r="F122" s="248"/>
      <c r="G122" s="248"/>
      <c r="H122" s="248"/>
    </row>
    <row r="123" spans="1:8">
      <c r="A123" s="248"/>
      <c r="B123" s="248"/>
      <c r="C123" s="248"/>
      <c r="D123" s="248"/>
      <c r="E123" s="248"/>
      <c r="F123" s="248"/>
      <c r="G123" s="248"/>
      <c r="H123" s="248"/>
    </row>
    <row r="124" spans="1:8">
      <c r="A124" s="249" t="s">
        <v>565</v>
      </c>
      <c r="B124" s="248"/>
      <c r="C124" s="248"/>
      <c r="D124" s="248"/>
      <c r="E124" s="248"/>
      <c r="F124" s="248"/>
      <c r="G124" s="248"/>
      <c r="H124" s="248"/>
    </row>
    <row r="125" spans="1:8">
      <c r="A125" s="249" t="s">
        <v>566</v>
      </c>
      <c r="B125" s="248"/>
      <c r="C125" s="248"/>
      <c r="D125" s="248"/>
      <c r="E125" s="248"/>
      <c r="F125" s="248"/>
      <c r="G125" s="248"/>
      <c r="H125" s="248"/>
    </row>
    <row r="126" spans="1:8">
      <c r="A126" s="248"/>
      <c r="B126" s="248"/>
      <c r="C126" s="248"/>
      <c r="D126" s="248"/>
      <c r="E126" s="248"/>
      <c r="F126" s="248"/>
      <c r="G126" s="248"/>
      <c r="H126" s="248"/>
    </row>
    <row r="127" spans="1:8">
      <c r="A127" s="249" t="s">
        <v>562</v>
      </c>
      <c r="B127" s="248"/>
      <c r="C127" s="248"/>
      <c r="D127" s="248"/>
      <c r="E127" s="248"/>
      <c r="F127" s="248"/>
      <c r="G127" s="248"/>
      <c r="H127" s="248"/>
    </row>
    <row r="128" spans="1:8">
      <c r="A128" s="249" t="s">
        <v>563</v>
      </c>
      <c r="B128" s="248"/>
      <c r="C128" s="248"/>
      <c r="D128" s="248"/>
      <c r="E128" s="248"/>
      <c r="F128" s="248"/>
      <c r="G128" s="248"/>
      <c r="H128" s="248"/>
    </row>
    <row r="129" spans="1:8">
      <c r="A129" s="249" t="s">
        <v>564</v>
      </c>
      <c r="B129" s="248"/>
      <c r="C129" s="248"/>
      <c r="D129" s="248"/>
      <c r="E129" s="248"/>
      <c r="F129" s="248"/>
      <c r="G129" s="248"/>
      <c r="H129" s="248"/>
    </row>
    <row r="130" spans="1:8">
      <c r="A130" s="248"/>
      <c r="B130" s="248"/>
      <c r="C130" s="248"/>
      <c r="D130" s="248"/>
      <c r="E130" s="248"/>
      <c r="F130" s="248"/>
      <c r="G130" s="248"/>
      <c r="H130" s="248"/>
    </row>
    <row r="131" spans="1:8">
      <c r="A131" s="249" t="s">
        <v>559</v>
      </c>
      <c r="B131" s="248"/>
      <c r="C131" s="248"/>
      <c r="D131" s="248"/>
      <c r="E131" s="248"/>
      <c r="F131" s="248"/>
      <c r="G131" s="248"/>
      <c r="H131" s="248"/>
    </row>
    <row r="132" spans="1:8">
      <c r="A132" s="249" t="s">
        <v>560</v>
      </c>
      <c r="B132" s="248"/>
      <c r="C132" s="248"/>
      <c r="D132" s="248"/>
      <c r="E132" s="248"/>
      <c r="F132" s="248"/>
      <c r="G132" s="248"/>
      <c r="H132" s="248"/>
    </row>
    <row r="133" spans="1:8">
      <c r="A133" s="249" t="s">
        <v>561</v>
      </c>
      <c r="B133" s="248"/>
      <c r="C133" s="248"/>
      <c r="D133" s="248"/>
      <c r="E133" s="248"/>
      <c r="F133" s="248"/>
      <c r="G133" s="248"/>
      <c r="H133" s="248"/>
    </row>
    <row r="134" spans="1:8">
      <c r="A134" s="248"/>
      <c r="B134" s="248"/>
      <c r="C134" s="248"/>
      <c r="D134" s="248"/>
      <c r="E134" s="248"/>
      <c r="F134" s="248"/>
      <c r="G134" s="248"/>
      <c r="H134" s="248"/>
    </row>
    <row r="135" spans="1:8">
      <c r="A135" s="249" t="s">
        <v>556</v>
      </c>
      <c r="B135" s="248"/>
      <c r="C135" s="248"/>
      <c r="D135" s="248"/>
      <c r="E135" s="248"/>
      <c r="F135" s="248"/>
      <c r="G135" s="248"/>
      <c r="H135" s="248"/>
    </row>
    <row r="136" spans="1:8">
      <c r="A136" s="249" t="s">
        <v>557</v>
      </c>
      <c r="B136" s="248"/>
      <c r="C136" s="248"/>
      <c r="D136" s="248"/>
      <c r="E136" s="248"/>
      <c r="F136" s="248"/>
      <c r="G136" s="248"/>
      <c r="H136" s="248"/>
    </row>
    <row r="137" spans="1:8">
      <c r="A137" s="249" t="s">
        <v>558</v>
      </c>
      <c r="B137" s="248"/>
      <c r="C137" s="248"/>
      <c r="D137" s="248"/>
      <c r="E137" s="248"/>
      <c r="F137" s="248"/>
      <c r="G137" s="248"/>
      <c r="H137" s="248"/>
    </row>
    <row r="138" spans="1:8">
      <c r="A138" s="248"/>
      <c r="B138" s="248"/>
      <c r="C138" s="248"/>
      <c r="D138" s="248"/>
      <c r="E138" s="248"/>
      <c r="F138" s="248"/>
      <c r="G138" s="248"/>
      <c r="H138" s="248"/>
    </row>
    <row r="139" spans="1:8">
      <c r="A139" s="249" t="s">
        <v>554</v>
      </c>
      <c r="B139" s="248"/>
      <c r="C139" s="248"/>
      <c r="D139" s="248"/>
      <c r="E139" s="248"/>
      <c r="F139" s="248"/>
      <c r="G139" s="248"/>
      <c r="H139" s="248"/>
    </row>
    <row r="140" spans="1:8">
      <c r="A140" s="249" t="s">
        <v>555</v>
      </c>
      <c r="B140" s="248"/>
      <c r="C140" s="248"/>
      <c r="D140" s="248"/>
      <c r="E140" s="248"/>
      <c r="F140" s="248"/>
      <c r="G140" s="248"/>
      <c r="H140" s="248"/>
    </row>
    <row r="141" spans="1:8">
      <c r="A141" s="248"/>
      <c r="B141" s="248"/>
      <c r="C141" s="248"/>
      <c r="D141" s="248"/>
      <c r="E141" s="248"/>
      <c r="F141" s="248"/>
      <c r="G141" s="248"/>
      <c r="H141" s="248"/>
    </row>
    <row r="142" spans="1:8" ht="15.75">
      <c r="A142" s="250" t="s">
        <v>378</v>
      </c>
      <c r="B142" s="248"/>
      <c r="C142" s="248"/>
      <c r="D142" s="248"/>
      <c r="E142" s="248"/>
      <c r="F142" s="248"/>
      <c r="G142" s="248"/>
      <c r="H142" s="248"/>
    </row>
    <row r="143" spans="1:8">
      <c r="A143" s="248"/>
      <c r="B143" s="248"/>
      <c r="C143" s="248"/>
      <c r="D143" s="248"/>
      <c r="E143" s="248"/>
      <c r="F143" s="248"/>
      <c r="G143" s="248"/>
      <c r="H143" s="248"/>
    </row>
    <row r="144" spans="1:8">
      <c r="A144" s="249" t="s">
        <v>552</v>
      </c>
      <c r="B144" s="248"/>
      <c r="C144" s="248"/>
      <c r="D144" s="248"/>
      <c r="E144" s="248"/>
      <c r="F144" s="248"/>
      <c r="G144" s="248"/>
      <c r="H144" s="248"/>
    </row>
    <row r="145" spans="1:8">
      <c r="A145" s="249" t="s">
        <v>553</v>
      </c>
      <c r="B145" s="248"/>
      <c r="C145" s="248"/>
      <c r="D145" s="248"/>
      <c r="E145" s="248"/>
      <c r="F145" s="248"/>
      <c r="G145" s="248"/>
      <c r="H145" s="248"/>
    </row>
    <row r="146" spans="1:8">
      <c r="A146" s="248"/>
      <c r="B146" s="248"/>
      <c r="C146" s="248"/>
      <c r="D146" s="248"/>
      <c r="E146" s="248"/>
      <c r="F146" s="248"/>
      <c r="G146" s="248"/>
      <c r="H146" s="248"/>
    </row>
    <row r="147" spans="1:8">
      <c r="A147" s="249" t="s">
        <v>550</v>
      </c>
      <c r="B147" s="248"/>
      <c r="C147" s="248"/>
      <c r="D147" s="248"/>
      <c r="E147" s="248"/>
      <c r="F147" s="248"/>
      <c r="G147" s="248"/>
      <c r="H147" s="248"/>
    </row>
    <row r="148" spans="1:8">
      <c r="A148" s="249" t="s">
        <v>551</v>
      </c>
      <c r="B148" s="248"/>
      <c r="C148" s="248"/>
      <c r="D148" s="248"/>
      <c r="E148" s="248"/>
      <c r="F148" s="248"/>
      <c r="G148" s="248"/>
      <c r="H148" s="248"/>
    </row>
    <row r="149" spans="1:8">
      <c r="A149" s="248"/>
      <c r="B149" s="248"/>
      <c r="C149" s="248"/>
      <c r="D149" s="248"/>
      <c r="E149" s="248"/>
      <c r="F149" s="248"/>
      <c r="G149" s="248"/>
      <c r="H149" s="248"/>
    </row>
    <row r="150" spans="1:8">
      <c r="A150" s="249" t="s">
        <v>548</v>
      </c>
      <c r="B150" s="248"/>
      <c r="C150" s="248"/>
      <c r="D150" s="248"/>
      <c r="E150" s="248"/>
      <c r="F150" s="248"/>
      <c r="G150" s="248"/>
      <c r="H150" s="248"/>
    </row>
    <row r="151" spans="1:8">
      <c r="A151" s="249" t="s">
        <v>549</v>
      </c>
      <c r="B151" s="248"/>
      <c r="C151" s="248"/>
      <c r="D151" s="248"/>
      <c r="E151" s="248"/>
      <c r="F151" s="248"/>
      <c r="G151" s="248"/>
      <c r="H151" s="248"/>
    </row>
    <row r="152" spans="1:8">
      <c r="A152" s="248"/>
      <c r="B152" s="248"/>
      <c r="C152" s="248"/>
      <c r="D152" s="248"/>
      <c r="E152" s="248"/>
      <c r="F152" s="248"/>
      <c r="G152" s="248"/>
      <c r="H152" s="248"/>
    </row>
    <row r="153" spans="1:8">
      <c r="A153" s="249" t="s">
        <v>545</v>
      </c>
      <c r="B153" s="248"/>
      <c r="C153" s="248"/>
      <c r="D153" s="248"/>
      <c r="E153" s="248"/>
      <c r="F153" s="248"/>
      <c r="G153" s="248"/>
      <c r="H153" s="248"/>
    </row>
    <row r="154" spans="1:8">
      <c r="A154" s="249" t="s">
        <v>546</v>
      </c>
      <c r="B154" s="248"/>
      <c r="C154" s="248"/>
      <c r="D154" s="248"/>
      <c r="E154" s="248"/>
      <c r="F154" s="248"/>
      <c r="G154" s="248"/>
      <c r="H154" s="248"/>
    </row>
    <row r="155" spans="1:8">
      <c r="A155" s="249" t="s">
        <v>547</v>
      </c>
      <c r="B155" s="248"/>
      <c r="C155" s="248"/>
      <c r="D155" s="248"/>
      <c r="E155" s="248"/>
      <c r="F155" s="248"/>
      <c r="G155" s="248"/>
      <c r="H155" s="248"/>
    </row>
    <row r="156" spans="1:8">
      <c r="A156" s="248"/>
      <c r="B156" s="248"/>
      <c r="C156" s="248"/>
      <c r="D156" s="248"/>
      <c r="E156" s="248"/>
      <c r="F156" s="248"/>
      <c r="G156" s="248"/>
      <c r="H156" s="248"/>
    </row>
    <row r="157" spans="1:8">
      <c r="A157" s="248"/>
      <c r="B157" s="248"/>
      <c r="C157" s="248"/>
      <c r="D157" s="248"/>
      <c r="E157" s="248"/>
      <c r="F157" s="248"/>
      <c r="G157" s="248"/>
      <c r="H157" s="248"/>
    </row>
    <row r="158" spans="1:8">
      <c r="A158" s="249" t="s">
        <v>379</v>
      </c>
      <c r="B158" s="248"/>
      <c r="C158" s="248"/>
      <c r="D158" s="248"/>
      <c r="E158" s="248"/>
      <c r="F158" s="248"/>
      <c r="G158" s="248"/>
      <c r="H158" s="248"/>
    </row>
    <row r="159" spans="1:8">
      <c r="A159" s="248"/>
      <c r="B159" s="248"/>
      <c r="C159" s="248"/>
      <c r="D159" s="248"/>
      <c r="E159" s="248"/>
      <c r="F159" s="248"/>
      <c r="G159" s="248"/>
      <c r="H159" s="248"/>
    </row>
    <row r="160" spans="1:8" ht="15.75">
      <c r="A160" s="250" t="s">
        <v>380</v>
      </c>
      <c r="B160" s="248"/>
      <c r="C160" s="248"/>
      <c r="D160" s="248"/>
      <c r="E160" s="248"/>
      <c r="F160" s="248"/>
      <c r="G160" s="248"/>
      <c r="H160" s="248"/>
    </row>
    <row r="161" spans="1:8">
      <c r="A161" s="248"/>
      <c r="B161" s="248"/>
      <c r="C161" s="248"/>
      <c r="D161" s="248"/>
      <c r="E161" s="248"/>
      <c r="F161" s="248"/>
      <c r="G161" s="248"/>
      <c r="H161" s="248"/>
    </row>
    <row r="162" spans="1:8">
      <c r="A162" s="248"/>
      <c r="B162" s="248"/>
      <c r="C162" s="248"/>
      <c r="D162" s="248"/>
      <c r="E162" s="248"/>
      <c r="F162" s="248"/>
      <c r="G162" s="248"/>
      <c r="H162" s="248"/>
    </row>
    <row r="163" spans="1:8">
      <c r="A163" s="248"/>
      <c r="B163" s="248"/>
      <c r="C163" s="248"/>
      <c r="D163" s="248"/>
      <c r="E163" s="248"/>
      <c r="F163" s="248"/>
      <c r="G163" s="248"/>
      <c r="H163" s="248"/>
    </row>
    <row r="164" spans="1:8">
      <c r="A164" s="248"/>
      <c r="B164" s="248"/>
      <c r="C164" s="248"/>
      <c r="D164" s="248"/>
      <c r="E164" s="248"/>
      <c r="F164" s="248"/>
      <c r="G164" s="248"/>
      <c r="H164" s="248"/>
    </row>
    <row r="165" spans="1:8">
      <c r="A165" s="248"/>
      <c r="B165" s="248"/>
      <c r="C165" s="248"/>
      <c r="D165" s="248"/>
      <c r="E165" s="248"/>
      <c r="F165" s="248"/>
      <c r="G165" s="248"/>
      <c r="H165" s="248"/>
    </row>
    <row r="166" spans="1:8">
      <c r="A166" s="248"/>
      <c r="B166" s="248"/>
      <c r="C166" s="248"/>
      <c r="D166" s="248"/>
      <c r="E166" s="248"/>
      <c r="F166" s="248"/>
      <c r="G166" s="248"/>
      <c r="H166" s="248"/>
    </row>
    <row r="167" spans="1:8">
      <c r="A167" s="248"/>
      <c r="B167" s="248"/>
      <c r="C167" s="248"/>
      <c r="D167" s="248"/>
      <c r="E167" s="248"/>
      <c r="F167" s="248"/>
      <c r="G167" s="248"/>
      <c r="H167" s="248"/>
    </row>
    <row r="168" spans="1:8">
      <c r="A168" s="248"/>
      <c r="B168" s="248"/>
      <c r="C168" s="248"/>
      <c r="D168" s="248"/>
      <c r="E168" s="248"/>
      <c r="F168" s="248"/>
      <c r="G168" s="248"/>
      <c r="H168" s="248"/>
    </row>
    <row r="169" spans="1:8">
      <c r="A169" s="248"/>
      <c r="B169" s="248"/>
      <c r="C169" s="248"/>
      <c r="D169" s="248"/>
      <c r="E169" s="248"/>
      <c r="F169" s="248"/>
      <c r="G169" s="248"/>
      <c r="H169" s="248"/>
    </row>
    <row r="170" spans="1:8">
      <c r="A170" s="248"/>
      <c r="B170" s="248"/>
      <c r="C170" s="248"/>
      <c r="D170" s="248"/>
      <c r="E170" s="248"/>
      <c r="F170" s="248"/>
      <c r="G170" s="248"/>
      <c r="H170" s="248"/>
    </row>
    <row r="171" spans="1:8">
      <c r="A171" s="248"/>
      <c r="B171" s="248"/>
      <c r="C171" s="248"/>
      <c r="D171" s="248"/>
      <c r="E171" s="248"/>
      <c r="F171" s="248"/>
      <c r="G171" s="248"/>
      <c r="H171" s="248"/>
    </row>
    <row r="172" spans="1:8">
      <c r="A172" s="248"/>
      <c r="B172" s="248"/>
      <c r="C172" s="248"/>
      <c r="D172" s="248"/>
      <c r="E172" s="248"/>
      <c r="F172" s="248"/>
      <c r="G172" s="248"/>
      <c r="H172" s="248"/>
    </row>
    <row r="173" spans="1:8">
      <c r="A173" s="248"/>
      <c r="B173" s="248"/>
      <c r="C173" s="248"/>
      <c r="D173" s="248"/>
      <c r="E173" s="248"/>
      <c r="F173" s="248"/>
      <c r="G173" s="248"/>
      <c r="H173" s="248"/>
    </row>
    <row r="174" spans="1:8">
      <c r="A174" s="248"/>
      <c r="B174" s="248"/>
      <c r="C174" s="248"/>
      <c r="D174" s="248"/>
      <c r="E174" s="248"/>
      <c r="F174" s="248"/>
      <c r="G174" s="248"/>
      <c r="H174" s="248"/>
    </row>
    <row r="175" spans="1:8">
      <c r="A175" s="248"/>
      <c r="B175" s="248"/>
      <c r="C175" s="248"/>
      <c r="D175" s="248"/>
      <c r="E175" s="248"/>
      <c r="F175" s="248"/>
      <c r="G175" s="248"/>
      <c r="H175" s="248"/>
    </row>
    <row r="176" spans="1:8">
      <c r="A176" s="248"/>
      <c r="B176" s="248"/>
      <c r="C176" s="248"/>
      <c r="D176" s="248"/>
      <c r="E176" s="248"/>
      <c r="F176" s="248"/>
      <c r="G176" s="248"/>
      <c r="H176" s="248"/>
    </row>
    <row r="177" spans="1:8">
      <c r="A177" s="248"/>
      <c r="B177" s="248"/>
      <c r="C177" s="248"/>
      <c r="D177" s="248"/>
      <c r="E177" s="248"/>
      <c r="F177" s="248"/>
      <c r="G177" s="248"/>
      <c r="H177" s="248"/>
    </row>
    <row r="178" spans="1:8">
      <c r="A178" s="248"/>
      <c r="B178" s="248"/>
      <c r="C178" s="248"/>
      <c r="D178" s="248"/>
      <c r="E178" s="248"/>
      <c r="F178" s="248"/>
      <c r="G178" s="248"/>
      <c r="H178" s="248"/>
    </row>
    <row r="179" spans="1:8">
      <c r="A179" s="248"/>
      <c r="B179" s="248"/>
      <c r="C179" s="248"/>
      <c r="D179" s="248"/>
      <c r="E179" s="248"/>
      <c r="F179" s="248"/>
      <c r="G179" s="248"/>
      <c r="H179" s="248"/>
    </row>
    <row r="180" spans="1:8">
      <c r="A180" s="248"/>
      <c r="B180" s="248"/>
      <c r="C180" s="248"/>
      <c r="D180" s="248"/>
      <c r="E180" s="248"/>
      <c r="F180" s="248"/>
      <c r="G180" s="248"/>
      <c r="H180" s="248"/>
    </row>
    <row r="181" spans="1:8">
      <c r="A181" s="248"/>
      <c r="B181" s="248"/>
      <c r="C181" s="248"/>
      <c r="D181" s="248"/>
      <c r="E181" s="248"/>
      <c r="F181" s="248"/>
      <c r="G181" s="248"/>
      <c r="H181" s="248"/>
    </row>
    <row r="182" spans="1:8">
      <c r="A182" s="248"/>
      <c r="B182" s="248"/>
      <c r="C182" s="248"/>
      <c r="D182" s="248"/>
      <c r="E182" s="248"/>
      <c r="F182" s="248"/>
      <c r="G182" s="248"/>
      <c r="H182" s="248"/>
    </row>
    <row r="183" spans="1:8">
      <c r="A183" s="248"/>
      <c r="B183" s="248"/>
      <c r="C183" s="248"/>
      <c r="D183" s="248"/>
      <c r="E183" s="248"/>
      <c r="F183" s="248"/>
      <c r="G183" s="248"/>
      <c r="H183" s="248"/>
    </row>
    <row r="184" spans="1:8">
      <c r="A184" s="248"/>
      <c r="B184" s="248"/>
      <c r="C184" s="248"/>
      <c r="D184" s="248"/>
      <c r="E184" s="248"/>
      <c r="F184" s="248"/>
      <c r="G184" s="248"/>
      <c r="H184" s="248"/>
    </row>
    <row r="185" spans="1:8">
      <c r="A185" s="248"/>
      <c r="B185" s="248"/>
      <c r="C185" s="248"/>
      <c r="D185" s="248"/>
      <c r="E185" s="248"/>
      <c r="F185" s="248"/>
      <c r="G185" s="248"/>
      <c r="H185" s="248"/>
    </row>
    <row r="186" spans="1:8">
      <c r="A186" s="248"/>
      <c r="B186" s="248"/>
      <c r="C186" s="248"/>
      <c r="D186" s="248"/>
      <c r="E186" s="248"/>
      <c r="F186" s="248"/>
      <c r="G186" s="248"/>
      <c r="H186" s="248"/>
    </row>
    <row r="187" spans="1:8" ht="15.75">
      <c r="A187" s="250" t="s">
        <v>381</v>
      </c>
      <c r="B187" s="248"/>
      <c r="C187" s="248"/>
      <c r="D187" s="248"/>
      <c r="E187" s="248"/>
      <c r="F187" s="248"/>
      <c r="G187" s="248"/>
      <c r="H187" s="248"/>
    </row>
    <row r="188" spans="1:8">
      <c r="A188" s="248"/>
      <c r="B188" s="248"/>
      <c r="C188" s="248"/>
      <c r="D188" s="248"/>
      <c r="E188" s="248"/>
      <c r="F188" s="248"/>
      <c r="G188" s="248"/>
      <c r="H188" s="248"/>
    </row>
    <row r="189" spans="1:8">
      <c r="A189" s="249" t="s">
        <v>540</v>
      </c>
      <c r="B189" s="248"/>
      <c r="C189" s="248"/>
      <c r="D189" s="248"/>
      <c r="E189" s="248"/>
      <c r="F189" s="248"/>
      <c r="G189" s="248"/>
      <c r="H189" s="248"/>
    </row>
    <row r="190" spans="1:8">
      <c r="A190" s="249" t="s">
        <v>541</v>
      </c>
      <c r="B190" s="248"/>
      <c r="C190" s="248"/>
      <c r="D190" s="248"/>
      <c r="E190" s="248"/>
      <c r="F190" s="248"/>
      <c r="G190" s="248"/>
      <c r="H190" s="248"/>
    </row>
    <row r="191" spans="1:8">
      <c r="A191" s="249" t="s">
        <v>542</v>
      </c>
      <c r="B191" s="248"/>
      <c r="C191" s="248"/>
      <c r="D191" s="248"/>
      <c r="E191" s="248"/>
      <c r="F191" s="248"/>
      <c r="G191" s="248"/>
      <c r="H191" s="248"/>
    </row>
    <row r="192" spans="1:8">
      <c r="A192" s="249" t="s">
        <v>543</v>
      </c>
      <c r="B192" s="248"/>
      <c r="C192" s="248"/>
      <c r="D192" s="248"/>
      <c r="E192" s="248"/>
      <c r="F192" s="248"/>
      <c r="G192" s="248"/>
      <c r="H192" s="248"/>
    </row>
    <row r="193" spans="1:8">
      <c r="A193" s="249" t="s">
        <v>544</v>
      </c>
      <c r="B193" s="248"/>
      <c r="C193" s="248"/>
      <c r="D193" s="248"/>
      <c r="E193" s="248"/>
      <c r="F193" s="248"/>
      <c r="G193" s="248"/>
      <c r="H193" s="248"/>
    </row>
    <row r="194" spans="1:8">
      <c r="A194" s="248"/>
      <c r="B194" s="248"/>
      <c r="C194" s="248"/>
      <c r="D194" s="248"/>
      <c r="E194" s="248"/>
      <c r="F194" s="248"/>
      <c r="G194" s="248"/>
      <c r="H194" s="248"/>
    </row>
    <row r="195" spans="1:8">
      <c r="A195" s="249" t="s">
        <v>537</v>
      </c>
      <c r="B195" s="248"/>
      <c r="C195" s="248"/>
      <c r="D195" s="248"/>
      <c r="E195" s="248"/>
      <c r="F195" s="248"/>
      <c r="G195" s="248"/>
      <c r="H195" s="248"/>
    </row>
    <row r="196" spans="1:8">
      <c r="A196" s="249" t="s">
        <v>538</v>
      </c>
      <c r="B196" s="248"/>
      <c r="C196" s="248"/>
      <c r="D196" s="248"/>
      <c r="E196" s="248"/>
      <c r="F196" s="248"/>
      <c r="G196" s="248"/>
      <c r="H196" s="248"/>
    </row>
    <row r="197" spans="1:8">
      <c r="A197" s="249" t="s">
        <v>539</v>
      </c>
      <c r="B197" s="248"/>
      <c r="C197" s="248"/>
      <c r="D197" s="248"/>
      <c r="E197" s="248"/>
      <c r="F197" s="248"/>
      <c r="G197" s="248"/>
      <c r="H197" s="248"/>
    </row>
    <row r="198" spans="1:8" ht="15.75">
      <c r="A198" s="250" t="s">
        <v>382</v>
      </c>
      <c r="B198" s="248"/>
      <c r="C198" s="248"/>
      <c r="D198" s="248"/>
      <c r="E198" s="248"/>
      <c r="F198" s="248"/>
      <c r="G198" s="248"/>
      <c r="H198" s="248"/>
    </row>
    <row r="199" spans="1:8">
      <c r="A199" s="248"/>
      <c r="B199" s="248"/>
      <c r="C199" s="248"/>
      <c r="D199" s="248"/>
      <c r="E199" s="248"/>
      <c r="F199" s="248"/>
      <c r="G199" s="248"/>
      <c r="H199" s="248"/>
    </row>
    <row r="200" spans="1:8">
      <c r="A200" s="249" t="s">
        <v>530</v>
      </c>
      <c r="B200" s="248"/>
      <c r="C200" s="248"/>
      <c r="D200" s="248"/>
      <c r="E200" s="248"/>
      <c r="F200" s="248"/>
      <c r="G200" s="248"/>
      <c r="H200" s="248"/>
    </row>
    <row r="201" spans="1:8">
      <c r="A201" s="249" t="s">
        <v>531</v>
      </c>
      <c r="B201" s="248"/>
      <c r="C201" s="248"/>
      <c r="D201" s="248"/>
      <c r="E201" s="248"/>
      <c r="F201" s="248"/>
      <c r="G201" s="248"/>
      <c r="H201" s="248"/>
    </row>
    <row r="202" spans="1:8">
      <c r="A202" s="249" t="s">
        <v>532</v>
      </c>
      <c r="B202" s="248"/>
      <c r="C202" s="248"/>
      <c r="D202" s="248"/>
      <c r="E202" s="248"/>
      <c r="F202" s="248"/>
      <c r="G202" s="248"/>
      <c r="H202" s="248"/>
    </row>
    <row r="203" spans="1:8">
      <c r="A203" s="249" t="s">
        <v>533</v>
      </c>
      <c r="B203" s="248"/>
      <c r="C203" s="248"/>
      <c r="D203" s="248"/>
      <c r="E203" s="248"/>
      <c r="F203" s="248"/>
      <c r="G203" s="248"/>
      <c r="H203" s="248"/>
    </row>
    <row r="204" spans="1:8">
      <c r="A204" s="249" t="s">
        <v>534</v>
      </c>
      <c r="B204" s="248"/>
      <c r="C204" s="248"/>
      <c r="D204" s="248"/>
      <c r="E204" s="248"/>
      <c r="F204" s="248"/>
      <c r="G204" s="248"/>
      <c r="H204" s="248"/>
    </row>
    <row r="205" spans="1:8">
      <c r="A205" s="249" t="s">
        <v>535</v>
      </c>
      <c r="B205" s="248"/>
      <c r="C205" s="248"/>
      <c r="D205" s="248"/>
      <c r="E205" s="248"/>
      <c r="F205" s="248"/>
      <c r="G205" s="248"/>
      <c r="H205" s="248"/>
    </row>
    <row r="206" spans="1:8">
      <c r="A206" s="249" t="s">
        <v>536</v>
      </c>
      <c r="B206" s="248"/>
      <c r="C206" s="248"/>
      <c r="D206" s="248"/>
      <c r="E206" s="248"/>
      <c r="F206" s="248"/>
      <c r="G206" s="248"/>
      <c r="H206" s="248"/>
    </row>
    <row r="207" spans="1:8">
      <c r="A207" s="248"/>
      <c r="B207" s="248"/>
      <c r="C207" s="248"/>
      <c r="D207" s="248"/>
      <c r="E207" s="248"/>
      <c r="F207" s="248"/>
      <c r="G207" s="248"/>
      <c r="H207" s="248"/>
    </row>
    <row r="208" spans="1:8">
      <c r="A208" s="249" t="s">
        <v>527</v>
      </c>
      <c r="B208" s="248"/>
      <c r="C208" s="248"/>
      <c r="D208" s="248"/>
      <c r="E208" s="248"/>
      <c r="F208" s="248"/>
      <c r="G208" s="248"/>
      <c r="H208" s="248"/>
    </row>
    <row r="209" spans="1:8">
      <c r="A209" s="249" t="s">
        <v>528</v>
      </c>
      <c r="B209" s="248"/>
      <c r="C209" s="248"/>
      <c r="D209" s="248"/>
      <c r="E209" s="248"/>
      <c r="F209" s="248"/>
      <c r="G209" s="248"/>
      <c r="H209" s="248"/>
    </row>
    <row r="210" spans="1:8">
      <c r="A210" s="249" t="s">
        <v>529</v>
      </c>
      <c r="B210" s="248"/>
      <c r="C210" s="248"/>
      <c r="D210" s="248"/>
      <c r="E210" s="248"/>
      <c r="F210" s="248"/>
      <c r="G210" s="248"/>
      <c r="H210" s="248"/>
    </row>
    <row r="211" spans="1:8">
      <c r="A211" s="248"/>
      <c r="B211" s="248"/>
      <c r="C211" s="248"/>
      <c r="D211" s="248"/>
      <c r="E211" s="248"/>
      <c r="F211" s="248"/>
      <c r="G211" s="248"/>
      <c r="H211" s="248"/>
    </row>
    <row r="212" spans="1:8">
      <c r="A212" s="249" t="s">
        <v>522</v>
      </c>
      <c r="B212" s="248"/>
      <c r="C212" s="248"/>
      <c r="D212" s="248"/>
      <c r="E212" s="248"/>
      <c r="F212" s="248"/>
      <c r="G212" s="248"/>
      <c r="H212" s="248"/>
    </row>
    <row r="213" spans="1:8">
      <c r="A213" s="249" t="s">
        <v>523</v>
      </c>
      <c r="B213" s="248"/>
      <c r="C213" s="248"/>
      <c r="D213" s="248"/>
      <c r="E213" s="248"/>
      <c r="F213" s="248"/>
      <c r="G213" s="248"/>
      <c r="H213" s="248"/>
    </row>
    <row r="214" spans="1:8">
      <c r="A214" s="249" t="s">
        <v>524</v>
      </c>
      <c r="B214" s="248"/>
      <c r="C214" s="248"/>
      <c r="D214" s="248"/>
      <c r="E214" s="248"/>
      <c r="F214" s="248"/>
      <c r="G214" s="248"/>
      <c r="H214" s="248"/>
    </row>
    <row r="215" spans="1:8">
      <c r="A215" s="249" t="s">
        <v>525</v>
      </c>
      <c r="B215" s="248"/>
      <c r="C215" s="248"/>
      <c r="D215" s="248"/>
      <c r="E215" s="248"/>
      <c r="F215" s="248"/>
      <c r="G215" s="248"/>
      <c r="H215" s="248"/>
    </row>
    <row r="216" spans="1:8">
      <c r="A216" s="249" t="s">
        <v>526</v>
      </c>
      <c r="B216" s="248"/>
      <c r="C216" s="248"/>
      <c r="D216" s="248"/>
      <c r="E216" s="248"/>
      <c r="F216" s="248"/>
      <c r="G216" s="248"/>
      <c r="H216" s="248"/>
    </row>
    <row r="217" spans="1:8">
      <c r="A217" s="248"/>
      <c r="B217" s="248"/>
      <c r="C217" s="248"/>
      <c r="D217" s="248"/>
      <c r="E217" s="248"/>
      <c r="F217" s="248"/>
      <c r="G217" s="248"/>
      <c r="H217" s="248"/>
    </row>
    <row r="218" spans="1:8">
      <c r="A218" s="249" t="s">
        <v>516</v>
      </c>
      <c r="B218" s="248"/>
      <c r="C218" s="248"/>
      <c r="D218" s="248"/>
      <c r="E218" s="248"/>
      <c r="F218" s="248"/>
      <c r="G218" s="248"/>
      <c r="H218" s="248"/>
    </row>
    <row r="219" spans="1:8">
      <c r="A219" s="249" t="s">
        <v>517</v>
      </c>
      <c r="B219" s="248"/>
      <c r="C219" s="248"/>
      <c r="D219" s="248"/>
      <c r="E219" s="248"/>
      <c r="F219" s="248"/>
      <c r="G219" s="248"/>
      <c r="H219" s="248"/>
    </row>
    <row r="220" spans="1:8">
      <c r="A220" s="249" t="s">
        <v>518</v>
      </c>
      <c r="B220" s="248"/>
      <c r="C220" s="248"/>
      <c r="D220" s="248"/>
      <c r="E220" s="248"/>
      <c r="F220" s="248"/>
      <c r="G220" s="248"/>
      <c r="H220" s="248"/>
    </row>
    <row r="221" spans="1:8">
      <c r="A221" s="249" t="s">
        <v>519</v>
      </c>
      <c r="B221" s="248"/>
      <c r="C221" s="248"/>
      <c r="D221" s="248"/>
      <c r="E221" s="248"/>
      <c r="F221" s="248"/>
      <c r="G221" s="248"/>
      <c r="H221" s="248"/>
    </row>
    <row r="222" spans="1:8">
      <c r="A222" s="249" t="s">
        <v>520</v>
      </c>
      <c r="B222" s="248"/>
      <c r="C222" s="248"/>
      <c r="D222" s="248"/>
      <c r="E222" s="248"/>
      <c r="F222" s="248"/>
      <c r="G222" s="248"/>
      <c r="H222" s="248"/>
    </row>
    <row r="223" spans="1:8">
      <c r="A223" s="249" t="s">
        <v>521</v>
      </c>
      <c r="B223" s="248"/>
      <c r="C223" s="248"/>
      <c r="D223" s="248"/>
      <c r="E223" s="248"/>
      <c r="F223" s="248"/>
      <c r="G223" s="248"/>
      <c r="H223" s="248"/>
    </row>
    <row r="224" spans="1:8">
      <c r="A224" s="248"/>
      <c r="B224" s="248"/>
      <c r="C224" s="248"/>
      <c r="D224" s="248"/>
      <c r="E224" s="248"/>
      <c r="F224" s="248"/>
      <c r="G224" s="248"/>
      <c r="H224" s="248"/>
    </row>
    <row r="225" spans="1:8">
      <c r="A225" s="249" t="s">
        <v>506</v>
      </c>
      <c r="B225" s="248"/>
      <c r="C225" s="248"/>
      <c r="D225" s="248"/>
      <c r="E225" s="248"/>
      <c r="F225" s="248"/>
      <c r="G225" s="248"/>
      <c r="H225" s="248"/>
    </row>
    <row r="226" spans="1:8">
      <c r="A226" s="249" t="s">
        <v>507</v>
      </c>
      <c r="B226" s="248"/>
      <c r="C226" s="248"/>
      <c r="D226" s="248"/>
      <c r="E226" s="248"/>
      <c r="F226" s="248"/>
      <c r="G226" s="248"/>
      <c r="H226" s="248"/>
    </row>
    <row r="227" spans="1:8">
      <c r="A227" s="249" t="s">
        <v>508</v>
      </c>
      <c r="B227" s="248"/>
      <c r="C227" s="248"/>
      <c r="D227" s="248"/>
      <c r="E227" s="248"/>
      <c r="F227" s="248"/>
      <c r="G227" s="248"/>
      <c r="H227" s="248"/>
    </row>
    <row r="228" spans="1:8">
      <c r="A228" s="249" t="s">
        <v>509</v>
      </c>
      <c r="B228" s="248"/>
      <c r="C228" s="248"/>
      <c r="D228" s="248"/>
      <c r="E228" s="248"/>
      <c r="F228" s="248"/>
      <c r="G228" s="248"/>
      <c r="H228" s="248"/>
    </row>
    <row r="229" spans="1:8">
      <c r="A229" s="249" t="s">
        <v>510</v>
      </c>
      <c r="B229" s="248"/>
      <c r="C229" s="248"/>
      <c r="D229" s="248"/>
      <c r="E229" s="248"/>
      <c r="F229" s="248"/>
      <c r="G229" s="248"/>
      <c r="H229" s="248"/>
    </row>
    <row r="230" spans="1:8">
      <c r="A230" s="249" t="s">
        <v>511</v>
      </c>
      <c r="B230" s="248"/>
      <c r="C230" s="248"/>
      <c r="D230" s="248"/>
      <c r="E230" s="248"/>
      <c r="F230" s="248"/>
      <c r="G230" s="248"/>
      <c r="H230" s="248"/>
    </row>
    <row r="231" spans="1:8">
      <c r="A231" s="249" t="s">
        <v>512</v>
      </c>
      <c r="B231" s="248"/>
      <c r="C231" s="248"/>
      <c r="D231" s="248"/>
      <c r="E231" s="248"/>
      <c r="F231" s="248"/>
      <c r="G231" s="248"/>
      <c r="H231" s="248"/>
    </row>
    <row r="232" spans="1:8">
      <c r="A232" s="249" t="s">
        <v>513</v>
      </c>
      <c r="B232" s="248"/>
      <c r="C232" s="248"/>
      <c r="D232" s="248"/>
      <c r="E232" s="248"/>
      <c r="F232" s="248"/>
      <c r="G232" s="248"/>
      <c r="H232" s="248"/>
    </row>
    <row r="233" spans="1:8">
      <c r="A233" s="249" t="s">
        <v>514</v>
      </c>
      <c r="B233" s="248"/>
      <c r="C233" s="248"/>
      <c r="D233" s="248"/>
      <c r="E233" s="248"/>
      <c r="F233" s="248"/>
      <c r="G233" s="248"/>
      <c r="H233" s="248"/>
    </row>
    <row r="234" spans="1:8">
      <c r="A234" s="249" t="s">
        <v>515</v>
      </c>
      <c r="B234" s="248"/>
      <c r="C234" s="248"/>
      <c r="D234" s="248"/>
      <c r="E234" s="248"/>
      <c r="F234" s="248"/>
      <c r="G234" s="248"/>
      <c r="H234" s="248"/>
    </row>
    <row r="235" spans="1:8">
      <c r="A235" s="248"/>
      <c r="B235" s="248"/>
      <c r="C235" s="248"/>
      <c r="D235" s="248"/>
      <c r="E235" s="248"/>
      <c r="F235" s="248"/>
      <c r="G235" s="248"/>
      <c r="H235" s="248"/>
    </row>
    <row r="236" spans="1:8">
      <c r="A236" s="249" t="s">
        <v>504</v>
      </c>
      <c r="B236" s="248"/>
      <c r="C236" s="248"/>
      <c r="D236" s="248"/>
      <c r="E236" s="248"/>
      <c r="F236" s="248"/>
      <c r="G236" s="248"/>
      <c r="H236" s="248"/>
    </row>
    <row r="237" spans="1:8">
      <c r="A237" s="249" t="s">
        <v>505</v>
      </c>
      <c r="B237" s="248"/>
      <c r="C237" s="248"/>
      <c r="D237" s="248"/>
      <c r="E237" s="248"/>
      <c r="F237" s="248"/>
      <c r="G237" s="248"/>
      <c r="H237" s="248"/>
    </row>
    <row r="238" spans="1:8">
      <c r="A238" s="248"/>
      <c r="B238" s="248"/>
      <c r="C238" s="248"/>
      <c r="D238" s="248"/>
      <c r="E238" s="248"/>
      <c r="F238" s="248"/>
      <c r="G238" s="248"/>
      <c r="H238" s="248"/>
    </row>
    <row r="239" spans="1:8">
      <c r="A239" s="249" t="s">
        <v>488</v>
      </c>
      <c r="B239" s="248"/>
      <c r="C239" s="248"/>
      <c r="D239" s="248"/>
      <c r="E239" s="248"/>
      <c r="F239" s="248"/>
      <c r="G239" s="248"/>
      <c r="H239" s="248"/>
    </row>
    <row r="240" spans="1:8">
      <c r="A240" s="249" t="s">
        <v>489</v>
      </c>
      <c r="B240" s="248"/>
      <c r="C240" s="248"/>
      <c r="D240" s="248"/>
      <c r="E240" s="248"/>
      <c r="F240" s="248"/>
      <c r="G240" s="248"/>
      <c r="H240" s="248"/>
    </row>
    <row r="241" spans="1:8">
      <c r="A241" s="249" t="s">
        <v>490</v>
      </c>
      <c r="B241" s="248"/>
      <c r="C241" s="248"/>
      <c r="D241" s="248"/>
      <c r="E241" s="248"/>
      <c r="F241" s="248"/>
      <c r="G241" s="248"/>
      <c r="H241" s="248"/>
    </row>
    <row r="242" spans="1:8">
      <c r="A242" s="249" t="s">
        <v>491</v>
      </c>
      <c r="B242" s="248"/>
      <c r="C242" s="248"/>
      <c r="D242" s="248"/>
      <c r="E242" s="248"/>
      <c r="F242" s="248"/>
      <c r="G242" s="248"/>
      <c r="H242" s="248"/>
    </row>
    <row r="243" spans="1:8">
      <c r="A243" s="249" t="s">
        <v>492</v>
      </c>
      <c r="B243" s="248"/>
      <c r="C243" s="248"/>
      <c r="D243" s="248"/>
      <c r="E243" s="248"/>
      <c r="F243" s="248"/>
      <c r="G243" s="248"/>
      <c r="H243" s="248"/>
    </row>
    <row r="244" spans="1:8">
      <c r="A244" s="249" t="s">
        <v>493</v>
      </c>
      <c r="B244" s="248"/>
      <c r="C244" s="248"/>
      <c r="D244" s="248"/>
      <c r="E244" s="248"/>
      <c r="F244" s="248"/>
      <c r="G244" s="248"/>
      <c r="H244" s="248"/>
    </row>
    <row r="245" spans="1:8">
      <c r="A245" s="249" t="s">
        <v>494</v>
      </c>
      <c r="B245" s="248"/>
      <c r="C245" s="248"/>
      <c r="D245" s="248"/>
      <c r="E245" s="248"/>
      <c r="F245" s="248"/>
      <c r="G245" s="248"/>
      <c r="H245" s="248"/>
    </row>
    <row r="246" spans="1:8">
      <c r="A246" s="249" t="s">
        <v>495</v>
      </c>
      <c r="B246" s="248"/>
      <c r="C246" s="248"/>
      <c r="D246" s="248"/>
      <c r="E246" s="248"/>
      <c r="F246" s="248"/>
      <c r="G246" s="248"/>
      <c r="H246" s="248"/>
    </row>
    <row r="247" spans="1:8">
      <c r="A247" s="249" t="s">
        <v>496</v>
      </c>
      <c r="B247" s="248"/>
      <c r="C247" s="248"/>
      <c r="D247" s="248"/>
      <c r="E247" s="248"/>
      <c r="F247" s="248"/>
      <c r="G247" s="248"/>
      <c r="H247" s="248"/>
    </row>
    <row r="248" spans="1:8">
      <c r="A248" s="249" t="s">
        <v>497</v>
      </c>
      <c r="B248" s="248"/>
      <c r="C248" s="248"/>
      <c r="D248" s="248"/>
      <c r="E248" s="248"/>
      <c r="F248" s="248"/>
      <c r="G248" s="248"/>
      <c r="H248" s="248"/>
    </row>
    <row r="249" spans="1:8">
      <c r="A249" s="249" t="s">
        <v>498</v>
      </c>
      <c r="B249" s="248"/>
      <c r="C249" s="248"/>
      <c r="D249" s="248"/>
      <c r="E249" s="248"/>
      <c r="F249" s="248"/>
      <c r="G249" s="248"/>
      <c r="H249" s="248"/>
    </row>
    <row r="250" spans="1:8">
      <c r="A250" s="249" t="s">
        <v>499</v>
      </c>
      <c r="B250" s="248"/>
      <c r="C250" s="248"/>
      <c r="D250" s="248"/>
      <c r="E250" s="248"/>
      <c r="F250" s="248"/>
      <c r="G250" s="248"/>
      <c r="H250" s="248"/>
    </row>
    <row r="251" spans="1:8">
      <c r="A251" s="249" t="s">
        <v>500</v>
      </c>
      <c r="B251" s="248"/>
      <c r="C251" s="248"/>
      <c r="D251" s="248"/>
      <c r="E251" s="248"/>
      <c r="F251" s="248"/>
      <c r="G251" s="248"/>
      <c r="H251" s="248"/>
    </row>
    <row r="252" spans="1:8">
      <c r="A252" s="249" t="s">
        <v>501</v>
      </c>
      <c r="B252" s="248"/>
      <c r="C252" s="248"/>
      <c r="D252" s="248"/>
      <c r="E252" s="248"/>
      <c r="F252" s="248"/>
      <c r="G252" s="248"/>
      <c r="H252" s="248"/>
    </row>
    <row r="253" spans="1:8">
      <c r="A253" s="249" t="s">
        <v>502</v>
      </c>
      <c r="B253" s="248"/>
      <c r="C253" s="248"/>
      <c r="D253" s="248"/>
      <c r="E253" s="248"/>
      <c r="F253" s="248"/>
      <c r="G253" s="248"/>
      <c r="H253" s="248"/>
    </row>
    <row r="254" spans="1:8">
      <c r="A254" s="249" t="s">
        <v>503</v>
      </c>
      <c r="B254" s="248"/>
      <c r="C254" s="248"/>
      <c r="D254" s="248"/>
      <c r="E254" s="248"/>
      <c r="F254" s="248"/>
      <c r="G254" s="248"/>
      <c r="H254" s="248"/>
    </row>
    <row r="255" spans="1:8">
      <c r="A255" s="248"/>
      <c r="B255" s="248"/>
      <c r="C255" s="248"/>
      <c r="D255" s="248"/>
      <c r="E255" s="248"/>
      <c r="F255" s="248"/>
      <c r="G255" s="248"/>
      <c r="H255" s="248"/>
    </row>
    <row r="256" spans="1:8">
      <c r="A256" s="249" t="s">
        <v>481</v>
      </c>
      <c r="B256" s="248"/>
      <c r="C256" s="248"/>
      <c r="D256" s="248"/>
      <c r="E256" s="248"/>
      <c r="F256" s="248"/>
      <c r="G256" s="248"/>
      <c r="H256" s="248"/>
    </row>
    <row r="257" spans="1:8">
      <c r="A257" s="249" t="s">
        <v>482</v>
      </c>
      <c r="B257" s="248"/>
      <c r="C257" s="248"/>
      <c r="D257" s="248"/>
      <c r="E257" s="248"/>
      <c r="F257" s="248"/>
      <c r="G257" s="248"/>
      <c r="H257" s="248"/>
    </row>
    <row r="258" spans="1:8">
      <c r="A258" s="249" t="s">
        <v>483</v>
      </c>
      <c r="B258" s="248"/>
      <c r="C258" s="248"/>
      <c r="D258" s="248"/>
      <c r="E258" s="248"/>
      <c r="F258" s="248"/>
      <c r="G258" s="248"/>
      <c r="H258" s="248"/>
    </row>
    <row r="259" spans="1:8">
      <c r="A259" s="249" t="s">
        <v>484</v>
      </c>
      <c r="B259" s="248"/>
      <c r="C259" s="248"/>
      <c r="D259" s="248"/>
      <c r="E259" s="248"/>
      <c r="F259" s="248"/>
      <c r="G259" s="248"/>
      <c r="H259" s="248"/>
    </row>
    <row r="260" spans="1:8">
      <c r="A260" s="249" t="s">
        <v>485</v>
      </c>
      <c r="B260" s="248"/>
      <c r="C260" s="248"/>
      <c r="D260" s="248"/>
      <c r="E260" s="248"/>
      <c r="F260" s="248"/>
      <c r="G260" s="248"/>
      <c r="H260" s="248"/>
    </row>
    <row r="261" spans="1:8">
      <c r="A261" s="249" t="s">
        <v>486</v>
      </c>
      <c r="B261" s="248"/>
      <c r="C261" s="248"/>
      <c r="D261" s="248"/>
      <c r="E261" s="248"/>
      <c r="F261" s="248"/>
      <c r="G261" s="248"/>
      <c r="H261" s="248"/>
    </row>
    <row r="262" spans="1:8">
      <c r="A262" s="249" t="s">
        <v>487</v>
      </c>
      <c r="B262" s="248"/>
      <c r="C262" s="248"/>
      <c r="D262" s="248"/>
      <c r="E262" s="248"/>
      <c r="F262" s="248"/>
      <c r="G262" s="248"/>
      <c r="H262" s="248"/>
    </row>
    <row r="263" spans="1:8">
      <c r="A263" s="248"/>
      <c r="B263" s="248"/>
      <c r="C263" s="248"/>
      <c r="D263" s="248"/>
      <c r="E263" s="248"/>
      <c r="F263" s="248"/>
      <c r="G263" s="248"/>
      <c r="H263" s="248"/>
    </row>
    <row r="264" spans="1:8">
      <c r="A264" s="249" t="s">
        <v>472</v>
      </c>
      <c r="B264" s="248"/>
      <c r="C264" s="248"/>
      <c r="D264" s="248"/>
      <c r="E264" s="248"/>
      <c r="F264" s="248"/>
      <c r="G264" s="248"/>
      <c r="H264" s="248"/>
    </row>
    <row r="265" spans="1:8">
      <c r="A265" s="249" t="s">
        <v>473</v>
      </c>
      <c r="B265" s="248"/>
      <c r="C265" s="248"/>
      <c r="D265" s="248"/>
      <c r="E265" s="248"/>
      <c r="F265" s="248"/>
      <c r="G265" s="248"/>
      <c r="H265" s="248"/>
    </row>
    <row r="266" spans="1:8">
      <c r="A266" s="249" t="s">
        <v>474</v>
      </c>
      <c r="B266" s="248"/>
      <c r="C266" s="248"/>
      <c r="D266" s="248"/>
      <c r="E266" s="248"/>
      <c r="F266" s="248"/>
      <c r="G266" s="248"/>
      <c r="H266" s="248"/>
    </row>
    <row r="267" spans="1:8">
      <c r="A267" s="249" t="s">
        <v>475</v>
      </c>
      <c r="B267" s="248"/>
      <c r="C267" s="248"/>
      <c r="D267" s="248"/>
      <c r="E267" s="248"/>
      <c r="F267" s="248"/>
      <c r="G267" s="248"/>
      <c r="H267" s="248"/>
    </row>
    <row r="268" spans="1:8">
      <c r="A268" s="249" t="s">
        <v>476</v>
      </c>
      <c r="B268" s="248"/>
      <c r="C268" s="248"/>
      <c r="D268" s="248"/>
      <c r="E268" s="248"/>
      <c r="F268" s="248"/>
      <c r="G268" s="248"/>
      <c r="H268" s="248"/>
    </row>
    <row r="269" spans="1:8">
      <c r="A269" s="249" t="s">
        <v>477</v>
      </c>
      <c r="B269" s="248"/>
      <c r="C269" s="248"/>
      <c r="D269" s="248"/>
      <c r="E269" s="248"/>
      <c r="F269" s="248"/>
      <c r="G269" s="248"/>
      <c r="H269" s="248"/>
    </row>
    <row r="270" spans="1:8">
      <c r="A270" s="249" t="s">
        <v>478</v>
      </c>
      <c r="B270" s="248"/>
      <c r="C270" s="248"/>
      <c r="D270" s="248"/>
      <c r="E270" s="248"/>
      <c r="F270" s="248"/>
      <c r="G270" s="248"/>
      <c r="H270" s="248"/>
    </row>
    <row r="271" spans="1:8">
      <c r="A271" s="249" t="s">
        <v>479</v>
      </c>
      <c r="B271" s="248"/>
      <c r="C271" s="248"/>
      <c r="D271" s="248"/>
      <c r="E271" s="248"/>
      <c r="F271" s="248"/>
      <c r="G271" s="248"/>
      <c r="H271" s="248"/>
    </row>
    <row r="272" spans="1:8">
      <c r="A272" s="249" t="s">
        <v>480</v>
      </c>
      <c r="B272" s="248"/>
      <c r="C272" s="248"/>
      <c r="D272" s="248"/>
      <c r="E272" s="248"/>
      <c r="F272" s="248"/>
      <c r="G272" s="248"/>
      <c r="H272" s="248"/>
    </row>
    <row r="273" spans="1:8">
      <c r="A273" s="248"/>
      <c r="B273" s="248"/>
      <c r="C273" s="248"/>
      <c r="D273" s="248"/>
      <c r="E273" s="248"/>
      <c r="F273" s="248"/>
      <c r="G273" s="248"/>
      <c r="H273" s="248"/>
    </row>
    <row r="274" spans="1:8">
      <c r="A274" s="249" t="s">
        <v>465</v>
      </c>
      <c r="B274" s="248"/>
      <c r="C274" s="248"/>
      <c r="D274" s="248"/>
      <c r="E274" s="248"/>
      <c r="F274" s="248"/>
      <c r="G274" s="248"/>
      <c r="H274" s="248"/>
    </row>
    <row r="275" spans="1:8">
      <c r="A275" s="249" t="s">
        <v>466</v>
      </c>
      <c r="B275" s="248"/>
      <c r="C275" s="248"/>
      <c r="D275" s="248"/>
      <c r="E275" s="248"/>
      <c r="F275" s="248"/>
      <c r="G275" s="248"/>
      <c r="H275" s="248"/>
    </row>
    <row r="276" spans="1:8">
      <c r="A276" s="249" t="s">
        <v>467</v>
      </c>
      <c r="B276" s="248"/>
      <c r="C276" s="248"/>
      <c r="D276" s="248"/>
      <c r="E276" s="248"/>
      <c r="F276" s="248"/>
      <c r="G276" s="248"/>
      <c r="H276" s="248"/>
    </row>
    <row r="277" spans="1:8">
      <c r="A277" s="249" t="s">
        <v>468</v>
      </c>
      <c r="B277" s="248"/>
      <c r="C277" s="248"/>
      <c r="D277" s="248"/>
      <c r="E277" s="248"/>
      <c r="F277" s="248"/>
      <c r="G277" s="248"/>
      <c r="H277" s="248"/>
    </row>
    <row r="278" spans="1:8">
      <c r="A278" s="249" t="s">
        <v>469</v>
      </c>
      <c r="B278" s="248"/>
      <c r="C278" s="248"/>
      <c r="D278" s="248"/>
      <c r="E278" s="248"/>
      <c r="F278" s="248"/>
      <c r="G278" s="248"/>
      <c r="H278" s="248"/>
    </row>
    <row r="279" spans="1:8">
      <c r="A279" s="249" t="s">
        <v>470</v>
      </c>
      <c r="B279" s="248"/>
      <c r="C279" s="248"/>
      <c r="D279" s="248"/>
      <c r="E279" s="248"/>
      <c r="F279" s="248"/>
      <c r="G279" s="248"/>
      <c r="H279" s="248"/>
    </row>
    <row r="280" spans="1:8">
      <c r="A280" s="249" t="s">
        <v>471</v>
      </c>
      <c r="B280" s="248"/>
      <c r="C280" s="248"/>
      <c r="D280" s="248"/>
      <c r="E280" s="248"/>
      <c r="F280" s="248"/>
      <c r="G280" s="248"/>
      <c r="H280" s="248"/>
    </row>
    <row r="281" spans="1:8">
      <c r="A281" s="248"/>
      <c r="B281" s="248"/>
      <c r="C281" s="248"/>
      <c r="D281" s="248"/>
      <c r="E281" s="248"/>
      <c r="F281" s="248"/>
      <c r="G281" s="248"/>
      <c r="H281" s="248"/>
    </row>
    <row r="282" spans="1:8">
      <c r="A282" s="249" t="s">
        <v>462</v>
      </c>
      <c r="B282" s="248"/>
      <c r="C282" s="248"/>
      <c r="D282" s="248"/>
      <c r="E282" s="248"/>
      <c r="F282" s="248"/>
      <c r="G282" s="248"/>
      <c r="H282" s="248"/>
    </row>
    <row r="283" spans="1:8">
      <c r="A283" s="249" t="s">
        <v>463</v>
      </c>
      <c r="B283" s="248"/>
      <c r="C283" s="248"/>
      <c r="D283" s="248"/>
      <c r="E283" s="248"/>
      <c r="F283" s="248"/>
      <c r="G283" s="248"/>
      <c r="H283" s="248"/>
    </row>
    <row r="284" spans="1:8">
      <c r="A284" s="249" t="s">
        <v>464</v>
      </c>
      <c r="B284" s="248"/>
      <c r="C284" s="248"/>
      <c r="D284" s="248"/>
      <c r="E284" s="248"/>
      <c r="F284" s="248"/>
      <c r="G284" s="248"/>
      <c r="H284" s="248"/>
    </row>
    <row r="285" spans="1:8">
      <c r="A285" s="248"/>
      <c r="B285" s="248"/>
      <c r="C285" s="248"/>
      <c r="D285" s="248"/>
      <c r="E285" s="248"/>
      <c r="F285" s="248"/>
      <c r="G285" s="248"/>
      <c r="H285" s="248"/>
    </row>
    <row r="286" spans="1:8">
      <c r="A286" s="249" t="s">
        <v>460</v>
      </c>
      <c r="B286" s="248"/>
      <c r="C286" s="248"/>
      <c r="D286" s="248"/>
      <c r="E286" s="248"/>
      <c r="F286" s="248"/>
      <c r="G286" s="248"/>
      <c r="H286" s="248"/>
    </row>
    <row r="287" spans="1:8">
      <c r="A287" s="249" t="s">
        <v>461</v>
      </c>
      <c r="B287" s="248"/>
      <c r="C287" s="248"/>
      <c r="D287" s="248"/>
      <c r="E287" s="248"/>
      <c r="F287" s="248"/>
      <c r="G287" s="248"/>
      <c r="H287" s="248"/>
    </row>
    <row r="288" spans="1:8">
      <c r="A288" s="248"/>
      <c r="B288" s="248"/>
      <c r="C288" s="248"/>
      <c r="D288" s="248"/>
      <c r="E288" s="248"/>
      <c r="F288" s="248"/>
      <c r="G288" s="248"/>
      <c r="H288" s="248"/>
    </row>
    <row r="289" spans="1:8">
      <c r="A289" s="249" t="s">
        <v>447</v>
      </c>
      <c r="B289" s="248"/>
      <c r="C289" s="248"/>
      <c r="D289" s="248"/>
      <c r="E289" s="248"/>
      <c r="F289" s="248"/>
      <c r="G289" s="248"/>
      <c r="H289" s="248"/>
    </row>
    <row r="290" spans="1:8">
      <c r="A290" s="249" t="s">
        <v>448</v>
      </c>
      <c r="B290" s="248"/>
      <c r="C290" s="248"/>
      <c r="D290" s="248"/>
      <c r="E290" s="248"/>
      <c r="F290" s="248"/>
      <c r="G290" s="248"/>
      <c r="H290" s="248"/>
    </row>
    <row r="291" spans="1:8">
      <c r="A291" s="249" t="s">
        <v>449</v>
      </c>
      <c r="B291" s="248"/>
      <c r="C291" s="248"/>
      <c r="D291" s="248"/>
      <c r="E291" s="248"/>
      <c r="F291" s="248"/>
      <c r="G291" s="248"/>
      <c r="H291" s="248"/>
    </row>
    <row r="292" spans="1:8">
      <c r="A292" s="249" t="s">
        <v>450</v>
      </c>
      <c r="B292" s="248"/>
      <c r="C292" s="248"/>
      <c r="D292" s="248"/>
      <c r="E292" s="248"/>
      <c r="F292" s="248"/>
      <c r="G292" s="248"/>
      <c r="H292" s="248"/>
    </row>
    <row r="293" spans="1:8">
      <c r="A293" s="249" t="s">
        <v>451</v>
      </c>
      <c r="B293" s="248"/>
      <c r="C293" s="248"/>
      <c r="D293" s="248"/>
      <c r="E293" s="248"/>
      <c r="F293" s="248"/>
      <c r="G293" s="248"/>
      <c r="H293" s="248"/>
    </row>
    <row r="294" spans="1:8">
      <c r="A294" s="249" t="s">
        <v>452</v>
      </c>
      <c r="B294" s="248"/>
      <c r="C294" s="248"/>
      <c r="D294" s="248"/>
      <c r="E294" s="248"/>
      <c r="F294" s="248"/>
      <c r="G294" s="248"/>
      <c r="H294" s="248"/>
    </row>
    <row r="295" spans="1:8">
      <c r="A295" s="249" t="s">
        <v>453</v>
      </c>
      <c r="B295" s="248"/>
      <c r="C295" s="248"/>
      <c r="D295" s="248"/>
      <c r="E295" s="248"/>
      <c r="F295" s="248"/>
      <c r="G295" s="248"/>
      <c r="H295" s="248"/>
    </row>
    <row r="296" spans="1:8">
      <c r="A296" s="249" t="s">
        <v>454</v>
      </c>
      <c r="B296" s="248"/>
      <c r="C296" s="248"/>
      <c r="D296" s="248"/>
      <c r="E296" s="248"/>
      <c r="F296" s="248"/>
      <c r="G296" s="248"/>
      <c r="H296" s="248"/>
    </row>
    <row r="297" spans="1:8">
      <c r="A297" s="249" t="s">
        <v>455</v>
      </c>
      <c r="B297" s="248"/>
      <c r="C297" s="248"/>
      <c r="D297" s="248"/>
      <c r="E297" s="248"/>
      <c r="F297" s="248"/>
      <c r="G297" s="248"/>
      <c r="H297" s="248"/>
    </row>
    <row r="298" spans="1:8">
      <c r="A298" s="249" t="s">
        <v>456</v>
      </c>
      <c r="B298" s="248"/>
      <c r="C298" s="248"/>
      <c r="D298" s="248"/>
      <c r="E298" s="248"/>
      <c r="F298" s="248"/>
      <c r="G298" s="248"/>
      <c r="H298" s="248"/>
    </row>
    <row r="299" spans="1:8">
      <c r="A299" s="249" t="s">
        <v>457</v>
      </c>
      <c r="B299" s="248"/>
      <c r="C299" s="248"/>
      <c r="D299" s="248"/>
      <c r="E299" s="248"/>
      <c r="F299" s="248"/>
      <c r="G299" s="248"/>
      <c r="H299" s="248"/>
    </row>
    <row r="300" spans="1:8">
      <c r="A300" s="249" t="s">
        <v>458</v>
      </c>
      <c r="B300" s="248"/>
      <c r="C300" s="248"/>
      <c r="D300" s="248"/>
      <c r="E300" s="248"/>
      <c r="F300" s="248"/>
      <c r="G300" s="248"/>
      <c r="H300" s="248"/>
    </row>
    <row r="301" spans="1:8">
      <c r="A301" s="249" t="s">
        <v>459</v>
      </c>
      <c r="B301" s="248"/>
      <c r="C301" s="248"/>
      <c r="D301" s="248"/>
      <c r="E301" s="248"/>
      <c r="F301" s="248"/>
      <c r="G301" s="248"/>
      <c r="H301" s="248"/>
    </row>
    <row r="302" spans="1:8">
      <c r="A302" s="248"/>
      <c r="B302" s="248"/>
      <c r="C302" s="248"/>
      <c r="D302" s="248"/>
      <c r="E302" s="248"/>
      <c r="F302" s="248"/>
      <c r="G302" s="248"/>
      <c r="H302" s="248"/>
    </row>
    <row r="303" spans="1:8">
      <c r="A303" s="249" t="s">
        <v>439</v>
      </c>
      <c r="B303" s="248"/>
      <c r="C303" s="248"/>
      <c r="D303" s="248"/>
      <c r="E303" s="248"/>
      <c r="F303" s="248"/>
      <c r="G303" s="248"/>
      <c r="H303" s="248"/>
    </row>
    <row r="304" spans="1:8">
      <c r="A304" s="249" t="s">
        <v>440</v>
      </c>
      <c r="B304" s="248"/>
      <c r="C304" s="248"/>
      <c r="D304" s="248"/>
      <c r="E304" s="248"/>
      <c r="F304" s="248"/>
      <c r="G304" s="248"/>
      <c r="H304" s="248"/>
    </row>
    <row r="305" spans="1:8">
      <c r="A305" s="249" t="s">
        <v>441</v>
      </c>
      <c r="B305" s="248"/>
      <c r="C305" s="248"/>
      <c r="D305" s="248"/>
      <c r="E305" s="248"/>
      <c r="F305" s="248"/>
      <c r="G305" s="248"/>
      <c r="H305" s="248"/>
    </row>
    <row r="306" spans="1:8">
      <c r="A306" s="249" t="s">
        <v>442</v>
      </c>
      <c r="B306" s="248"/>
      <c r="C306" s="248"/>
      <c r="D306" s="248"/>
      <c r="E306" s="248"/>
      <c r="F306" s="248"/>
      <c r="G306" s="248"/>
      <c r="H306" s="248"/>
    </row>
    <row r="307" spans="1:8">
      <c r="A307" s="249" t="s">
        <v>443</v>
      </c>
      <c r="B307" s="248"/>
      <c r="C307" s="248"/>
      <c r="D307" s="248"/>
      <c r="E307" s="248"/>
      <c r="F307" s="248"/>
      <c r="G307" s="248"/>
      <c r="H307" s="248"/>
    </row>
    <row r="308" spans="1:8">
      <c r="A308" s="249" t="s">
        <v>444</v>
      </c>
      <c r="B308" s="248"/>
      <c r="C308" s="248"/>
      <c r="D308" s="248"/>
      <c r="E308" s="248"/>
      <c r="F308" s="248"/>
      <c r="G308" s="248"/>
      <c r="H308" s="248"/>
    </row>
    <row r="309" spans="1:8">
      <c r="A309" s="249" t="s">
        <v>445</v>
      </c>
      <c r="B309" s="248"/>
      <c r="C309" s="248"/>
      <c r="D309" s="248"/>
      <c r="E309" s="248"/>
      <c r="F309" s="248"/>
      <c r="G309" s="248"/>
      <c r="H309" s="248"/>
    </row>
    <row r="310" spans="1:8">
      <c r="A310" s="249" t="s">
        <v>446</v>
      </c>
      <c r="B310" s="248"/>
      <c r="C310" s="248"/>
      <c r="D310" s="248"/>
      <c r="E310" s="248"/>
      <c r="F310" s="248"/>
      <c r="G310" s="248"/>
      <c r="H310" s="248"/>
    </row>
    <row r="311" spans="1:8">
      <c r="A311" s="248"/>
      <c r="B311" s="248"/>
      <c r="C311" s="248"/>
      <c r="D311" s="248"/>
      <c r="E311" s="248"/>
      <c r="F311" s="248"/>
      <c r="G311" s="248"/>
      <c r="H311" s="248"/>
    </row>
    <row r="312" spans="1:8">
      <c r="A312" s="249" t="s">
        <v>404</v>
      </c>
      <c r="B312" s="248"/>
      <c r="C312" s="248"/>
      <c r="D312" s="248"/>
      <c r="E312" s="248"/>
      <c r="F312" s="248"/>
      <c r="G312" s="248"/>
      <c r="H312" s="248"/>
    </row>
    <row r="313" spans="1:8">
      <c r="A313" s="249" t="s">
        <v>405</v>
      </c>
      <c r="B313" s="248"/>
      <c r="C313" s="248"/>
      <c r="D313" s="248"/>
      <c r="E313" s="248"/>
      <c r="F313" s="248"/>
      <c r="G313" s="248"/>
      <c r="H313" s="248"/>
    </row>
    <row r="314" spans="1:8">
      <c r="A314" s="249" t="s">
        <v>406</v>
      </c>
      <c r="B314" s="248"/>
      <c r="C314" s="248"/>
      <c r="D314" s="248"/>
      <c r="E314" s="248"/>
      <c r="F314" s="248"/>
      <c r="G314" s="248"/>
      <c r="H314" s="248"/>
    </row>
    <row r="315" spans="1:8">
      <c r="A315" s="249" t="s">
        <v>407</v>
      </c>
      <c r="B315" s="248"/>
      <c r="C315" s="248"/>
      <c r="D315" s="248"/>
      <c r="E315" s="248"/>
      <c r="F315" s="248"/>
      <c r="G315" s="248"/>
      <c r="H315" s="248"/>
    </row>
    <row r="316" spans="1:8">
      <c r="A316" s="249" t="s">
        <v>408</v>
      </c>
      <c r="B316" s="248"/>
      <c r="C316" s="248"/>
      <c r="D316" s="248"/>
      <c r="E316" s="248"/>
      <c r="F316" s="248"/>
      <c r="G316" s="248"/>
      <c r="H316" s="248"/>
    </row>
    <row r="317" spans="1:8">
      <c r="A317" s="249" t="s">
        <v>409</v>
      </c>
      <c r="B317" s="248"/>
      <c r="C317" s="248"/>
      <c r="D317" s="248"/>
      <c r="E317" s="248"/>
      <c r="F317" s="248"/>
      <c r="G317" s="248"/>
      <c r="H317" s="248"/>
    </row>
    <row r="318" spans="1:8">
      <c r="A318" s="249" t="s">
        <v>410</v>
      </c>
      <c r="B318" s="248"/>
      <c r="C318" s="248"/>
      <c r="D318" s="248"/>
      <c r="E318" s="248"/>
      <c r="F318" s="248"/>
      <c r="G318" s="248"/>
      <c r="H318" s="248"/>
    </row>
    <row r="319" spans="1:8">
      <c r="A319" s="249" t="s">
        <v>411</v>
      </c>
      <c r="B319" s="248"/>
      <c r="C319" s="248"/>
      <c r="D319" s="248"/>
      <c r="E319" s="248"/>
      <c r="F319" s="248"/>
      <c r="G319" s="248"/>
      <c r="H319" s="248"/>
    </row>
    <row r="320" spans="1:8">
      <c r="A320" s="249" t="s">
        <v>412</v>
      </c>
      <c r="B320" s="248"/>
      <c r="C320" s="248"/>
      <c r="D320" s="248"/>
      <c r="E320" s="248"/>
      <c r="F320" s="248"/>
      <c r="G320" s="248"/>
      <c r="H320" s="248"/>
    </row>
    <row r="321" spans="1:8">
      <c r="A321" s="249" t="s">
        <v>413</v>
      </c>
      <c r="B321" s="248"/>
      <c r="C321" s="248"/>
      <c r="D321" s="248"/>
      <c r="E321" s="248"/>
      <c r="F321" s="248"/>
      <c r="G321" s="248"/>
      <c r="H321" s="248"/>
    </row>
    <row r="322" spans="1:8">
      <c r="A322" s="249" t="s">
        <v>414</v>
      </c>
      <c r="B322" s="248"/>
      <c r="C322" s="248"/>
      <c r="D322" s="248"/>
      <c r="E322" s="248"/>
      <c r="F322" s="248"/>
      <c r="G322" s="248"/>
      <c r="H322" s="248"/>
    </row>
    <row r="323" spans="1:8">
      <c r="A323" s="249" t="s">
        <v>415</v>
      </c>
      <c r="B323" s="248"/>
      <c r="C323" s="248"/>
      <c r="D323" s="248"/>
      <c r="E323" s="248"/>
      <c r="F323" s="248"/>
      <c r="G323" s="248"/>
      <c r="H323" s="248"/>
    </row>
    <row r="324" spans="1:8">
      <c r="A324" s="249" t="s">
        <v>416</v>
      </c>
      <c r="B324" s="248"/>
      <c r="C324" s="248"/>
      <c r="D324" s="248"/>
      <c r="E324" s="248"/>
      <c r="F324" s="248"/>
      <c r="G324" s="248"/>
      <c r="H324" s="248"/>
    </row>
    <row r="325" spans="1:8">
      <c r="A325" s="249" t="s">
        <v>417</v>
      </c>
      <c r="B325" s="248"/>
      <c r="C325" s="248"/>
      <c r="D325" s="248"/>
      <c r="E325" s="248"/>
      <c r="F325" s="248"/>
      <c r="G325" s="248"/>
      <c r="H325" s="248"/>
    </row>
    <row r="326" spans="1:8">
      <c r="A326" s="249" t="s">
        <v>418</v>
      </c>
      <c r="B326" s="248"/>
      <c r="C326" s="248"/>
      <c r="D326" s="248"/>
      <c r="E326" s="248"/>
      <c r="F326" s="248"/>
      <c r="G326" s="248"/>
      <c r="H326" s="248"/>
    </row>
    <row r="327" spans="1:8">
      <c r="A327" s="249" t="s">
        <v>419</v>
      </c>
      <c r="B327" s="248"/>
      <c r="C327" s="248"/>
      <c r="D327" s="248"/>
      <c r="E327" s="248"/>
      <c r="F327" s="248"/>
      <c r="G327" s="248"/>
      <c r="H327" s="248"/>
    </row>
    <row r="328" spans="1:8">
      <c r="A328" s="249" t="s">
        <v>420</v>
      </c>
      <c r="B328" s="248"/>
      <c r="C328" s="248"/>
      <c r="D328" s="248"/>
      <c r="E328" s="248"/>
      <c r="F328" s="248"/>
      <c r="G328" s="248"/>
      <c r="H328" s="248"/>
    </row>
    <row r="329" spans="1:8">
      <c r="A329" s="249" t="s">
        <v>421</v>
      </c>
      <c r="B329" s="248"/>
      <c r="C329" s="248"/>
      <c r="D329" s="248"/>
      <c r="E329" s="248"/>
      <c r="F329" s="248"/>
      <c r="G329" s="248"/>
      <c r="H329" s="248"/>
    </row>
    <row r="330" spans="1:8">
      <c r="A330" s="249" t="s">
        <v>422</v>
      </c>
      <c r="B330" s="248"/>
      <c r="C330" s="248"/>
      <c r="D330" s="248"/>
      <c r="E330" s="248"/>
      <c r="F330" s="248"/>
      <c r="G330" s="248"/>
      <c r="H330" s="248"/>
    </row>
    <row r="331" spans="1:8">
      <c r="A331" s="249" t="s">
        <v>423</v>
      </c>
      <c r="B331" s="248"/>
      <c r="C331" s="248"/>
      <c r="D331" s="248"/>
      <c r="E331" s="248"/>
      <c r="F331" s="248"/>
      <c r="G331" s="248"/>
      <c r="H331" s="248"/>
    </row>
    <row r="332" spans="1:8">
      <c r="A332" s="249" t="s">
        <v>424</v>
      </c>
      <c r="B332" s="248"/>
      <c r="C332" s="248"/>
      <c r="D332" s="248"/>
      <c r="E332" s="248"/>
      <c r="F332" s="248"/>
      <c r="G332" s="248"/>
      <c r="H332" s="248"/>
    </row>
    <row r="333" spans="1:8">
      <c r="A333" s="249" t="s">
        <v>425</v>
      </c>
      <c r="B333" s="248"/>
      <c r="C333" s="248"/>
      <c r="D333" s="248"/>
      <c r="E333" s="248"/>
      <c r="F333" s="248"/>
      <c r="G333" s="248"/>
      <c r="H333" s="248"/>
    </row>
    <row r="334" spans="1:8">
      <c r="A334" s="249" t="s">
        <v>426</v>
      </c>
      <c r="B334" s="248"/>
      <c r="C334" s="248"/>
      <c r="D334" s="248"/>
      <c r="E334" s="248"/>
      <c r="F334" s="248"/>
      <c r="G334" s="248"/>
      <c r="H334" s="248"/>
    </row>
    <row r="335" spans="1:8">
      <c r="A335" s="249" t="s">
        <v>427</v>
      </c>
      <c r="B335" s="248"/>
      <c r="C335" s="248"/>
      <c r="D335" s="248"/>
      <c r="E335" s="248"/>
      <c r="F335" s="248"/>
      <c r="G335" s="248"/>
      <c r="H335" s="248"/>
    </row>
    <row r="336" spans="1:8">
      <c r="A336" s="249" t="s">
        <v>428</v>
      </c>
      <c r="B336" s="248"/>
      <c r="C336" s="248"/>
      <c r="D336" s="248"/>
      <c r="E336" s="248"/>
      <c r="F336" s="248"/>
      <c r="G336" s="248"/>
      <c r="H336" s="248"/>
    </row>
    <row r="337" spans="1:8">
      <c r="A337" s="249" t="s">
        <v>429</v>
      </c>
      <c r="B337" s="248"/>
      <c r="C337" s="248"/>
      <c r="D337" s="248"/>
      <c r="E337" s="248"/>
      <c r="F337" s="248"/>
      <c r="G337" s="248"/>
      <c r="H337" s="248"/>
    </row>
    <row r="338" spans="1:8">
      <c r="A338" s="249" t="s">
        <v>430</v>
      </c>
      <c r="B338" s="248"/>
      <c r="C338" s="248"/>
      <c r="D338" s="248"/>
      <c r="E338" s="248"/>
      <c r="F338" s="248"/>
      <c r="G338" s="248"/>
      <c r="H338" s="248"/>
    </row>
    <row r="339" spans="1:8">
      <c r="A339" s="249" t="s">
        <v>431</v>
      </c>
      <c r="B339" s="248"/>
      <c r="C339" s="248"/>
      <c r="D339" s="248"/>
      <c r="E339" s="248"/>
      <c r="F339" s="248"/>
      <c r="G339" s="248"/>
      <c r="H339" s="248"/>
    </row>
    <row r="340" spans="1:8">
      <c r="A340" s="249" t="s">
        <v>432</v>
      </c>
      <c r="B340" s="248"/>
      <c r="C340" s="248"/>
      <c r="D340" s="248"/>
      <c r="E340" s="248"/>
      <c r="F340" s="248"/>
      <c r="G340" s="248"/>
      <c r="H340" s="248"/>
    </row>
    <row r="341" spans="1:8">
      <c r="A341" s="249" t="s">
        <v>433</v>
      </c>
      <c r="B341" s="248"/>
      <c r="C341" s="248"/>
      <c r="D341" s="248"/>
      <c r="E341" s="248"/>
      <c r="F341" s="248"/>
      <c r="G341" s="248"/>
      <c r="H341" s="248"/>
    </row>
    <row r="342" spans="1:8">
      <c r="A342" s="249" t="s">
        <v>434</v>
      </c>
      <c r="B342" s="248"/>
      <c r="C342" s="248"/>
      <c r="D342" s="248"/>
      <c r="E342" s="248"/>
      <c r="F342" s="248"/>
      <c r="G342" s="248"/>
      <c r="H342" s="248"/>
    </row>
    <row r="343" spans="1:8">
      <c r="A343" s="249" t="s">
        <v>435</v>
      </c>
      <c r="B343" s="248"/>
      <c r="C343" s="248"/>
      <c r="D343" s="248"/>
      <c r="E343" s="248"/>
      <c r="F343" s="248"/>
      <c r="G343" s="248"/>
      <c r="H343" s="248"/>
    </row>
    <row r="344" spans="1:8">
      <c r="A344" s="249" t="s">
        <v>436</v>
      </c>
      <c r="B344" s="248"/>
      <c r="C344" s="248"/>
      <c r="D344" s="248"/>
      <c r="E344" s="248"/>
      <c r="F344" s="248"/>
      <c r="G344" s="248"/>
      <c r="H344" s="248"/>
    </row>
    <row r="345" spans="1:8">
      <c r="A345" s="249" t="s">
        <v>437</v>
      </c>
      <c r="B345" s="248"/>
      <c r="C345" s="248"/>
      <c r="D345" s="248"/>
      <c r="E345" s="248"/>
      <c r="F345" s="248"/>
      <c r="G345" s="248"/>
      <c r="H345" s="248"/>
    </row>
    <row r="346" spans="1:8">
      <c r="A346" s="249" t="s">
        <v>438</v>
      </c>
      <c r="B346" s="248"/>
      <c r="C346" s="248"/>
      <c r="D346" s="248"/>
      <c r="E346" s="248"/>
      <c r="F346" s="248"/>
      <c r="G346" s="248"/>
      <c r="H346" s="248"/>
    </row>
    <row r="347" spans="1:8">
      <c r="A347" s="248"/>
      <c r="B347" s="248"/>
      <c r="C347" s="248"/>
      <c r="D347" s="248"/>
      <c r="E347" s="248"/>
      <c r="F347" s="248"/>
      <c r="G347" s="248"/>
      <c r="H347" s="248"/>
    </row>
    <row r="348" spans="1:8">
      <c r="A348" s="249" t="s">
        <v>396</v>
      </c>
      <c r="B348" s="248"/>
      <c r="C348" s="248"/>
      <c r="D348" s="248"/>
      <c r="E348" s="248"/>
      <c r="F348" s="248"/>
      <c r="G348" s="248"/>
      <c r="H348" s="248"/>
    </row>
    <row r="349" spans="1:8">
      <c r="A349" s="249" t="s">
        <v>400</v>
      </c>
      <c r="B349" s="248"/>
      <c r="C349" s="248"/>
      <c r="D349" s="248"/>
      <c r="E349" s="248"/>
      <c r="F349" s="248"/>
      <c r="G349" s="248"/>
      <c r="H349" s="248"/>
    </row>
    <row r="350" spans="1:8">
      <c r="A350" s="249" t="s">
        <v>401</v>
      </c>
      <c r="B350" s="248"/>
      <c r="C350" s="248"/>
      <c r="D350" s="248"/>
      <c r="E350" s="248"/>
      <c r="F350" s="248"/>
      <c r="G350" s="248"/>
      <c r="H350" s="248"/>
    </row>
    <row r="351" spans="1:8">
      <c r="A351" s="249" t="s">
        <v>402</v>
      </c>
      <c r="B351" s="248"/>
      <c r="C351" s="248"/>
      <c r="D351" s="248"/>
      <c r="E351" s="248"/>
      <c r="F351" s="248"/>
      <c r="G351" s="248"/>
      <c r="H351" s="248"/>
    </row>
    <row r="352" spans="1:8">
      <c r="A352" s="249" t="s">
        <v>403</v>
      </c>
      <c r="B352" s="248"/>
      <c r="C352" s="248"/>
      <c r="D352" s="248"/>
      <c r="E352" s="248"/>
      <c r="F352" s="248"/>
      <c r="G352" s="248"/>
      <c r="H352" s="248"/>
    </row>
    <row r="353" spans="1:8">
      <c r="A353" s="248"/>
      <c r="B353" s="248"/>
      <c r="C353" s="248"/>
      <c r="D353" s="248"/>
      <c r="E353" s="248"/>
      <c r="F353" s="248"/>
      <c r="G353" s="248"/>
      <c r="H353" s="248"/>
    </row>
    <row r="354" spans="1:8">
      <c r="A354" s="249" t="s">
        <v>396</v>
      </c>
      <c r="B354" s="248"/>
      <c r="C354" s="248"/>
      <c r="D354" s="248"/>
      <c r="E354" s="248"/>
      <c r="F354" s="248"/>
      <c r="G354" s="248"/>
      <c r="H354" s="248"/>
    </row>
    <row r="355" spans="1:8">
      <c r="A355" s="249" t="s">
        <v>397</v>
      </c>
      <c r="B355" s="248"/>
      <c r="C355" s="248"/>
      <c r="D355" s="248"/>
      <c r="E355" s="248"/>
      <c r="F355" s="248"/>
      <c r="G355" s="248"/>
      <c r="H355" s="248"/>
    </row>
    <row r="356" spans="1:8">
      <c r="A356" s="249" t="s">
        <v>398</v>
      </c>
      <c r="B356" s="248"/>
      <c r="C356" s="248"/>
      <c r="D356" s="248"/>
      <c r="E356" s="248"/>
      <c r="F356" s="248"/>
      <c r="G356" s="248"/>
      <c r="H356" s="248"/>
    </row>
    <row r="357" spans="1:8">
      <c r="A357" s="249" t="s">
        <v>399</v>
      </c>
      <c r="B357" s="248"/>
      <c r="C357" s="248"/>
      <c r="D357" s="248"/>
      <c r="E357" s="248"/>
      <c r="F357" s="248"/>
      <c r="G357" s="248"/>
      <c r="H357" s="248"/>
    </row>
    <row r="358" spans="1:8">
      <c r="A358" s="248"/>
      <c r="B358" s="248"/>
      <c r="C358" s="248"/>
      <c r="D358" s="248"/>
      <c r="E358" s="248"/>
      <c r="F358" s="248"/>
      <c r="G358" s="248"/>
      <c r="H358" s="248"/>
    </row>
    <row r="359" spans="1:8">
      <c r="A359" s="249" t="s">
        <v>390</v>
      </c>
      <c r="B359" s="248"/>
      <c r="C359" s="248"/>
      <c r="D359" s="248"/>
      <c r="E359" s="248"/>
      <c r="F359" s="248"/>
      <c r="G359" s="248"/>
      <c r="H359" s="248"/>
    </row>
    <row r="360" spans="1:8">
      <c r="A360" s="249" t="s">
        <v>391</v>
      </c>
      <c r="B360" s="248"/>
      <c r="C360" s="248"/>
      <c r="D360" s="248"/>
      <c r="E360" s="248"/>
      <c r="F360" s="248"/>
      <c r="G360" s="248"/>
      <c r="H360" s="248"/>
    </row>
    <row r="361" spans="1:8">
      <c r="A361" s="249" t="s">
        <v>392</v>
      </c>
      <c r="B361" s="248"/>
      <c r="C361" s="248"/>
      <c r="D361" s="248"/>
      <c r="E361" s="248"/>
      <c r="F361" s="248"/>
      <c r="G361" s="248"/>
      <c r="H361" s="248"/>
    </row>
    <row r="362" spans="1:8">
      <c r="A362" s="249" t="s">
        <v>393</v>
      </c>
      <c r="B362" s="248"/>
      <c r="C362" s="248"/>
      <c r="D362" s="248"/>
      <c r="E362" s="248"/>
      <c r="F362" s="248"/>
      <c r="G362" s="248"/>
      <c r="H362" s="248"/>
    </row>
    <row r="363" spans="1:8">
      <c r="A363" s="249" t="s">
        <v>394</v>
      </c>
      <c r="B363" s="248"/>
      <c r="C363" s="248"/>
      <c r="D363" s="248"/>
      <c r="E363" s="248"/>
      <c r="F363" s="248"/>
      <c r="G363" s="248"/>
      <c r="H363" s="248"/>
    </row>
    <row r="364" spans="1:8">
      <c r="A364" s="249" t="s">
        <v>395</v>
      </c>
      <c r="B364" s="248"/>
      <c r="C364" s="248"/>
      <c r="D364" s="248"/>
      <c r="E364" s="248"/>
      <c r="F364" s="248"/>
      <c r="G364" s="248"/>
      <c r="H364" s="248"/>
    </row>
    <row r="365" spans="1:8">
      <c r="A365" s="248"/>
      <c r="B365" s="248"/>
      <c r="C365" s="248"/>
      <c r="D365" s="248"/>
      <c r="E365" s="248"/>
      <c r="F365" s="248"/>
      <c r="G365" s="248"/>
      <c r="H365" s="248"/>
    </row>
    <row r="366" spans="1:8">
      <c r="A366" s="249" t="s">
        <v>385</v>
      </c>
      <c r="B366" s="248"/>
      <c r="C366" s="248"/>
      <c r="D366" s="248"/>
      <c r="E366" s="248"/>
      <c r="F366" s="248"/>
      <c r="G366" s="248"/>
      <c r="H366" s="248"/>
    </row>
    <row r="367" spans="1:8">
      <c r="A367" s="249" t="s">
        <v>386</v>
      </c>
      <c r="B367" s="248"/>
      <c r="C367" s="248"/>
      <c r="D367" s="248"/>
      <c r="E367" s="248"/>
      <c r="F367" s="248"/>
      <c r="G367" s="248"/>
      <c r="H367" s="248"/>
    </row>
    <row r="368" spans="1:8">
      <c r="A368" s="249" t="s">
        <v>387</v>
      </c>
      <c r="B368" s="248"/>
      <c r="C368" s="248"/>
      <c r="D368" s="248"/>
      <c r="E368" s="248"/>
      <c r="F368" s="248"/>
      <c r="G368" s="248"/>
      <c r="H368" s="248"/>
    </row>
    <row r="369" spans="1:8">
      <c r="A369" s="249" t="s">
        <v>388</v>
      </c>
      <c r="B369" s="248"/>
      <c r="C369" s="248"/>
      <c r="D369" s="248"/>
      <c r="E369" s="248"/>
      <c r="F369" s="248"/>
      <c r="G369" s="248"/>
      <c r="H369" s="248"/>
    </row>
    <row r="370" spans="1:8">
      <c r="A370" s="249" t="s">
        <v>389</v>
      </c>
      <c r="B370" s="248"/>
      <c r="C370" s="248"/>
      <c r="D370" s="248"/>
      <c r="E370" s="248"/>
      <c r="F370" s="248"/>
      <c r="G370" s="248"/>
      <c r="H370" s="248"/>
    </row>
    <row r="371" spans="1:8">
      <c r="A371" s="248"/>
      <c r="B371" s="248"/>
      <c r="C371" s="248"/>
      <c r="D371" s="248"/>
      <c r="E371" s="248"/>
      <c r="F371" s="248"/>
      <c r="G371" s="248"/>
      <c r="H371" s="248"/>
    </row>
    <row r="372" spans="1:8">
      <c r="A372" s="249" t="s">
        <v>383</v>
      </c>
      <c r="B372" s="248"/>
      <c r="C372" s="248"/>
      <c r="D372" s="248"/>
      <c r="E372" s="248"/>
      <c r="F372" s="248"/>
      <c r="G372" s="248"/>
      <c r="H372" s="248"/>
    </row>
    <row r="373" spans="1:8">
      <c r="A373" s="249" t="s">
        <v>384</v>
      </c>
      <c r="B373" s="248"/>
      <c r="C373" s="248"/>
      <c r="D373" s="248"/>
      <c r="E373" s="248"/>
      <c r="F373" s="248"/>
      <c r="G373" s="248"/>
      <c r="H373" s="248"/>
    </row>
    <row r="375" spans="1:8">
      <c r="A375" s="244" t="s">
        <v>628</v>
      </c>
    </row>
  </sheetData>
  <mergeCells count="12">
    <mergeCell ref="A116:H116"/>
    <mergeCell ref="A117:H117"/>
    <mergeCell ref="B109:C109"/>
    <mergeCell ref="D109:F109"/>
    <mergeCell ref="G109:H109"/>
    <mergeCell ref="A95:H95"/>
    <mergeCell ref="A96:H96"/>
    <mergeCell ref="A97:H97"/>
    <mergeCell ref="A98:H98"/>
    <mergeCell ref="A100:H100"/>
    <mergeCell ref="A101:H101"/>
    <mergeCell ref="A108:H10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CU382"/>
  <sheetViews>
    <sheetView showGridLines="0" zoomScale="115" zoomScaleNormal="115" zoomScaleSheetLayoutView="115" workbookViewId="0">
      <pane xSplit="2" ySplit="6" topLeftCell="J7" activePane="bottomRight" state="frozen"/>
      <selection pane="topRight" activeCell="C1" sqref="C1"/>
      <selection pane="bottomLeft" activeCell="A5" sqref="A5"/>
      <selection pane="bottomRight" activeCell="J7" sqref="J7"/>
    </sheetView>
  </sheetViews>
  <sheetFormatPr defaultColWidth="8.7109375" defaultRowHeight="12.75" outlineLevelRow="3" outlineLevelCol="1"/>
  <cols>
    <col min="1" max="1" width="1.7109375" style="147" customWidth="1"/>
    <col min="2" max="2" width="32.7109375" style="51" customWidth="1"/>
    <col min="3" max="5" width="8.7109375" style="51" hidden="1" customWidth="1" outlineLevel="1"/>
    <col min="6" max="6" width="7.7109375" style="51" hidden="1" customWidth="1" outlineLevel="1" collapsed="1"/>
    <col min="7" max="8" width="7.7109375" style="51" hidden="1" customWidth="1" outlineLevel="1"/>
    <col min="9" max="9" width="7.7109375" style="51" hidden="1" customWidth="1" outlineLevel="1" collapsed="1"/>
    <col min="10" max="10" width="7.7109375" style="51" customWidth="1" collapsed="1"/>
    <col min="11" max="17" width="7.7109375" style="51" customWidth="1"/>
    <col min="18" max="18" width="7.7109375" style="51" hidden="1" customWidth="1" outlineLevel="1" collapsed="1"/>
    <col min="19" max="19" width="7.42578125" style="51" customWidth="1" collapsed="1"/>
    <col min="20" max="47" width="7.7109375" style="51" hidden="1" customWidth="1" outlineLevel="1"/>
    <col min="48" max="48" width="7.7109375" style="51" hidden="1" customWidth="1" outlineLevel="1" collapsed="1"/>
    <col min="49" max="51" width="7.7109375" style="51" hidden="1" customWidth="1" outlineLevel="1"/>
    <col min="52" max="52" width="7.7109375" style="51" hidden="1" customWidth="1" outlineLevel="1" collapsed="1"/>
    <col min="53" max="55" width="7.7109375" style="51" hidden="1" customWidth="1" outlineLevel="1"/>
    <col min="56" max="56" width="7.7109375" style="51" hidden="1" customWidth="1" outlineLevel="1" collapsed="1"/>
    <col min="57" max="59" width="7.7109375" style="51" hidden="1" customWidth="1" outlineLevel="1"/>
    <col min="60" max="60" width="7.7109375" style="51" hidden="1" customWidth="1" outlineLevel="1" collapsed="1"/>
    <col min="61" max="63" width="7.7109375" style="51" hidden="1" customWidth="1" outlineLevel="1"/>
    <col min="64" max="64" width="7.7109375" style="51" hidden="1" customWidth="1" outlineLevel="1" collapsed="1"/>
    <col min="65" max="67" width="7.7109375" style="51" hidden="1" customWidth="1" outlineLevel="1"/>
    <col min="68" max="68" width="7.7109375" style="51" customWidth="1" collapsed="1"/>
    <col min="69" max="83" width="7.7109375" style="51" customWidth="1"/>
    <col min="84" max="91" width="8.7109375" style="51" customWidth="1"/>
    <col min="92" max="92" width="8.7109375" style="239" customWidth="1"/>
    <col min="93" max="98" width="8.7109375" customWidth="1"/>
    <col min="99" max="99" width="8.7109375" style="51"/>
  </cols>
  <sheetData>
    <row r="1" spans="1:99" ht="15.75">
      <c r="A1" s="140"/>
      <c r="B1" s="2" t="s">
        <v>14</v>
      </c>
      <c r="C1" s="113">
        <f>C35</f>
        <v>0.47305568247843727</v>
      </c>
      <c r="D1" s="113">
        <f t="shared" ref="D1:Q1" si="0">D35</f>
        <v>0.3651049980347395</v>
      </c>
      <c r="E1" s="113">
        <f t="shared" si="0"/>
        <v>0.34995883091145519</v>
      </c>
      <c r="F1" s="113">
        <f t="shared" si="0"/>
        <v>-0.11008431268013974</v>
      </c>
      <c r="G1" s="113">
        <f t="shared" si="0"/>
        <v>0.65094992986140154</v>
      </c>
      <c r="H1" s="113">
        <f t="shared" si="0"/>
        <v>1.3664275544474185</v>
      </c>
      <c r="I1" s="113">
        <f t="shared" si="0"/>
        <v>1.2991102743013248</v>
      </c>
      <c r="J1" s="113">
        <f t="shared" si="0"/>
        <v>0.81356886610333523</v>
      </c>
      <c r="K1" s="113">
        <f t="shared" si="0"/>
        <v>1.2078882402755298</v>
      </c>
      <c r="L1" s="113">
        <f t="shared" si="0"/>
        <v>-0.43650627210643667</v>
      </c>
      <c r="M1" s="113">
        <f t="shared" si="0"/>
        <v>-0.76351542168955899</v>
      </c>
      <c r="N1" s="113">
        <f t="shared" si="0"/>
        <v>0.64056239048297814</v>
      </c>
      <c r="O1" s="113">
        <f t="shared" si="0"/>
        <v>1.5970320282828081</v>
      </c>
      <c r="P1" s="113">
        <f t="shared" si="0"/>
        <v>1.983645621907772</v>
      </c>
      <c r="Q1" s="113">
        <f t="shared" si="0"/>
        <v>2.0649623899734388</v>
      </c>
      <c r="R1" s="1"/>
      <c r="S1"/>
      <c r="T1" s="113">
        <f t="shared" ref="T1:BW1" si="1">T35</f>
        <v>0</v>
      </c>
      <c r="U1" s="113">
        <f t="shared" si="1"/>
        <v>0</v>
      </c>
      <c r="V1" s="113">
        <f t="shared" si="1"/>
        <v>0</v>
      </c>
      <c r="W1" s="113">
        <f t="shared" si="1"/>
        <v>8.1286834718724887E-2</v>
      </c>
      <c r="X1" s="113">
        <f t="shared" si="1"/>
        <v>0.11207091523455567</v>
      </c>
      <c r="Y1" s="113">
        <f t="shared" si="1"/>
        <v>0.12442858333727608</v>
      </c>
      <c r="Z1" s="113">
        <f t="shared" si="1"/>
        <v>0.13007799253984406</v>
      </c>
      <c r="AA1" s="113">
        <f t="shared" si="1"/>
        <v>0.13347943247494432</v>
      </c>
      <c r="AB1" s="113">
        <f t="shared" si="1"/>
        <v>0.12668920826585536</v>
      </c>
      <c r="AC1" s="113">
        <f t="shared" si="1"/>
        <v>0.10751304693284215</v>
      </c>
      <c r="AD1" s="113">
        <f t="shared" si="1"/>
        <v>6.7362545782264679E-2</v>
      </c>
      <c r="AE1" s="113">
        <f t="shared" si="1"/>
        <v>9.1929033105503724E-2</v>
      </c>
      <c r="AF1" s="113">
        <f t="shared" si="1"/>
        <v>6.6863082919601871E-2</v>
      </c>
      <c r="AG1" s="113">
        <f t="shared" si="1"/>
        <v>0.10172577795896179</v>
      </c>
      <c r="AH1" s="113">
        <f t="shared" si="1"/>
        <v>0.11663997249142617</v>
      </c>
      <c r="AI1" s="113">
        <f t="shared" si="1"/>
        <v>9.3606842546438196E-2</v>
      </c>
      <c r="AJ1" s="113">
        <f t="shared" si="1"/>
        <v>2.0520101405875062E-2</v>
      </c>
      <c r="AK1" s="113">
        <f t="shared" si="1"/>
        <v>-5.3637698664018005E-2</v>
      </c>
      <c r="AL1" s="113">
        <f t="shared" si="1"/>
        <v>-4.7903059153474287E-2</v>
      </c>
      <c r="AM1" s="113">
        <f t="shared" si="1"/>
        <v>-2.3989623865110245E-2</v>
      </c>
      <c r="AN1" s="113">
        <f t="shared" si="1"/>
        <v>6.1114588713640533E-2</v>
      </c>
      <c r="AO1" s="113">
        <f t="shared" si="1"/>
        <v>0.14417743651860904</v>
      </c>
      <c r="AP1" s="113">
        <f t="shared" si="1"/>
        <v>0.21018418201516798</v>
      </c>
      <c r="AQ1" s="113">
        <f t="shared" si="1"/>
        <v>0.25210252075252176</v>
      </c>
      <c r="AR1" s="113">
        <f t="shared" si="1"/>
        <v>0.29710036500487425</v>
      </c>
      <c r="AS1" s="113">
        <f t="shared" si="1"/>
        <v>0.3321710863830965</v>
      </c>
      <c r="AT1" s="113">
        <f t="shared" si="1"/>
        <v>0.38959482339910739</v>
      </c>
      <c r="AU1" s="113">
        <f t="shared" si="1"/>
        <v>0.34291967712416505</v>
      </c>
      <c r="AV1" s="113">
        <f t="shared" si="1"/>
        <v>0.37800322061191632</v>
      </c>
      <c r="AW1" s="113">
        <f t="shared" si="1"/>
        <v>0.33841213730815672</v>
      </c>
      <c r="AX1" s="113">
        <f t="shared" si="1"/>
        <v>0.30483048304830479</v>
      </c>
      <c r="AY1" s="113">
        <f t="shared" si="1"/>
        <v>0.25561012083337181</v>
      </c>
      <c r="AZ1" s="113">
        <f t="shared" si="1"/>
        <v>0.16125043098494427</v>
      </c>
      <c r="BA1" s="113">
        <f t="shared" si="1"/>
        <v>0.18651099471607566</v>
      </c>
      <c r="BB1" s="113">
        <f t="shared" si="1"/>
        <v>0.24872537498496361</v>
      </c>
      <c r="BC1" s="113">
        <f t="shared" si="1"/>
        <v>0.17405638348538158</v>
      </c>
      <c r="BD1" s="113">
        <f t="shared" si="1"/>
        <v>0.18217136725651437</v>
      </c>
      <c r="BE1" s="113">
        <f t="shared" si="1"/>
        <v>0.29265439007020044</v>
      </c>
      <c r="BF1" s="113">
        <f t="shared" si="1"/>
        <v>0.29992973827507474</v>
      </c>
      <c r="BG1" s="113">
        <f t="shared" si="1"/>
        <v>0.36191199847099792</v>
      </c>
      <c r="BH1" s="113">
        <f t="shared" si="1"/>
        <v>3.5339560362385003E-2</v>
      </c>
      <c r="BI1" s="113">
        <f t="shared" si="1"/>
        <v>-0.16018494999952959</v>
      </c>
      <c r="BJ1" s="113">
        <f t="shared" si="1"/>
        <v>-0.16460672316886546</v>
      </c>
      <c r="BK1" s="113">
        <f t="shared" si="1"/>
        <v>-0.17727993859948801</v>
      </c>
      <c r="BL1" s="113">
        <f t="shared" si="1"/>
        <v>-0.21909663679119717</v>
      </c>
      <c r="BM1" s="113">
        <f t="shared" si="1"/>
        <v>-0.22722541922777142</v>
      </c>
      <c r="BN1" s="113">
        <f t="shared" si="1"/>
        <v>-0.18174605397029864</v>
      </c>
      <c r="BO1" s="113">
        <f t="shared" si="1"/>
        <v>-9.8506557147524182E-2</v>
      </c>
      <c r="BP1" s="113">
        <f t="shared" si="1"/>
        <v>1.6928229709648718E-2</v>
      </c>
      <c r="BQ1" s="113">
        <f t="shared" si="1"/>
        <v>0.20153542040178365</v>
      </c>
      <c r="BR1" s="113">
        <f t="shared" si="1"/>
        <v>0.26426312926925949</v>
      </c>
      <c r="BS1" s="113">
        <f t="shared" si="1"/>
        <v>0.17712652488294994</v>
      </c>
      <c r="BT1" s="113">
        <f t="shared" si="1"/>
        <v>0.2755102957002174</v>
      </c>
      <c r="BU1" s="113">
        <f t="shared" si="1"/>
        <v>0.39485350514353335</v>
      </c>
      <c r="BV1" s="113">
        <f t="shared" si="1"/>
        <v>0.43615642879640382</v>
      </c>
      <c r="BW1" s="113">
        <f t="shared" si="1"/>
        <v>0.46744022734045226</v>
      </c>
      <c r="BX1" s="113">
        <f t="shared" ref="BX1:CD1" si="2">BX35</f>
        <v>0.47214140528658249</v>
      </c>
      <c r="BY1" s="113">
        <f t="shared" si="2"/>
        <v>0.4752441305322524</v>
      </c>
      <c r="BZ1" s="113">
        <f t="shared" si="2"/>
        <v>0.5003011312473522</v>
      </c>
      <c r="CA1" s="113">
        <f t="shared" si="2"/>
        <v>0.51288738353938412</v>
      </c>
      <c r="CB1" s="113">
        <f t="shared" si="2"/>
        <v>0.50496259614234629</v>
      </c>
      <c r="CC1" s="113">
        <f t="shared" si="2"/>
        <v>0.50749548539865974</v>
      </c>
      <c r="CD1" s="113">
        <f t="shared" si="2"/>
        <v>0.51200605739623917</v>
      </c>
      <c r="CE1" s="113">
        <f>CE35</f>
        <v>0.51742667973399203</v>
      </c>
      <c r="CF1"/>
      <c r="CG1"/>
      <c r="CH1"/>
      <c r="CI1"/>
      <c r="CJ1"/>
      <c r="CK1"/>
      <c r="CL1"/>
      <c r="CM1"/>
      <c r="CN1" s="238"/>
      <c r="CU1"/>
    </row>
    <row r="2" spans="1:99">
      <c r="A2" s="141"/>
      <c r="B2" s="3" t="s">
        <v>121</v>
      </c>
      <c r="C2" s="33"/>
      <c r="D2" s="33"/>
      <c r="E2" s="33"/>
      <c r="F2" s="33"/>
      <c r="G2" s="33"/>
      <c r="H2" s="121">
        <f t="shared" ref="H2:BS2" si="3">MIN(H256,0)</f>
        <v>0</v>
      </c>
      <c r="I2" s="121">
        <f t="shared" si="3"/>
        <v>0</v>
      </c>
      <c r="J2" s="121">
        <f t="shared" si="3"/>
        <v>0</v>
      </c>
      <c r="K2" s="121">
        <f t="shared" si="3"/>
        <v>0</v>
      </c>
      <c r="L2" s="121">
        <f t="shared" si="3"/>
        <v>0</v>
      </c>
      <c r="M2" s="121">
        <f t="shared" si="3"/>
        <v>0</v>
      </c>
      <c r="N2" s="121">
        <f t="shared" si="3"/>
        <v>0</v>
      </c>
      <c r="O2" s="121">
        <f t="shared" si="3"/>
        <v>0</v>
      </c>
      <c r="P2" s="121">
        <f t="shared" si="3"/>
        <v>0</v>
      </c>
      <c r="Q2" s="121">
        <f t="shared" si="3"/>
        <v>0</v>
      </c>
      <c r="R2" s="121">
        <f t="shared" si="3"/>
        <v>0</v>
      </c>
      <c r="S2" s="121"/>
      <c r="T2" s="121">
        <f t="shared" si="3"/>
        <v>0</v>
      </c>
      <c r="U2" s="121">
        <f t="shared" si="3"/>
        <v>0</v>
      </c>
      <c r="V2" s="121">
        <f t="shared" si="3"/>
        <v>0</v>
      </c>
      <c r="W2" s="121">
        <f t="shared" si="3"/>
        <v>0</v>
      </c>
      <c r="X2" s="121">
        <f t="shared" si="3"/>
        <v>0</v>
      </c>
      <c r="Y2" s="121">
        <f t="shared" si="3"/>
        <v>0</v>
      </c>
      <c r="Z2" s="121">
        <f t="shared" si="3"/>
        <v>0</v>
      </c>
      <c r="AA2" s="121">
        <f t="shared" si="3"/>
        <v>0</v>
      </c>
      <c r="AB2" s="121">
        <f t="shared" si="3"/>
        <v>0</v>
      </c>
      <c r="AC2" s="121">
        <f t="shared" si="3"/>
        <v>0</v>
      </c>
      <c r="AD2" s="121">
        <f t="shared" si="3"/>
        <v>0</v>
      </c>
      <c r="AE2" s="121">
        <f t="shared" si="3"/>
        <v>0</v>
      </c>
      <c r="AF2" s="121">
        <f t="shared" si="3"/>
        <v>0</v>
      </c>
      <c r="AG2" s="121">
        <f t="shared" si="3"/>
        <v>0</v>
      </c>
      <c r="AH2" s="121">
        <f t="shared" si="3"/>
        <v>0</v>
      </c>
      <c r="AI2" s="121">
        <f t="shared" si="3"/>
        <v>0</v>
      </c>
      <c r="AJ2" s="121">
        <f t="shared" si="3"/>
        <v>0</v>
      </c>
      <c r="AK2" s="121">
        <f t="shared" si="3"/>
        <v>0</v>
      </c>
      <c r="AL2" s="121">
        <f t="shared" si="3"/>
        <v>0</v>
      </c>
      <c r="AM2" s="121">
        <f t="shared" si="3"/>
        <v>0</v>
      </c>
      <c r="AN2" s="121">
        <f t="shared" si="3"/>
        <v>0</v>
      </c>
      <c r="AO2" s="121">
        <f t="shared" si="3"/>
        <v>0</v>
      </c>
      <c r="AP2" s="121">
        <f t="shared" si="3"/>
        <v>0</v>
      </c>
      <c r="AQ2" s="121">
        <f t="shared" si="3"/>
        <v>0</v>
      </c>
      <c r="AR2" s="121">
        <f t="shared" si="3"/>
        <v>0</v>
      </c>
      <c r="AS2" s="121">
        <f t="shared" si="3"/>
        <v>0</v>
      </c>
      <c r="AT2" s="121">
        <f t="shared" si="3"/>
        <v>0</v>
      </c>
      <c r="AU2" s="121">
        <f t="shared" si="3"/>
        <v>0</v>
      </c>
      <c r="AV2" s="121">
        <f t="shared" si="3"/>
        <v>0</v>
      </c>
      <c r="AW2" s="121">
        <f t="shared" si="3"/>
        <v>0</v>
      </c>
      <c r="AX2" s="121">
        <f t="shared" si="3"/>
        <v>0</v>
      </c>
      <c r="AY2" s="121">
        <f t="shared" si="3"/>
        <v>0</v>
      </c>
      <c r="AZ2" s="121">
        <f t="shared" si="3"/>
        <v>0</v>
      </c>
      <c r="BA2" s="121">
        <f t="shared" si="3"/>
        <v>0</v>
      </c>
      <c r="BB2" s="121">
        <f t="shared" si="3"/>
        <v>0</v>
      </c>
      <c r="BC2" s="121">
        <f t="shared" si="3"/>
        <v>0</v>
      </c>
      <c r="BD2" s="121">
        <f t="shared" si="3"/>
        <v>0</v>
      </c>
      <c r="BE2" s="121">
        <f t="shared" si="3"/>
        <v>0</v>
      </c>
      <c r="BF2" s="121">
        <f t="shared" si="3"/>
        <v>0</v>
      </c>
      <c r="BG2" s="121">
        <f t="shared" si="3"/>
        <v>0</v>
      </c>
      <c r="BH2" s="121">
        <f t="shared" si="3"/>
        <v>0</v>
      </c>
      <c r="BI2" s="121">
        <f t="shared" si="3"/>
        <v>0</v>
      </c>
      <c r="BJ2" s="121">
        <f t="shared" si="3"/>
        <v>0</v>
      </c>
      <c r="BK2" s="121">
        <f t="shared" si="3"/>
        <v>0</v>
      </c>
      <c r="BL2" s="121">
        <f t="shared" si="3"/>
        <v>0</v>
      </c>
      <c r="BM2" s="121">
        <f t="shared" si="3"/>
        <v>0</v>
      </c>
      <c r="BN2" s="121">
        <f t="shared" si="3"/>
        <v>0</v>
      </c>
      <c r="BO2" s="121">
        <f t="shared" si="3"/>
        <v>0</v>
      </c>
      <c r="BP2" s="121">
        <f t="shared" si="3"/>
        <v>0</v>
      </c>
      <c r="BQ2" s="121">
        <f t="shared" si="3"/>
        <v>0</v>
      </c>
      <c r="BR2" s="121">
        <f t="shared" si="3"/>
        <v>0</v>
      </c>
      <c r="BS2" s="121">
        <f t="shared" si="3"/>
        <v>0</v>
      </c>
      <c r="BT2" s="121">
        <f>MIN(BT256,0)</f>
        <v>0</v>
      </c>
      <c r="BU2" s="121">
        <f>MIN(BU256,0)</f>
        <v>0</v>
      </c>
      <c r="BV2" s="121">
        <f>MIN(BV256,0)</f>
        <v>0</v>
      </c>
      <c r="BW2" s="121">
        <f>MIN(BW256,0)</f>
        <v>0</v>
      </c>
      <c r="BX2" s="121">
        <f t="shared" ref="BX2:CD2" si="4">MIN(BX256,0)</f>
        <v>0</v>
      </c>
      <c r="BY2" s="121">
        <f t="shared" si="4"/>
        <v>0</v>
      </c>
      <c r="BZ2" s="121">
        <f t="shared" si="4"/>
        <v>0</v>
      </c>
      <c r="CA2" s="121">
        <f t="shared" si="4"/>
        <v>0</v>
      </c>
      <c r="CB2" s="121">
        <f t="shared" si="4"/>
        <v>0</v>
      </c>
      <c r="CC2" s="121">
        <f t="shared" si="4"/>
        <v>0</v>
      </c>
      <c r="CD2" s="121">
        <f t="shared" si="4"/>
        <v>0</v>
      </c>
      <c r="CE2" s="121">
        <f>MIN(CE256,0)</f>
        <v>0</v>
      </c>
    </row>
    <row r="3" spans="1:99">
      <c r="A3" s="141"/>
      <c r="B3" s="52"/>
      <c r="C3" s="33"/>
      <c r="D3" s="33"/>
      <c r="E3" s="33"/>
      <c r="F3" s="33"/>
      <c r="G3" s="33"/>
      <c r="H3" s="33"/>
      <c r="I3" s="13"/>
      <c r="J3" s="13"/>
      <c r="K3" s="13"/>
      <c r="L3" s="13"/>
      <c r="M3" s="13"/>
      <c r="N3" s="13"/>
      <c r="O3" s="13"/>
      <c r="P3" s="13"/>
      <c r="Q3" s="13"/>
      <c r="R3" s="13"/>
      <c r="T3" s="3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</row>
    <row r="4" spans="1:99" hidden="1">
      <c r="A4" s="142"/>
      <c r="B4" s="101"/>
      <c r="C4" s="149">
        <f>DATE(C5,12,31)</f>
        <v>39082</v>
      </c>
      <c r="D4" s="149">
        <f t="shared" ref="D4:Q4" si="5">DATE(D5,12,31)</f>
        <v>39447</v>
      </c>
      <c r="E4" s="149">
        <f t="shared" si="5"/>
        <v>39813</v>
      </c>
      <c r="F4" s="149">
        <f t="shared" si="5"/>
        <v>40178</v>
      </c>
      <c r="G4" s="149">
        <f t="shared" si="5"/>
        <v>40543</v>
      </c>
      <c r="H4" s="149">
        <f t="shared" si="5"/>
        <v>40908</v>
      </c>
      <c r="I4" s="149">
        <f t="shared" si="5"/>
        <v>41274</v>
      </c>
      <c r="J4" s="149">
        <f t="shared" si="5"/>
        <v>41639</v>
      </c>
      <c r="K4" s="149">
        <f t="shared" si="5"/>
        <v>42004</v>
      </c>
      <c r="L4" s="149">
        <f t="shared" si="5"/>
        <v>42369</v>
      </c>
      <c r="M4" s="149">
        <f t="shared" si="5"/>
        <v>42735</v>
      </c>
      <c r="N4" s="149">
        <f t="shared" si="5"/>
        <v>43100</v>
      </c>
      <c r="O4" s="149">
        <f t="shared" si="5"/>
        <v>43465</v>
      </c>
      <c r="P4" s="149">
        <f t="shared" si="5"/>
        <v>43830</v>
      </c>
      <c r="Q4" s="149">
        <f t="shared" si="5"/>
        <v>44196</v>
      </c>
      <c r="R4" s="103"/>
      <c r="S4" s="192"/>
      <c r="T4" s="149">
        <v>38442</v>
      </c>
      <c r="U4" s="149">
        <f>EOMONTH(T4,3)</f>
        <v>38533</v>
      </c>
      <c r="V4" s="149">
        <f t="shared" ref="V4:BW4" si="6">EOMONTH(U4,3)</f>
        <v>38625</v>
      </c>
      <c r="W4" s="149">
        <f t="shared" si="6"/>
        <v>38717</v>
      </c>
      <c r="X4" s="149">
        <f t="shared" si="6"/>
        <v>38807</v>
      </c>
      <c r="Y4" s="149">
        <f t="shared" si="6"/>
        <v>38898</v>
      </c>
      <c r="Z4" s="149">
        <f t="shared" si="6"/>
        <v>38990</v>
      </c>
      <c r="AA4" s="149">
        <f t="shared" si="6"/>
        <v>39082</v>
      </c>
      <c r="AB4" s="149">
        <f t="shared" si="6"/>
        <v>39172</v>
      </c>
      <c r="AC4" s="149">
        <f t="shared" si="6"/>
        <v>39263</v>
      </c>
      <c r="AD4" s="149">
        <f t="shared" si="6"/>
        <v>39355</v>
      </c>
      <c r="AE4" s="149">
        <f t="shared" si="6"/>
        <v>39447</v>
      </c>
      <c r="AF4" s="149">
        <f t="shared" si="6"/>
        <v>39538</v>
      </c>
      <c r="AG4" s="149">
        <f t="shared" si="6"/>
        <v>39629</v>
      </c>
      <c r="AH4" s="149">
        <f t="shared" si="6"/>
        <v>39721</v>
      </c>
      <c r="AI4" s="149">
        <f t="shared" si="6"/>
        <v>39813</v>
      </c>
      <c r="AJ4" s="149">
        <f t="shared" si="6"/>
        <v>39903</v>
      </c>
      <c r="AK4" s="149">
        <f t="shared" si="6"/>
        <v>39994</v>
      </c>
      <c r="AL4" s="149">
        <f t="shared" si="6"/>
        <v>40086</v>
      </c>
      <c r="AM4" s="149">
        <f t="shared" si="6"/>
        <v>40178</v>
      </c>
      <c r="AN4" s="149">
        <f t="shared" si="6"/>
        <v>40268</v>
      </c>
      <c r="AO4" s="149">
        <f t="shared" si="6"/>
        <v>40359</v>
      </c>
      <c r="AP4" s="149">
        <f t="shared" si="6"/>
        <v>40451</v>
      </c>
      <c r="AQ4" s="149">
        <f t="shared" si="6"/>
        <v>40543</v>
      </c>
      <c r="AR4" s="149">
        <f t="shared" si="6"/>
        <v>40633</v>
      </c>
      <c r="AS4" s="149">
        <f t="shared" si="6"/>
        <v>40724</v>
      </c>
      <c r="AT4" s="149">
        <f t="shared" si="6"/>
        <v>40816</v>
      </c>
      <c r="AU4" s="149">
        <f t="shared" si="6"/>
        <v>40908</v>
      </c>
      <c r="AV4" s="149">
        <f t="shared" si="6"/>
        <v>40999</v>
      </c>
      <c r="AW4" s="149">
        <f t="shared" si="6"/>
        <v>41090</v>
      </c>
      <c r="AX4" s="149">
        <f t="shared" si="6"/>
        <v>41182</v>
      </c>
      <c r="AY4" s="149">
        <f t="shared" si="6"/>
        <v>41274</v>
      </c>
      <c r="AZ4" s="149">
        <f t="shared" si="6"/>
        <v>41364</v>
      </c>
      <c r="BA4" s="149">
        <f t="shared" si="6"/>
        <v>41455</v>
      </c>
      <c r="BB4" s="149">
        <f t="shared" si="6"/>
        <v>41547</v>
      </c>
      <c r="BC4" s="149">
        <f t="shared" si="6"/>
        <v>41639</v>
      </c>
      <c r="BD4" s="149">
        <f t="shared" si="6"/>
        <v>41729</v>
      </c>
      <c r="BE4" s="149">
        <f t="shared" si="6"/>
        <v>41820</v>
      </c>
      <c r="BF4" s="149">
        <f t="shared" si="6"/>
        <v>41912</v>
      </c>
      <c r="BG4" s="149">
        <f t="shared" si="6"/>
        <v>42004</v>
      </c>
      <c r="BH4" s="149">
        <f t="shared" si="6"/>
        <v>42094</v>
      </c>
      <c r="BI4" s="149">
        <f t="shared" si="6"/>
        <v>42185</v>
      </c>
      <c r="BJ4" s="149">
        <f t="shared" si="6"/>
        <v>42277</v>
      </c>
      <c r="BK4" s="149">
        <f t="shared" si="6"/>
        <v>42369</v>
      </c>
      <c r="BL4" s="149">
        <f t="shared" si="6"/>
        <v>42460</v>
      </c>
      <c r="BM4" s="149">
        <f t="shared" si="6"/>
        <v>42551</v>
      </c>
      <c r="BN4" s="149">
        <f t="shared" si="6"/>
        <v>42643</v>
      </c>
      <c r="BO4" s="149">
        <f t="shared" si="6"/>
        <v>42735</v>
      </c>
      <c r="BP4" s="149">
        <f t="shared" si="6"/>
        <v>42825</v>
      </c>
      <c r="BQ4" s="149">
        <f t="shared" si="6"/>
        <v>42916</v>
      </c>
      <c r="BR4" s="149">
        <f t="shared" si="6"/>
        <v>43008</v>
      </c>
      <c r="BS4" s="149">
        <f t="shared" si="6"/>
        <v>43100</v>
      </c>
      <c r="BT4" s="149">
        <f t="shared" si="6"/>
        <v>43190</v>
      </c>
      <c r="BU4" s="149">
        <f t="shared" si="6"/>
        <v>43281</v>
      </c>
      <c r="BV4" s="149">
        <f t="shared" si="6"/>
        <v>43373</v>
      </c>
      <c r="BW4" s="149">
        <f t="shared" si="6"/>
        <v>43465</v>
      </c>
      <c r="BX4" s="149">
        <f t="shared" ref="BX4:CE4" si="7">EOMONTH(BW4,3)</f>
        <v>43555</v>
      </c>
      <c r="BY4" s="149">
        <f t="shared" si="7"/>
        <v>43646</v>
      </c>
      <c r="BZ4" s="149">
        <f t="shared" si="7"/>
        <v>43738</v>
      </c>
      <c r="CA4" s="149">
        <f t="shared" si="7"/>
        <v>43830</v>
      </c>
      <c r="CB4" s="149">
        <f t="shared" si="7"/>
        <v>43921</v>
      </c>
      <c r="CC4" s="149">
        <f t="shared" si="7"/>
        <v>44012</v>
      </c>
      <c r="CD4" s="149">
        <f t="shared" si="7"/>
        <v>44104</v>
      </c>
      <c r="CE4" s="149">
        <f t="shared" si="7"/>
        <v>44196</v>
      </c>
      <c r="CF4" s="192"/>
      <c r="CG4" s="192"/>
      <c r="CH4" s="192"/>
      <c r="CI4" s="192"/>
      <c r="CJ4" s="192"/>
      <c r="CK4" s="192"/>
      <c r="CL4" s="192"/>
      <c r="CM4" s="192"/>
    </row>
    <row r="5" spans="1:99" hidden="1">
      <c r="A5" s="142"/>
      <c r="B5" s="101"/>
      <c r="C5" s="102">
        <v>2006</v>
      </c>
      <c r="D5" s="102">
        <v>2007</v>
      </c>
      <c r="E5" s="102">
        <v>2008</v>
      </c>
      <c r="F5" s="102">
        <v>2009</v>
      </c>
      <c r="G5" s="103">
        <v>2010</v>
      </c>
      <c r="H5" s="103">
        <v>2011</v>
      </c>
      <c r="I5" s="103">
        <v>2012</v>
      </c>
      <c r="J5" s="103">
        <v>2013</v>
      </c>
      <c r="K5" s="103">
        <v>2014</v>
      </c>
      <c r="L5" s="103">
        <v>2015</v>
      </c>
      <c r="M5" s="103">
        <v>2016</v>
      </c>
      <c r="N5" s="103">
        <v>2017</v>
      </c>
      <c r="O5" s="103">
        <v>2018</v>
      </c>
      <c r="P5" s="103">
        <f>+O5+1</f>
        <v>2019</v>
      </c>
      <c r="Q5" s="103">
        <f>+P5+1</f>
        <v>2020</v>
      </c>
      <c r="R5" s="103"/>
      <c r="S5" s="192"/>
      <c r="T5" s="103">
        <v>2005</v>
      </c>
      <c r="U5" s="103">
        <v>2005</v>
      </c>
      <c r="V5" s="103">
        <v>2005</v>
      </c>
      <c r="W5" s="103">
        <v>2005</v>
      </c>
      <c r="X5" s="104">
        <f>T5+1</f>
        <v>2006</v>
      </c>
      <c r="Y5" s="104">
        <f t="shared" ref="Y5:BO5" si="8">U5+1</f>
        <v>2006</v>
      </c>
      <c r="Z5" s="104">
        <f t="shared" si="8"/>
        <v>2006</v>
      </c>
      <c r="AA5" s="104">
        <f t="shared" si="8"/>
        <v>2006</v>
      </c>
      <c r="AB5" s="104">
        <f t="shared" si="8"/>
        <v>2007</v>
      </c>
      <c r="AC5" s="104">
        <f t="shared" si="8"/>
        <v>2007</v>
      </c>
      <c r="AD5" s="104">
        <f t="shared" si="8"/>
        <v>2007</v>
      </c>
      <c r="AE5" s="104">
        <f t="shared" si="8"/>
        <v>2007</v>
      </c>
      <c r="AF5" s="104">
        <f t="shared" si="8"/>
        <v>2008</v>
      </c>
      <c r="AG5" s="104">
        <f t="shared" si="8"/>
        <v>2008</v>
      </c>
      <c r="AH5" s="104">
        <f t="shared" si="8"/>
        <v>2008</v>
      </c>
      <c r="AI5" s="104">
        <f t="shared" si="8"/>
        <v>2008</v>
      </c>
      <c r="AJ5" s="104">
        <f t="shared" si="8"/>
        <v>2009</v>
      </c>
      <c r="AK5" s="104">
        <f t="shared" si="8"/>
        <v>2009</v>
      </c>
      <c r="AL5" s="104">
        <f t="shared" si="8"/>
        <v>2009</v>
      </c>
      <c r="AM5" s="104">
        <f t="shared" si="8"/>
        <v>2009</v>
      </c>
      <c r="AN5" s="104">
        <f t="shared" si="8"/>
        <v>2010</v>
      </c>
      <c r="AO5" s="104">
        <f t="shared" si="8"/>
        <v>2010</v>
      </c>
      <c r="AP5" s="104">
        <f t="shared" si="8"/>
        <v>2010</v>
      </c>
      <c r="AQ5" s="104">
        <f t="shared" si="8"/>
        <v>2010</v>
      </c>
      <c r="AR5" s="104">
        <f t="shared" si="8"/>
        <v>2011</v>
      </c>
      <c r="AS5" s="104">
        <f t="shared" si="8"/>
        <v>2011</v>
      </c>
      <c r="AT5" s="104">
        <f t="shared" si="8"/>
        <v>2011</v>
      </c>
      <c r="AU5" s="104">
        <f t="shared" si="8"/>
        <v>2011</v>
      </c>
      <c r="AV5" s="104">
        <f t="shared" si="8"/>
        <v>2012</v>
      </c>
      <c r="AW5" s="104">
        <f t="shared" si="8"/>
        <v>2012</v>
      </c>
      <c r="AX5" s="104">
        <f t="shared" si="8"/>
        <v>2012</v>
      </c>
      <c r="AY5" s="104">
        <f t="shared" si="8"/>
        <v>2012</v>
      </c>
      <c r="AZ5" s="104">
        <f t="shared" si="8"/>
        <v>2013</v>
      </c>
      <c r="BA5" s="104">
        <f t="shared" si="8"/>
        <v>2013</v>
      </c>
      <c r="BB5" s="104">
        <f t="shared" si="8"/>
        <v>2013</v>
      </c>
      <c r="BC5" s="104">
        <f t="shared" si="8"/>
        <v>2013</v>
      </c>
      <c r="BD5" s="104">
        <f t="shared" si="8"/>
        <v>2014</v>
      </c>
      <c r="BE5" s="104">
        <f t="shared" si="8"/>
        <v>2014</v>
      </c>
      <c r="BF5" s="104">
        <f t="shared" si="8"/>
        <v>2014</v>
      </c>
      <c r="BG5" s="104">
        <f>BC5+1</f>
        <v>2014</v>
      </c>
      <c r="BH5" s="104">
        <f>BD5+1</f>
        <v>2015</v>
      </c>
      <c r="BI5" s="104">
        <f>BE5+1</f>
        <v>2015</v>
      </c>
      <c r="BJ5" s="104">
        <f>BF5+1</f>
        <v>2015</v>
      </c>
      <c r="BK5" s="104">
        <f t="shared" si="8"/>
        <v>2015</v>
      </c>
      <c r="BL5" s="104">
        <f t="shared" si="8"/>
        <v>2016</v>
      </c>
      <c r="BM5" s="104">
        <f t="shared" si="8"/>
        <v>2016</v>
      </c>
      <c r="BN5" s="104">
        <f t="shared" si="8"/>
        <v>2016</v>
      </c>
      <c r="BO5" s="104">
        <f t="shared" si="8"/>
        <v>2016</v>
      </c>
      <c r="BP5" s="104">
        <f t="shared" ref="BP5:BW5" si="9">BL5+1</f>
        <v>2017</v>
      </c>
      <c r="BQ5" s="104">
        <f t="shared" si="9"/>
        <v>2017</v>
      </c>
      <c r="BR5" s="104">
        <f t="shared" si="9"/>
        <v>2017</v>
      </c>
      <c r="BS5" s="104">
        <f t="shared" si="9"/>
        <v>2017</v>
      </c>
      <c r="BT5" s="104">
        <f t="shared" si="9"/>
        <v>2018</v>
      </c>
      <c r="BU5" s="104">
        <f t="shared" si="9"/>
        <v>2018</v>
      </c>
      <c r="BV5" s="104">
        <f t="shared" si="9"/>
        <v>2018</v>
      </c>
      <c r="BW5" s="104">
        <f t="shared" si="9"/>
        <v>2018</v>
      </c>
      <c r="BX5" s="104">
        <f t="shared" ref="BX5:CE5" si="10">BT5+1</f>
        <v>2019</v>
      </c>
      <c r="BY5" s="104">
        <f t="shared" si="10"/>
        <v>2019</v>
      </c>
      <c r="BZ5" s="104">
        <f t="shared" si="10"/>
        <v>2019</v>
      </c>
      <c r="CA5" s="104">
        <f t="shared" si="10"/>
        <v>2019</v>
      </c>
      <c r="CB5" s="104">
        <f t="shared" si="10"/>
        <v>2020</v>
      </c>
      <c r="CC5" s="104">
        <f t="shared" si="10"/>
        <v>2020</v>
      </c>
      <c r="CD5" s="104">
        <f t="shared" si="10"/>
        <v>2020</v>
      </c>
      <c r="CE5" s="104">
        <f t="shared" si="10"/>
        <v>2020</v>
      </c>
      <c r="CF5" s="192"/>
      <c r="CG5" s="192"/>
      <c r="CH5" s="192"/>
      <c r="CI5" s="192"/>
      <c r="CJ5" s="192"/>
      <c r="CK5" s="192"/>
      <c r="CL5" s="192"/>
      <c r="CM5" s="192"/>
    </row>
    <row r="6" spans="1:99" ht="12.75" customHeight="1">
      <c r="A6" s="141"/>
      <c r="B6" s="5"/>
      <c r="C6" s="36">
        <v>2006</v>
      </c>
      <c r="D6" s="36">
        <v>2007</v>
      </c>
      <c r="E6" s="36">
        <v>2008</v>
      </c>
      <c r="F6" s="36">
        <v>2009</v>
      </c>
      <c r="G6" s="37">
        <v>2010</v>
      </c>
      <c r="H6" s="37">
        <v>2011</v>
      </c>
      <c r="I6" s="37">
        <v>2012</v>
      </c>
      <c r="J6" s="37">
        <v>2013</v>
      </c>
      <c r="K6" s="37">
        <v>2014</v>
      </c>
      <c r="L6" s="37">
        <v>2015</v>
      </c>
      <c r="M6" s="37">
        <v>2016</v>
      </c>
      <c r="N6" s="37">
        <v>2017</v>
      </c>
      <c r="O6" s="37" t="s">
        <v>233</v>
      </c>
      <c r="P6" s="37" t="s">
        <v>272</v>
      </c>
      <c r="Q6" s="37" t="s">
        <v>273</v>
      </c>
      <c r="R6" s="106"/>
      <c r="S6" s="193"/>
      <c r="T6" s="37" t="s">
        <v>3</v>
      </c>
      <c r="U6" s="37" t="s">
        <v>4</v>
      </c>
      <c r="V6" s="37" t="s">
        <v>5</v>
      </c>
      <c r="W6" s="37" t="s">
        <v>26</v>
      </c>
      <c r="X6" s="37" t="s">
        <v>27</v>
      </c>
      <c r="Y6" s="37" t="s">
        <v>28</v>
      </c>
      <c r="Z6" s="37" t="s">
        <v>29</v>
      </c>
      <c r="AA6" s="37" t="s">
        <v>30</v>
      </c>
      <c r="AB6" s="37" t="s">
        <v>31</v>
      </c>
      <c r="AC6" s="37" t="s">
        <v>32</v>
      </c>
      <c r="AD6" s="37" t="s">
        <v>25</v>
      </c>
      <c r="AE6" s="37" t="s">
        <v>24</v>
      </c>
      <c r="AF6" s="37" t="s">
        <v>23</v>
      </c>
      <c r="AG6" s="37" t="s">
        <v>22</v>
      </c>
      <c r="AH6" s="37" t="s">
        <v>21</v>
      </c>
      <c r="AI6" s="37" t="s">
        <v>20</v>
      </c>
      <c r="AJ6" s="37" t="s">
        <v>19</v>
      </c>
      <c r="AK6" s="37" t="s">
        <v>18</v>
      </c>
      <c r="AL6" s="37" t="s">
        <v>17</v>
      </c>
      <c r="AM6" s="37" t="s">
        <v>16</v>
      </c>
      <c r="AN6" s="37" t="s">
        <v>15</v>
      </c>
      <c r="AO6" s="37" t="s">
        <v>146</v>
      </c>
      <c r="AP6" s="37" t="s">
        <v>151</v>
      </c>
      <c r="AQ6" s="37" t="s">
        <v>6</v>
      </c>
      <c r="AR6" s="37" t="s">
        <v>7</v>
      </c>
      <c r="AS6" s="37" t="s">
        <v>152</v>
      </c>
      <c r="AT6" s="37" t="s">
        <v>153</v>
      </c>
      <c r="AU6" s="37" t="s">
        <v>154</v>
      </c>
      <c r="AV6" s="37" t="s">
        <v>156</v>
      </c>
      <c r="AW6" s="37" t="s">
        <v>158</v>
      </c>
      <c r="AX6" s="37" t="s">
        <v>159</v>
      </c>
      <c r="AY6" s="37" t="s">
        <v>160</v>
      </c>
      <c r="AZ6" s="37" t="s">
        <v>161</v>
      </c>
      <c r="BA6" s="37" t="s">
        <v>162</v>
      </c>
      <c r="BB6" s="37" t="s">
        <v>163</v>
      </c>
      <c r="BC6" s="37" t="s">
        <v>164</v>
      </c>
      <c r="BD6" s="37" t="s">
        <v>165</v>
      </c>
      <c r="BE6" s="37" t="s">
        <v>0</v>
      </c>
      <c r="BF6" s="37" t="s">
        <v>1</v>
      </c>
      <c r="BG6" s="37" t="s">
        <v>2</v>
      </c>
      <c r="BH6" s="37" t="s">
        <v>195</v>
      </c>
      <c r="BI6" s="37" t="s">
        <v>232</v>
      </c>
      <c r="BJ6" s="37" t="s">
        <v>234</v>
      </c>
      <c r="BK6" s="37" t="s">
        <v>244</v>
      </c>
      <c r="BL6" s="37" t="s">
        <v>246</v>
      </c>
      <c r="BM6" s="37" t="s">
        <v>263</v>
      </c>
      <c r="BN6" s="37" t="s">
        <v>274</v>
      </c>
      <c r="BO6" s="37" t="s">
        <v>277</v>
      </c>
      <c r="BP6" s="37" t="s">
        <v>283</v>
      </c>
      <c r="BQ6" s="37" t="s">
        <v>295</v>
      </c>
      <c r="BR6" s="37" t="s">
        <v>303</v>
      </c>
      <c r="BS6" s="37" t="s">
        <v>321</v>
      </c>
      <c r="BT6" s="37" t="s">
        <v>228</v>
      </c>
      <c r="BU6" s="37" t="s">
        <v>229</v>
      </c>
      <c r="BV6" s="37" t="s">
        <v>230</v>
      </c>
      <c r="BW6" s="37" t="s">
        <v>231</v>
      </c>
      <c r="BX6" s="37" t="s">
        <v>264</v>
      </c>
      <c r="BY6" s="37" t="s">
        <v>265</v>
      </c>
      <c r="BZ6" s="37" t="s">
        <v>266</v>
      </c>
      <c r="CA6" s="37" t="s">
        <v>267</v>
      </c>
      <c r="CB6" s="37" t="s">
        <v>268</v>
      </c>
      <c r="CC6" s="37" t="s">
        <v>269</v>
      </c>
      <c r="CD6" s="37" t="s">
        <v>270</v>
      </c>
      <c r="CE6" s="37" t="s">
        <v>271</v>
      </c>
      <c r="CN6" s="239" t="s">
        <v>338</v>
      </c>
    </row>
    <row r="7" spans="1:99">
      <c r="A7" s="143" t="s">
        <v>33</v>
      </c>
      <c r="B7" s="11" t="s">
        <v>34</v>
      </c>
      <c r="C7" s="4"/>
      <c r="D7" s="4"/>
      <c r="E7" s="4"/>
      <c r="F7" s="4"/>
      <c r="G7" s="4"/>
      <c r="H7" s="4"/>
      <c r="I7" s="4"/>
      <c r="J7" s="13"/>
      <c r="K7" s="13"/>
      <c r="L7" s="13"/>
      <c r="M7" s="13"/>
      <c r="N7" s="13"/>
      <c r="O7" s="13"/>
      <c r="P7" s="13"/>
      <c r="Q7" s="13"/>
      <c r="R7" s="13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240"/>
    </row>
    <row r="8" spans="1:99" outlineLevel="1">
      <c r="A8" s="144"/>
      <c r="B8" s="17" t="s">
        <v>63</v>
      </c>
      <c r="C8" s="15">
        <f t="shared" ref="C8:Q8" si="11">C$6</f>
        <v>2006</v>
      </c>
      <c r="D8" s="15">
        <f t="shared" si="11"/>
        <v>2007</v>
      </c>
      <c r="E8" s="15">
        <f t="shared" si="11"/>
        <v>2008</v>
      </c>
      <c r="F8" s="15">
        <f t="shared" si="11"/>
        <v>2009</v>
      </c>
      <c r="G8" s="15">
        <f t="shared" si="11"/>
        <v>2010</v>
      </c>
      <c r="H8" s="15">
        <f t="shared" si="11"/>
        <v>2011</v>
      </c>
      <c r="I8" s="15">
        <f t="shared" si="11"/>
        <v>2012</v>
      </c>
      <c r="J8" s="15">
        <f t="shared" si="11"/>
        <v>2013</v>
      </c>
      <c r="K8" s="15">
        <f t="shared" si="11"/>
        <v>2014</v>
      </c>
      <c r="L8" s="15">
        <f t="shared" si="11"/>
        <v>2015</v>
      </c>
      <c r="M8" s="15">
        <f t="shared" si="11"/>
        <v>2016</v>
      </c>
      <c r="N8" s="15">
        <f t="shared" si="11"/>
        <v>2017</v>
      </c>
      <c r="O8" s="15" t="str">
        <f t="shared" si="11"/>
        <v>2018E</v>
      </c>
      <c r="P8" s="15" t="str">
        <f t="shared" si="11"/>
        <v>2019E</v>
      </c>
      <c r="Q8" s="15" t="str">
        <f t="shared" si="11"/>
        <v>2020E</v>
      </c>
      <c r="R8" s="107"/>
      <c r="S8" s="4"/>
      <c r="T8" s="15" t="str">
        <f>T$6</f>
        <v>1Q05</v>
      </c>
      <c r="U8" s="15" t="str">
        <f>U$6</f>
        <v>2Q05</v>
      </c>
      <c r="V8" s="15" t="str">
        <f>V$6</f>
        <v>3Q05</v>
      </c>
      <c r="W8" s="15" t="str">
        <f t="shared" ref="W8:CE8" si="12">W$6</f>
        <v>4Q05</v>
      </c>
      <c r="X8" s="15" t="str">
        <f t="shared" si="12"/>
        <v>1Q06</v>
      </c>
      <c r="Y8" s="15" t="str">
        <f t="shared" si="12"/>
        <v>2Q06</v>
      </c>
      <c r="Z8" s="15" t="str">
        <f t="shared" si="12"/>
        <v>3Q06</v>
      </c>
      <c r="AA8" s="15" t="str">
        <f t="shared" si="12"/>
        <v>4Q06</v>
      </c>
      <c r="AB8" s="15" t="str">
        <f t="shared" si="12"/>
        <v>1Q07</v>
      </c>
      <c r="AC8" s="15" t="str">
        <f t="shared" si="12"/>
        <v>2Q07</v>
      </c>
      <c r="AD8" s="15" t="str">
        <f t="shared" si="12"/>
        <v>3Q07</v>
      </c>
      <c r="AE8" s="15" t="str">
        <f t="shared" si="12"/>
        <v>4Q07</v>
      </c>
      <c r="AF8" s="15" t="str">
        <f t="shared" si="12"/>
        <v>1Q08</v>
      </c>
      <c r="AG8" s="15" t="str">
        <f t="shared" si="12"/>
        <v>2Q08</v>
      </c>
      <c r="AH8" s="15" t="str">
        <f t="shared" si="12"/>
        <v>3Q08</v>
      </c>
      <c r="AI8" s="15" t="str">
        <f t="shared" si="12"/>
        <v>4Q08</v>
      </c>
      <c r="AJ8" s="15" t="str">
        <f t="shared" si="12"/>
        <v>1Q09</v>
      </c>
      <c r="AK8" s="15" t="str">
        <f t="shared" si="12"/>
        <v>2Q09</v>
      </c>
      <c r="AL8" s="15" t="str">
        <f t="shared" si="12"/>
        <v>3Q09</v>
      </c>
      <c r="AM8" s="15" t="str">
        <f t="shared" si="12"/>
        <v>4Q09</v>
      </c>
      <c r="AN8" s="15" t="str">
        <f t="shared" si="12"/>
        <v>1Q10</v>
      </c>
      <c r="AO8" s="15" t="str">
        <f t="shared" si="12"/>
        <v>2Q10</v>
      </c>
      <c r="AP8" s="15" t="str">
        <f t="shared" si="12"/>
        <v>3Q10</v>
      </c>
      <c r="AQ8" s="15" t="str">
        <f t="shared" si="12"/>
        <v>4Q10</v>
      </c>
      <c r="AR8" s="15" t="str">
        <f t="shared" si="12"/>
        <v>1Q11</v>
      </c>
      <c r="AS8" s="15" t="str">
        <f t="shared" si="12"/>
        <v>2Q11</v>
      </c>
      <c r="AT8" s="15" t="str">
        <f t="shared" si="12"/>
        <v>3Q11</v>
      </c>
      <c r="AU8" s="15" t="str">
        <f t="shared" si="12"/>
        <v>4Q11</v>
      </c>
      <c r="AV8" s="15" t="str">
        <f t="shared" si="12"/>
        <v>1Q12</v>
      </c>
      <c r="AW8" s="15" t="str">
        <f t="shared" si="12"/>
        <v>2Q12</v>
      </c>
      <c r="AX8" s="15" t="str">
        <f t="shared" si="12"/>
        <v>3Q12</v>
      </c>
      <c r="AY8" s="15" t="str">
        <f t="shared" si="12"/>
        <v>4Q12</v>
      </c>
      <c r="AZ8" s="15" t="str">
        <f t="shared" si="12"/>
        <v>1Q13</v>
      </c>
      <c r="BA8" s="15" t="str">
        <f t="shared" si="12"/>
        <v>2Q13</v>
      </c>
      <c r="BB8" s="15" t="str">
        <f t="shared" si="12"/>
        <v>3Q13</v>
      </c>
      <c r="BC8" s="15" t="str">
        <f t="shared" si="12"/>
        <v>4Q13</v>
      </c>
      <c r="BD8" s="15" t="str">
        <f t="shared" si="12"/>
        <v>1Q14</v>
      </c>
      <c r="BE8" s="15" t="str">
        <f t="shared" si="12"/>
        <v>2Q14</v>
      </c>
      <c r="BF8" s="15" t="str">
        <f t="shared" si="12"/>
        <v>3Q14</v>
      </c>
      <c r="BG8" s="15" t="str">
        <f t="shared" si="12"/>
        <v>4Q14</v>
      </c>
      <c r="BH8" s="15" t="str">
        <f t="shared" si="12"/>
        <v>1Q15</v>
      </c>
      <c r="BI8" s="15" t="str">
        <f t="shared" si="12"/>
        <v>2Q15</v>
      </c>
      <c r="BJ8" s="15" t="str">
        <f t="shared" si="12"/>
        <v>3Q15</v>
      </c>
      <c r="BK8" s="15" t="str">
        <f t="shared" si="12"/>
        <v>4Q15</v>
      </c>
      <c r="BL8" s="15" t="str">
        <f t="shared" si="12"/>
        <v>1Q16</v>
      </c>
      <c r="BM8" s="15" t="str">
        <f t="shared" si="12"/>
        <v>2Q16</v>
      </c>
      <c r="BN8" s="15" t="str">
        <f t="shared" si="12"/>
        <v>3Q16</v>
      </c>
      <c r="BO8" s="15" t="str">
        <f t="shared" si="12"/>
        <v>4Q16</v>
      </c>
      <c r="BP8" s="15" t="str">
        <f t="shared" si="12"/>
        <v>1Q17</v>
      </c>
      <c r="BQ8" s="15" t="str">
        <f t="shared" si="12"/>
        <v>2Q17</v>
      </c>
      <c r="BR8" s="15" t="str">
        <f t="shared" si="12"/>
        <v>3Q17</v>
      </c>
      <c r="BS8" s="15" t="str">
        <f t="shared" si="12"/>
        <v>4Q17</v>
      </c>
      <c r="BT8" s="15" t="str">
        <f t="shared" si="12"/>
        <v>1Q18E</v>
      </c>
      <c r="BU8" s="15" t="str">
        <f t="shared" si="12"/>
        <v>2Q18E</v>
      </c>
      <c r="BV8" s="15" t="str">
        <f t="shared" si="12"/>
        <v>3Q18E</v>
      </c>
      <c r="BW8" s="15" t="str">
        <f t="shared" si="12"/>
        <v>4Q18E</v>
      </c>
      <c r="BX8" s="15" t="str">
        <f t="shared" si="12"/>
        <v>1Q19E</v>
      </c>
      <c r="BY8" s="15" t="str">
        <f t="shared" si="12"/>
        <v>2Q19E</v>
      </c>
      <c r="BZ8" s="15" t="str">
        <f t="shared" si="12"/>
        <v>3Q19E</v>
      </c>
      <c r="CA8" s="15" t="str">
        <f t="shared" si="12"/>
        <v>4Q19E</v>
      </c>
      <c r="CB8" s="15" t="str">
        <f t="shared" si="12"/>
        <v>1Q20E</v>
      </c>
      <c r="CC8" s="15" t="str">
        <f t="shared" si="12"/>
        <v>2Q20E</v>
      </c>
      <c r="CD8" s="15" t="str">
        <f t="shared" si="12"/>
        <v>3Q20E</v>
      </c>
      <c r="CE8" s="15" t="str">
        <f t="shared" si="12"/>
        <v>4Q20E</v>
      </c>
      <c r="CF8" s="4"/>
      <c r="CG8" s="4"/>
      <c r="CH8" s="4"/>
      <c r="CI8" s="4"/>
      <c r="CJ8" s="4"/>
      <c r="CK8" s="4"/>
      <c r="CL8" s="4"/>
      <c r="CM8" s="4"/>
      <c r="CN8" s="240">
        <v>1</v>
      </c>
    </row>
    <row r="9" spans="1:99" outlineLevel="1">
      <c r="A9" s="144"/>
      <c r="B9" s="7" t="s">
        <v>35</v>
      </c>
      <c r="C9" s="39"/>
      <c r="D9" s="39"/>
      <c r="E9" s="39"/>
      <c r="F9" s="39"/>
      <c r="G9" s="39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4"/>
      <c r="T9" s="4"/>
      <c r="U9" s="4"/>
      <c r="V9" s="4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240">
        <f>+CN8+1</f>
        <v>2</v>
      </c>
    </row>
    <row r="10" spans="1:99" outlineLevel="1">
      <c r="A10" s="144"/>
      <c r="B10" s="45" t="s">
        <v>119</v>
      </c>
      <c r="C10" s="23">
        <f t="shared" ref="C10:F11" si="13">SUMIF($T$5:$BT$5,C$5,$T10:$BT10)</f>
        <v>495.09000000000003</v>
      </c>
      <c r="D10" s="23">
        <f t="shared" si="13"/>
        <v>574.72399999999993</v>
      </c>
      <c r="E10" s="23">
        <f t="shared" si="13"/>
        <v>745.99199999999996</v>
      </c>
      <c r="F10" s="23">
        <f t="shared" si="13"/>
        <v>513.28800000000001</v>
      </c>
      <c r="G10" s="23">
        <f t="shared" ref="G10:Q11" si="14">SUMIF($T$5:$CF$5,G$5,$T10:$CF10)</f>
        <v>979.83300000000008</v>
      </c>
      <c r="H10" s="23">
        <f t="shared" si="14"/>
        <v>1683.7929999999999</v>
      </c>
      <c r="I10" s="23">
        <f t="shared" si="14"/>
        <v>1794.0150000000001</v>
      </c>
      <c r="J10" s="23">
        <f t="shared" si="14"/>
        <v>1729.732</v>
      </c>
      <c r="K10" s="23">
        <f t="shared" si="14"/>
        <v>2180.4569999999999</v>
      </c>
      <c r="L10" s="23">
        <f t="shared" si="14"/>
        <v>1175.2930000000001</v>
      </c>
      <c r="M10" s="23">
        <f t="shared" si="14"/>
        <v>679.654</v>
      </c>
      <c r="N10" s="23">
        <f t="shared" si="14"/>
        <v>1538.3509999999999</v>
      </c>
      <c r="O10" s="23">
        <f t="shared" si="14"/>
        <v>2082.1262966997301</v>
      </c>
      <c r="P10" s="23">
        <f t="shared" si="14"/>
        <v>2397.3740244116652</v>
      </c>
      <c r="Q10" s="23">
        <f t="shared" si="14"/>
        <v>2612.1875132803721</v>
      </c>
      <c r="R10" s="23"/>
      <c r="S10" s="57"/>
      <c r="T10" s="194">
        <v>77.957999999999998</v>
      </c>
      <c r="U10" s="194">
        <v>85.959000000000003</v>
      </c>
      <c r="V10" s="194">
        <v>99.046000000000006</v>
      </c>
      <c r="W10" s="194">
        <v>100.176</v>
      </c>
      <c r="X10" s="194">
        <v>114.761</v>
      </c>
      <c r="Y10" s="194">
        <v>119.572</v>
      </c>
      <c r="Z10" s="194">
        <v>127.929</v>
      </c>
      <c r="AA10" s="194">
        <v>132.828</v>
      </c>
      <c r="AB10" s="194">
        <v>142.30699999999999</v>
      </c>
      <c r="AC10" s="194">
        <v>140.19900000000001</v>
      </c>
      <c r="AD10" s="194">
        <v>134.81899999999999</v>
      </c>
      <c r="AE10" s="194">
        <v>157.399</v>
      </c>
      <c r="AF10" s="194">
        <v>169.23099999999999</v>
      </c>
      <c r="AG10" s="194">
        <v>185.28399999999999</v>
      </c>
      <c r="AH10" s="194">
        <v>203.46199999999999</v>
      </c>
      <c r="AI10" s="194">
        <v>188.01499999999999</v>
      </c>
      <c r="AJ10" s="194">
        <v>151.07900000000001</v>
      </c>
      <c r="AK10" s="194">
        <v>109.98699999999999</v>
      </c>
      <c r="AL10" s="194">
        <v>116.32599999999999</v>
      </c>
      <c r="AM10" s="194">
        <v>135.89599999999999</v>
      </c>
      <c r="AN10" s="194">
        <v>191.40299999999999</v>
      </c>
      <c r="AO10" s="194">
        <v>225.53800000000001</v>
      </c>
      <c r="AP10" s="194">
        <v>268.04899999999998</v>
      </c>
      <c r="AQ10" s="194">
        <v>294.84300000000002</v>
      </c>
      <c r="AR10" s="194">
        <v>349.40199999999999</v>
      </c>
      <c r="AS10" s="194">
        <f>406.736+20</f>
        <v>426.73599999999999</v>
      </c>
      <c r="AT10" s="194">
        <v>463.685</v>
      </c>
      <c r="AU10" s="194">
        <v>443.97</v>
      </c>
      <c r="AV10" s="194">
        <v>461.52100000000002</v>
      </c>
      <c r="AW10" s="194">
        <v>461.64299999999997</v>
      </c>
      <c r="AX10" s="194">
        <v>436.05599999999998</v>
      </c>
      <c r="AY10" s="194">
        <v>434.79500000000002</v>
      </c>
      <c r="AZ10" s="194">
        <v>394.01100000000002</v>
      </c>
      <c r="BA10" s="194">
        <v>424.03</v>
      </c>
      <c r="BB10" s="194">
        <v>458.16800000000001</v>
      </c>
      <c r="BC10" s="194">
        <v>453.52300000000002</v>
      </c>
      <c r="BD10" s="194">
        <v>466.97</v>
      </c>
      <c r="BE10" s="194">
        <v>544.39200000000005</v>
      </c>
      <c r="BF10" s="194">
        <v>576.90800000000002</v>
      </c>
      <c r="BG10" s="194">
        <v>592.18700000000001</v>
      </c>
      <c r="BH10" s="194">
        <v>378.09300000000002</v>
      </c>
      <c r="BI10" s="194">
        <v>275.80599999999998</v>
      </c>
      <c r="BJ10" s="194">
        <v>271.346</v>
      </c>
      <c r="BK10" s="194">
        <v>250.048</v>
      </c>
      <c r="BL10" s="194">
        <v>175.47200000000001</v>
      </c>
      <c r="BM10" s="194">
        <v>131.21700000000001</v>
      </c>
      <c r="BN10" s="194">
        <v>163.33099999999999</v>
      </c>
      <c r="BO10" s="194">
        <v>209.63399999999999</v>
      </c>
      <c r="BP10" s="194">
        <v>286.19799999999998</v>
      </c>
      <c r="BQ10" s="194">
        <v>385.46199999999999</v>
      </c>
      <c r="BR10" s="194">
        <v>455.71899999999999</v>
      </c>
      <c r="BS10" s="194">
        <v>410.97199999999998</v>
      </c>
      <c r="BT10" s="23">
        <f t="shared" ref="BT10:CE10" si="15">BS10*(1+BT42)</f>
        <v>435.43159961610456</v>
      </c>
      <c r="BU10" s="23">
        <f t="shared" si="15"/>
        <v>515.30951458811126</v>
      </c>
      <c r="BV10" s="23">
        <f t="shared" si="15"/>
        <v>556.55660179270251</v>
      </c>
      <c r="BW10" s="23">
        <f t="shared" si="15"/>
        <v>574.82858070281213</v>
      </c>
      <c r="BX10" s="23">
        <f t="shared" si="15"/>
        <v>578.64800192011057</v>
      </c>
      <c r="BY10" s="23">
        <f t="shared" si="15"/>
        <v>580.47773212605239</v>
      </c>
      <c r="BZ10" s="23">
        <f t="shared" si="15"/>
        <v>601.23301021544228</v>
      </c>
      <c r="CA10" s="23">
        <f t="shared" si="15"/>
        <v>637.01528015005965</v>
      </c>
      <c r="CB10" s="23">
        <f t="shared" si="15"/>
        <v>653.49725676843707</v>
      </c>
      <c r="CC10" s="23">
        <f t="shared" si="15"/>
        <v>651.69574297506085</v>
      </c>
      <c r="CD10" s="23">
        <f t="shared" si="15"/>
        <v>652.59649987174896</v>
      </c>
      <c r="CE10" s="23">
        <f t="shared" si="15"/>
        <v>654.39801366512518</v>
      </c>
      <c r="CF10" s="57"/>
      <c r="CG10" s="4"/>
      <c r="CH10" s="4"/>
      <c r="CI10" s="4"/>
      <c r="CJ10" s="4"/>
      <c r="CK10" s="4"/>
      <c r="CL10" s="4"/>
      <c r="CM10" s="4"/>
      <c r="CN10" s="240">
        <f t="shared" ref="CN10:CN73" si="16">+CN9+1</f>
        <v>3</v>
      </c>
    </row>
    <row r="11" spans="1:99" outlineLevel="1">
      <c r="A11" s="144"/>
      <c r="B11" s="45" t="s">
        <v>120</v>
      </c>
      <c r="C11" s="23">
        <f t="shared" si="13"/>
        <v>101.54</v>
      </c>
      <c r="D11" s="23">
        <f t="shared" si="13"/>
        <v>115.50200000000001</v>
      </c>
      <c r="E11" s="23">
        <f t="shared" si="13"/>
        <v>130.98500000000001</v>
      </c>
      <c r="F11" s="23">
        <f t="shared" si="13"/>
        <v>74.574999999999989</v>
      </c>
      <c r="G11" s="23">
        <f t="shared" si="14"/>
        <v>116.551</v>
      </c>
      <c r="H11" s="23">
        <f t="shared" si="14"/>
        <v>146.01400000000001</v>
      </c>
      <c r="I11" s="23">
        <f t="shared" si="14"/>
        <v>151.00799999999998</v>
      </c>
      <c r="J11" s="23">
        <f t="shared" si="14"/>
        <v>131.75700000000001</v>
      </c>
      <c r="K11" s="23">
        <f t="shared" si="14"/>
        <v>156.95600000000002</v>
      </c>
      <c r="L11" s="23">
        <f t="shared" si="14"/>
        <v>88.546999999999997</v>
      </c>
      <c r="M11" s="23">
        <f t="shared" si="14"/>
        <v>49.32</v>
      </c>
      <c r="N11" s="23">
        <f t="shared" si="14"/>
        <v>56.876000000000005</v>
      </c>
      <c r="O11" s="23">
        <f t="shared" si="14"/>
        <v>73.889981418749997</v>
      </c>
      <c r="P11" s="23">
        <f t="shared" si="14"/>
        <v>93.259793516980807</v>
      </c>
      <c r="Q11" s="23">
        <f t="shared" si="14"/>
        <v>130.10952942589611</v>
      </c>
      <c r="R11" s="23"/>
      <c r="S11" s="23"/>
      <c r="T11" s="194">
        <v>14.355</v>
      </c>
      <c r="U11" s="194">
        <v>15.986000000000001</v>
      </c>
      <c r="V11" s="194">
        <v>16.754999999999999</v>
      </c>
      <c r="W11" s="194">
        <v>17.390999999999998</v>
      </c>
      <c r="X11" s="194">
        <v>21.263000000000002</v>
      </c>
      <c r="Y11" s="194">
        <v>26.492999999999999</v>
      </c>
      <c r="Z11" s="194">
        <v>26.28</v>
      </c>
      <c r="AA11" s="194">
        <v>27.504000000000001</v>
      </c>
      <c r="AB11" s="194">
        <v>28.738</v>
      </c>
      <c r="AC11" s="194">
        <v>30.832000000000001</v>
      </c>
      <c r="AD11" s="194">
        <v>27.141999999999999</v>
      </c>
      <c r="AE11" s="194">
        <v>28.79</v>
      </c>
      <c r="AF11" s="194">
        <v>27.995999999999999</v>
      </c>
      <c r="AG11" s="194">
        <v>29.405000000000001</v>
      </c>
      <c r="AH11" s="194">
        <v>33.755000000000003</v>
      </c>
      <c r="AI11" s="194">
        <v>39.829000000000001</v>
      </c>
      <c r="AJ11" s="194">
        <v>25.192</v>
      </c>
      <c r="AK11" s="194">
        <v>17.030999999999999</v>
      </c>
      <c r="AL11" s="194">
        <v>15.833</v>
      </c>
      <c r="AM11" s="194">
        <v>16.518999999999998</v>
      </c>
      <c r="AN11" s="194">
        <v>21.741</v>
      </c>
      <c r="AO11" s="194">
        <v>27.358000000000001</v>
      </c>
      <c r="AP11" s="194">
        <v>34.151000000000003</v>
      </c>
      <c r="AQ11" s="194">
        <v>33.301000000000002</v>
      </c>
      <c r="AR11" s="194">
        <v>32.359000000000002</v>
      </c>
      <c r="AS11" s="194">
        <v>36.292999999999999</v>
      </c>
      <c r="AT11" s="194">
        <v>38.549999999999997</v>
      </c>
      <c r="AU11" s="194">
        <v>38.811999999999998</v>
      </c>
      <c r="AV11" s="194">
        <v>41.036000000000001</v>
      </c>
      <c r="AW11" s="194">
        <v>38.463000000000001</v>
      </c>
      <c r="AX11" s="194">
        <v>36.362000000000002</v>
      </c>
      <c r="AY11" s="194">
        <v>35.146999999999998</v>
      </c>
      <c r="AZ11" s="194">
        <v>31.81</v>
      </c>
      <c r="BA11" s="194">
        <v>33.536000000000001</v>
      </c>
      <c r="BB11" s="194">
        <v>32.953000000000003</v>
      </c>
      <c r="BC11" s="194">
        <v>33.457999999999998</v>
      </c>
      <c r="BD11" s="194">
        <v>34.722000000000001</v>
      </c>
      <c r="BE11" s="194">
        <v>38.439</v>
      </c>
      <c r="BF11" s="194">
        <v>43.776000000000003</v>
      </c>
      <c r="BG11" s="194">
        <v>40.018999999999998</v>
      </c>
      <c r="BH11" s="194">
        <v>28.177</v>
      </c>
      <c r="BI11" s="194">
        <v>21.754000000000001</v>
      </c>
      <c r="BJ11" s="194">
        <v>20.577999999999999</v>
      </c>
      <c r="BK11" s="194">
        <v>18.038</v>
      </c>
      <c r="BL11" s="194">
        <v>13.622999999999999</v>
      </c>
      <c r="BM11" s="194">
        <v>11.781000000000001</v>
      </c>
      <c r="BN11" s="194">
        <v>12.553000000000001</v>
      </c>
      <c r="BO11" s="194">
        <v>11.363</v>
      </c>
      <c r="BP11" s="194">
        <v>11.920999999999999</v>
      </c>
      <c r="BQ11" s="194">
        <v>13.348000000000001</v>
      </c>
      <c r="BR11" s="194">
        <v>15.28</v>
      </c>
      <c r="BS11" s="194">
        <v>16.327000000000002</v>
      </c>
      <c r="BT11" s="23">
        <f t="shared" ref="BT11:CE11" si="17">BS11*(1+BT43)</f>
        <v>17.143350000000002</v>
      </c>
      <c r="BU11" s="23">
        <f t="shared" si="17"/>
        <v>18.000517500000001</v>
      </c>
      <c r="BV11" s="23">
        <f t="shared" si="17"/>
        <v>18.900543375000002</v>
      </c>
      <c r="BW11" s="23">
        <f t="shared" si="17"/>
        <v>19.845570543750004</v>
      </c>
      <c r="BX11" s="23">
        <f t="shared" si="17"/>
        <v>20.837849070937505</v>
      </c>
      <c r="BY11" s="23">
        <f t="shared" si="17"/>
        <v>21.87974152448438</v>
      </c>
      <c r="BZ11" s="23">
        <f t="shared" si="17"/>
        <v>24.067715676932821</v>
      </c>
      <c r="CA11" s="23">
        <f t="shared" si="17"/>
        <v>26.474487244626104</v>
      </c>
      <c r="CB11" s="23">
        <f t="shared" si="17"/>
        <v>29.121935969088717</v>
      </c>
      <c r="CC11" s="23">
        <f t="shared" si="17"/>
        <v>32.034129565997588</v>
      </c>
      <c r="CD11" s="23">
        <f t="shared" si="17"/>
        <v>33.63583604429747</v>
      </c>
      <c r="CE11" s="23">
        <f t="shared" si="17"/>
        <v>35.317627846512345</v>
      </c>
      <c r="CF11" s="4"/>
      <c r="CG11" s="4"/>
      <c r="CH11" s="4"/>
      <c r="CI11" s="4"/>
      <c r="CJ11" s="4"/>
      <c r="CK11" s="4"/>
      <c r="CL11" s="4"/>
      <c r="CM11" s="4"/>
      <c r="CN11" s="240">
        <f t="shared" si="16"/>
        <v>4</v>
      </c>
    </row>
    <row r="12" spans="1:99" outlineLevel="1">
      <c r="A12" s="144"/>
      <c r="B12" s="135" t="s">
        <v>36</v>
      </c>
      <c r="C12" s="54">
        <f t="shared" ref="C12:M12" si="18">SUM(C10:C11)</f>
        <v>596.63</v>
      </c>
      <c r="D12" s="54">
        <f t="shared" si="18"/>
        <v>690.22599999999989</v>
      </c>
      <c r="E12" s="54">
        <f t="shared" si="18"/>
        <v>876.97699999999998</v>
      </c>
      <c r="F12" s="54">
        <f t="shared" si="18"/>
        <v>587.86300000000006</v>
      </c>
      <c r="G12" s="54">
        <f t="shared" si="18"/>
        <v>1096.384</v>
      </c>
      <c r="H12" s="54">
        <f t="shared" si="18"/>
        <v>1829.8069999999998</v>
      </c>
      <c r="I12" s="54">
        <f t="shared" si="18"/>
        <v>1945.0230000000001</v>
      </c>
      <c r="J12" s="54">
        <f t="shared" si="18"/>
        <v>1861.489</v>
      </c>
      <c r="K12" s="54">
        <f t="shared" si="18"/>
        <v>2337.413</v>
      </c>
      <c r="L12" s="54">
        <f t="shared" si="18"/>
        <v>1263.8400000000001</v>
      </c>
      <c r="M12" s="54">
        <f t="shared" si="18"/>
        <v>728.97400000000005</v>
      </c>
      <c r="N12" s="54">
        <f>SUM(N10:N11)</f>
        <v>1595.2269999999999</v>
      </c>
      <c r="O12" s="54">
        <f>SUM(O10:O11)</f>
        <v>2156.0162781184799</v>
      </c>
      <c r="P12" s="54">
        <f>SUM(P10:P11)</f>
        <v>2490.6338179286458</v>
      </c>
      <c r="Q12" s="54">
        <f>SUM(Q10:Q11)</f>
        <v>2742.2970427062683</v>
      </c>
      <c r="R12" s="69"/>
      <c r="S12" s="23"/>
      <c r="T12" s="54">
        <f>SUM(T10:T11)+0.017</f>
        <v>92.33</v>
      </c>
      <c r="U12" s="54">
        <f>SUM(U10:U11)</f>
        <v>101.94500000000001</v>
      </c>
      <c r="V12" s="54">
        <f>SUM(V10:V11)</f>
        <v>115.801</v>
      </c>
      <c r="W12" s="54">
        <f t="shared" ref="W12:AZ12" si="19">SUM(W10:W11)</f>
        <v>117.56700000000001</v>
      </c>
      <c r="X12" s="54">
        <f t="shared" si="19"/>
        <v>136.024</v>
      </c>
      <c r="Y12" s="54">
        <f t="shared" si="19"/>
        <v>146.065</v>
      </c>
      <c r="Z12" s="54">
        <f t="shared" si="19"/>
        <v>154.209</v>
      </c>
      <c r="AA12" s="54">
        <f t="shared" si="19"/>
        <v>160.33199999999999</v>
      </c>
      <c r="AB12" s="54">
        <f t="shared" si="19"/>
        <v>171.04499999999999</v>
      </c>
      <c r="AC12" s="54">
        <f t="shared" si="19"/>
        <v>171.03100000000001</v>
      </c>
      <c r="AD12" s="54">
        <f t="shared" si="19"/>
        <v>161.96099999999998</v>
      </c>
      <c r="AE12" s="54">
        <f t="shared" si="19"/>
        <v>186.18899999999999</v>
      </c>
      <c r="AF12" s="54">
        <f t="shared" si="19"/>
        <v>197.227</v>
      </c>
      <c r="AG12" s="54">
        <f t="shared" si="19"/>
        <v>214.68899999999999</v>
      </c>
      <c r="AH12" s="54">
        <f t="shared" si="19"/>
        <v>237.21699999999998</v>
      </c>
      <c r="AI12" s="54">
        <f t="shared" si="19"/>
        <v>227.84399999999999</v>
      </c>
      <c r="AJ12" s="54">
        <f t="shared" si="19"/>
        <v>176.27100000000002</v>
      </c>
      <c r="AK12" s="54">
        <f t="shared" si="19"/>
        <v>127.018</v>
      </c>
      <c r="AL12" s="54">
        <f t="shared" si="19"/>
        <v>132.15899999999999</v>
      </c>
      <c r="AM12" s="54">
        <f t="shared" si="19"/>
        <v>152.41499999999999</v>
      </c>
      <c r="AN12" s="54">
        <f t="shared" si="19"/>
        <v>213.14400000000001</v>
      </c>
      <c r="AO12" s="54">
        <f t="shared" si="19"/>
        <v>252.89600000000002</v>
      </c>
      <c r="AP12" s="54">
        <f t="shared" si="19"/>
        <v>302.2</v>
      </c>
      <c r="AQ12" s="54">
        <f t="shared" si="19"/>
        <v>328.14400000000001</v>
      </c>
      <c r="AR12" s="54">
        <f t="shared" si="19"/>
        <v>381.76099999999997</v>
      </c>
      <c r="AS12" s="54">
        <f t="shared" si="19"/>
        <v>463.029</v>
      </c>
      <c r="AT12" s="54">
        <f t="shared" si="19"/>
        <v>502.23500000000001</v>
      </c>
      <c r="AU12" s="54">
        <f t="shared" si="19"/>
        <v>482.78200000000004</v>
      </c>
      <c r="AV12" s="54">
        <f t="shared" si="19"/>
        <v>502.55700000000002</v>
      </c>
      <c r="AW12" s="54">
        <f t="shared" si="19"/>
        <v>500.10599999999999</v>
      </c>
      <c r="AX12" s="54">
        <f t="shared" si="19"/>
        <v>472.41800000000001</v>
      </c>
      <c r="AY12" s="54">
        <f t="shared" si="19"/>
        <v>469.94200000000001</v>
      </c>
      <c r="AZ12" s="54">
        <f t="shared" si="19"/>
        <v>425.82100000000003</v>
      </c>
      <c r="BA12" s="54">
        <f t="shared" ref="BA12:BG12" si="20">SUM(BA10:BA11)</f>
        <v>457.56599999999997</v>
      </c>
      <c r="BB12" s="54">
        <f t="shared" si="20"/>
        <v>491.12099999999998</v>
      </c>
      <c r="BC12" s="54">
        <f t="shared" si="20"/>
        <v>486.98099999999999</v>
      </c>
      <c r="BD12" s="54">
        <f t="shared" si="20"/>
        <v>501.69200000000001</v>
      </c>
      <c r="BE12" s="54">
        <f t="shared" si="20"/>
        <v>582.83100000000002</v>
      </c>
      <c r="BF12" s="54">
        <f t="shared" si="20"/>
        <v>620.68399999999997</v>
      </c>
      <c r="BG12" s="54">
        <f t="shared" si="20"/>
        <v>632.20600000000002</v>
      </c>
      <c r="BH12" s="54">
        <f t="shared" ref="BH12:BO12" si="21">SUM(BH10:BH11)</f>
        <v>406.27000000000004</v>
      </c>
      <c r="BI12" s="54">
        <f t="shared" si="21"/>
        <v>297.56</v>
      </c>
      <c r="BJ12" s="54">
        <f t="shared" si="21"/>
        <v>291.92399999999998</v>
      </c>
      <c r="BK12" s="54">
        <f t="shared" si="21"/>
        <v>268.08600000000001</v>
      </c>
      <c r="BL12" s="54">
        <f t="shared" si="21"/>
        <v>189.095</v>
      </c>
      <c r="BM12" s="54">
        <f t="shared" si="21"/>
        <v>142.99800000000002</v>
      </c>
      <c r="BN12" s="54">
        <f t="shared" si="21"/>
        <v>175.88399999999999</v>
      </c>
      <c r="BO12" s="54">
        <f t="shared" si="21"/>
        <v>220.99699999999999</v>
      </c>
      <c r="BP12" s="54">
        <f t="shared" ref="BP12:BW12" si="22">SUM(BP10:BP11)</f>
        <v>298.11899999999997</v>
      </c>
      <c r="BQ12" s="54">
        <f t="shared" si="22"/>
        <v>398.81</v>
      </c>
      <c r="BR12" s="54">
        <f t="shared" si="22"/>
        <v>470.99899999999997</v>
      </c>
      <c r="BS12" s="54">
        <f t="shared" si="22"/>
        <v>427.29899999999998</v>
      </c>
      <c r="BT12" s="54">
        <f t="shared" si="22"/>
        <v>452.57494961610456</v>
      </c>
      <c r="BU12" s="54">
        <f t="shared" si="22"/>
        <v>533.31003208811126</v>
      </c>
      <c r="BV12" s="54">
        <f t="shared" si="22"/>
        <v>575.45714516770249</v>
      </c>
      <c r="BW12" s="54">
        <f t="shared" si="22"/>
        <v>594.67415124656213</v>
      </c>
      <c r="BX12" s="54">
        <f t="shared" ref="BX12:CE12" si="23">SUM(BX10:BX11)</f>
        <v>599.4858509910481</v>
      </c>
      <c r="BY12" s="54">
        <f t="shared" si="23"/>
        <v>602.3574736505368</v>
      </c>
      <c r="BZ12" s="54">
        <f t="shared" si="23"/>
        <v>625.30072589237511</v>
      </c>
      <c r="CA12" s="54">
        <f t="shared" si="23"/>
        <v>663.48976739468571</v>
      </c>
      <c r="CB12" s="54">
        <f t="shared" si="23"/>
        <v>682.61919273752574</v>
      </c>
      <c r="CC12" s="54">
        <f t="shared" si="23"/>
        <v>683.7298725410584</v>
      </c>
      <c r="CD12" s="54">
        <f t="shared" si="23"/>
        <v>686.2323359160464</v>
      </c>
      <c r="CE12" s="54">
        <f t="shared" si="23"/>
        <v>689.7156415116375</v>
      </c>
      <c r="CF12" s="4"/>
      <c r="CG12" s="4"/>
      <c r="CH12" s="4"/>
      <c r="CI12" s="4"/>
      <c r="CJ12" s="4"/>
      <c r="CK12" s="4"/>
      <c r="CL12" s="4"/>
      <c r="CM12" s="4"/>
      <c r="CN12" s="240">
        <f t="shared" si="16"/>
        <v>5</v>
      </c>
    </row>
    <row r="13" spans="1:99" ht="5.0999999999999996" customHeight="1" outlineLevel="1">
      <c r="A13" s="144"/>
      <c r="B13" s="135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23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4"/>
      <c r="CG13" s="4"/>
      <c r="CH13" s="4"/>
      <c r="CI13" s="4"/>
      <c r="CJ13" s="4"/>
      <c r="CK13" s="4"/>
      <c r="CL13" s="4"/>
      <c r="CM13" s="4"/>
      <c r="CN13" s="240">
        <f t="shared" si="16"/>
        <v>6</v>
      </c>
    </row>
    <row r="14" spans="1:99" outlineLevel="1">
      <c r="A14" s="144"/>
      <c r="B14" s="7" t="s">
        <v>251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23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4"/>
      <c r="CG14" s="4"/>
      <c r="CH14" s="4"/>
      <c r="CI14" s="4"/>
      <c r="CJ14" s="4"/>
      <c r="CK14" s="4"/>
      <c r="CL14" s="4"/>
      <c r="CM14" s="4"/>
      <c r="CN14" s="240">
        <f t="shared" si="16"/>
        <v>7</v>
      </c>
    </row>
    <row r="15" spans="1:99" outlineLevel="1">
      <c r="A15" s="144"/>
      <c r="B15" s="45" t="s">
        <v>119</v>
      </c>
      <c r="C15" s="136">
        <f t="shared" ref="C15:F17" si="24">SUMIF($T$5:$BT$5,C$5,$T15:$BT15)</f>
        <v>153.12599999999998</v>
      </c>
      <c r="D15" s="23">
        <f t="shared" si="24"/>
        <v>175.928</v>
      </c>
      <c r="E15" s="23">
        <f t="shared" si="24"/>
        <v>203.387</v>
      </c>
      <c r="F15" s="23">
        <f t="shared" si="24"/>
        <v>81.453000000000003</v>
      </c>
      <c r="G15" s="23">
        <f t="shared" ref="G15:O17" si="25">SUMIF($T$5:$CF$5,G$5,$T15:$CF15)</f>
        <v>323.62400000000002</v>
      </c>
      <c r="H15" s="23">
        <f t="shared" si="25"/>
        <v>603.51099999999997</v>
      </c>
      <c r="I15" s="23">
        <f t="shared" si="25"/>
        <v>603.99299999999994</v>
      </c>
      <c r="J15" s="23">
        <f t="shared" si="25"/>
        <v>457.27199999999993</v>
      </c>
      <c r="K15" s="23">
        <f t="shared" si="25"/>
        <v>588.64</v>
      </c>
      <c r="L15" s="23">
        <f t="shared" si="25"/>
        <v>104.79600000000001</v>
      </c>
      <c r="M15" s="23">
        <f t="shared" si="25"/>
        <v>-12.623000000000005</v>
      </c>
      <c r="N15" s="23">
        <f t="shared" si="25"/>
        <v>396.983</v>
      </c>
      <c r="O15" s="23">
        <f t="shared" si="25"/>
        <v>620.10600983742756</v>
      </c>
      <c r="P15" s="23">
        <f t="shared" ref="P15:Q17" si="26">SUMIF($T$5:$CF$5,P$5,$T15:$CF15)</f>
        <v>743.18594756761604</v>
      </c>
      <c r="Q15" s="23">
        <f t="shared" si="26"/>
        <v>809.77812911691535</v>
      </c>
      <c r="R15" s="23"/>
      <c r="S15" s="23"/>
      <c r="T15" s="136">
        <f t="shared" ref="T15:AY15" si="27">T21-T60</f>
        <v>14.788</v>
      </c>
      <c r="U15" s="136">
        <f t="shared" si="27"/>
        <v>17.329999999999998</v>
      </c>
      <c r="V15" s="136">
        <f t="shared" si="27"/>
        <v>24.911000000000001</v>
      </c>
      <c r="W15" s="136">
        <f t="shared" si="27"/>
        <v>27.018999999999998</v>
      </c>
      <c r="X15" s="136">
        <f t="shared" si="27"/>
        <v>36.238999999999997</v>
      </c>
      <c r="Y15" s="136">
        <f t="shared" si="27"/>
        <v>37.043999999999997</v>
      </c>
      <c r="Z15" s="136">
        <f t="shared" si="27"/>
        <v>40.131</v>
      </c>
      <c r="AA15" s="136">
        <f t="shared" si="27"/>
        <v>39.712000000000003</v>
      </c>
      <c r="AB15" s="23">
        <f t="shared" si="27"/>
        <v>46.31</v>
      </c>
      <c r="AC15" s="23">
        <f t="shared" si="27"/>
        <v>45.39</v>
      </c>
      <c r="AD15" s="23">
        <f t="shared" si="27"/>
        <v>36.460999999999999</v>
      </c>
      <c r="AE15" s="23">
        <f t="shared" si="27"/>
        <v>47.767000000000003</v>
      </c>
      <c r="AF15" s="23">
        <f t="shared" si="27"/>
        <v>42.194000000000003</v>
      </c>
      <c r="AG15" s="23">
        <f t="shared" si="27"/>
        <v>54.894999999999996</v>
      </c>
      <c r="AH15" s="23">
        <f t="shared" si="27"/>
        <v>58.518000000000001</v>
      </c>
      <c r="AI15" s="23">
        <f t="shared" si="27"/>
        <v>47.78</v>
      </c>
      <c r="AJ15" s="23">
        <f t="shared" si="27"/>
        <v>27.752000000000002</v>
      </c>
      <c r="AK15" s="23">
        <f t="shared" si="27"/>
        <v>13.635000000000002</v>
      </c>
      <c r="AL15" s="23">
        <f t="shared" si="27"/>
        <v>16.518999999999998</v>
      </c>
      <c r="AM15" s="23">
        <f t="shared" si="27"/>
        <v>23.547000000000001</v>
      </c>
      <c r="AN15" s="23">
        <f t="shared" si="27"/>
        <v>50.396000000000001</v>
      </c>
      <c r="AO15" s="23">
        <f t="shared" si="27"/>
        <v>72.932000000000002</v>
      </c>
      <c r="AP15" s="23">
        <f t="shared" si="27"/>
        <v>91.594999999999999</v>
      </c>
      <c r="AQ15" s="23">
        <f t="shared" si="27"/>
        <v>108.70099999999999</v>
      </c>
      <c r="AR15" s="23">
        <f t="shared" si="27"/>
        <v>132.733</v>
      </c>
      <c r="AS15" s="23">
        <f t="shared" si="27"/>
        <v>147.36099999999999</v>
      </c>
      <c r="AT15" s="23">
        <f t="shared" si="27"/>
        <v>167.42600000000002</v>
      </c>
      <c r="AU15" s="23">
        <f t="shared" si="27"/>
        <v>155.99099999999999</v>
      </c>
      <c r="AV15" s="23">
        <f t="shared" si="27"/>
        <v>168.649</v>
      </c>
      <c r="AW15" s="23">
        <f t="shared" si="27"/>
        <v>157.40699999999998</v>
      </c>
      <c r="AX15" s="23">
        <f t="shared" si="27"/>
        <v>144.941</v>
      </c>
      <c r="AY15" s="23">
        <f t="shared" si="27"/>
        <v>132.99599999999998</v>
      </c>
      <c r="AZ15" s="23">
        <f t="shared" ref="AZ15:BQ15" si="28">AZ21-AZ60</f>
        <v>103.282</v>
      </c>
      <c r="BA15" s="23">
        <f t="shared" si="28"/>
        <v>110.78399999999999</v>
      </c>
      <c r="BB15" s="23">
        <f t="shared" si="28"/>
        <v>131.34</v>
      </c>
      <c r="BC15" s="23">
        <f t="shared" si="28"/>
        <v>111.86600000000001</v>
      </c>
      <c r="BD15" s="23">
        <f t="shared" si="28"/>
        <v>112.24000000000001</v>
      </c>
      <c r="BE15" s="23">
        <f t="shared" si="28"/>
        <v>148.21199999999999</v>
      </c>
      <c r="BF15" s="23">
        <f t="shared" si="28"/>
        <v>152.06400000000002</v>
      </c>
      <c r="BG15" s="23">
        <f t="shared" si="28"/>
        <v>176.124</v>
      </c>
      <c r="BH15" s="23">
        <f t="shared" si="28"/>
        <v>63.538000000000004</v>
      </c>
      <c r="BI15" s="23">
        <f t="shared" si="28"/>
        <v>12.123000000000005</v>
      </c>
      <c r="BJ15" s="23">
        <f t="shared" si="28"/>
        <v>16.485999999999983</v>
      </c>
      <c r="BK15" s="23">
        <f t="shared" si="28"/>
        <v>12.649000000000015</v>
      </c>
      <c r="BL15" s="23">
        <f t="shared" si="28"/>
        <v>-9.6460000000000008</v>
      </c>
      <c r="BM15" s="23">
        <f t="shared" si="28"/>
        <v>-16.080999999999996</v>
      </c>
      <c r="BN15" s="23">
        <f t="shared" si="28"/>
        <v>-2.974000000000018</v>
      </c>
      <c r="BO15" s="23">
        <f t="shared" si="28"/>
        <v>16.07800000000001</v>
      </c>
      <c r="BP15" s="23">
        <f t="shared" si="28"/>
        <v>48.698999999999998</v>
      </c>
      <c r="BQ15" s="23">
        <f t="shared" si="28"/>
        <v>107.649</v>
      </c>
      <c r="BR15" s="23">
        <f t="shared" ref="BR15:BR17" si="29">BR21-BR60</f>
        <v>139.67399999999998</v>
      </c>
      <c r="BS15" s="23">
        <f t="shared" ref="BS15" si="30">BS21-BS60</f>
        <v>100.96100000000001</v>
      </c>
      <c r="BT15" s="23">
        <f t="shared" ref="BT15:CE15" si="31">+BT45*BT10</f>
        <v>117.56653189634824</v>
      </c>
      <c r="BU15" s="23">
        <f t="shared" si="31"/>
        <v>154.59285437643337</v>
      </c>
      <c r="BV15" s="23">
        <f t="shared" si="31"/>
        <v>169.74976354677426</v>
      </c>
      <c r="BW15" s="23">
        <f t="shared" si="31"/>
        <v>178.19686001787176</v>
      </c>
      <c r="BX15" s="23">
        <f t="shared" si="31"/>
        <v>179.38088059523429</v>
      </c>
      <c r="BY15" s="23">
        <f t="shared" si="31"/>
        <v>179.94809695907625</v>
      </c>
      <c r="BZ15" s="23">
        <f t="shared" si="31"/>
        <v>186.3822331667871</v>
      </c>
      <c r="CA15" s="23">
        <f t="shared" si="31"/>
        <v>197.47473684651848</v>
      </c>
      <c r="CB15" s="23">
        <f t="shared" si="31"/>
        <v>202.5841495982155</v>
      </c>
      <c r="CC15" s="23">
        <f t="shared" si="31"/>
        <v>202.02568032226887</v>
      </c>
      <c r="CD15" s="23">
        <f t="shared" si="31"/>
        <v>202.30491496024217</v>
      </c>
      <c r="CE15" s="23">
        <f t="shared" si="31"/>
        <v>202.86338423618881</v>
      </c>
      <c r="CF15" s="4"/>
      <c r="CG15" s="4"/>
      <c r="CH15" s="4"/>
      <c r="CI15" s="4"/>
      <c r="CJ15" s="4"/>
      <c r="CK15" s="4"/>
      <c r="CL15" s="4"/>
      <c r="CM15" s="4"/>
      <c r="CN15" s="240">
        <f t="shared" si="16"/>
        <v>8</v>
      </c>
    </row>
    <row r="16" spans="1:99" outlineLevel="1">
      <c r="A16" s="144"/>
      <c r="B16" s="45" t="s">
        <v>120</v>
      </c>
      <c r="C16" s="136">
        <f t="shared" si="24"/>
        <v>30.953000000000003</v>
      </c>
      <c r="D16" s="23">
        <f t="shared" si="24"/>
        <v>48.061000000000007</v>
      </c>
      <c r="E16" s="23">
        <f t="shared" si="24"/>
        <v>61.312999999999995</v>
      </c>
      <c r="F16" s="23">
        <f t="shared" si="24"/>
        <v>26.449000000000005</v>
      </c>
      <c r="G16" s="23">
        <f t="shared" si="25"/>
        <v>57.725999999999999</v>
      </c>
      <c r="H16" s="23">
        <f t="shared" si="25"/>
        <v>79.135999999999996</v>
      </c>
      <c r="I16" s="23">
        <f t="shared" si="25"/>
        <v>76.619</v>
      </c>
      <c r="J16" s="23">
        <f t="shared" si="25"/>
        <v>57.64</v>
      </c>
      <c r="K16" s="23">
        <f t="shared" si="25"/>
        <v>74.087999999999994</v>
      </c>
      <c r="L16" s="23">
        <f t="shared" si="25"/>
        <v>30.334</v>
      </c>
      <c r="M16" s="23">
        <f t="shared" si="25"/>
        <v>-0.41499999999999915</v>
      </c>
      <c r="N16" s="23">
        <f t="shared" si="25"/>
        <v>5.3420000000000005</v>
      </c>
      <c r="O16" s="23">
        <f t="shared" si="25"/>
        <v>13.137988420593752</v>
      </c>
      <c r="P16" s="23">
        <f t="shared" si="26"/>
        <v>19.213747114348642</v>
      </c>
      <c r="Q16" s="23">
        <f t="shared" si="26"/>
        <v>28.624096473697154</v>
      </c>
      <c r="R16" s="23"/>
      <c r="S16" s="23"/>
      <c r="T16" s="136">
        <f t="shared" ref="T16:AY16" si="32">T22-T61</f>
        <v>2.1709999999999998</v>
      </c>
      <c r="U16" s="136">
        <f t="shared" si="32"/>
        <v>3.3109999999999999</v>
      </c>
      <c r="V16" s="136">
        <f t="shared" si="32"/>
        <v>3.2549999999999999</v>
      </c>
      <c r="W16" s="136">
        <f t="shared" si="32"/>
        <v>3.2530000000000001</v>
      </c>
      <c r="X16" s="136">
        <f t="shared" si="32"/>
        <v>5.1909999999999998</v>
      </c>
      <c r="Y16" s="136">
        <f t="shared" si="32"/>
        <v>8.3610000000000007</v>
      </c>
      <c r="Z16" s="136">
        <f t="shared" si="32"/>
        <v>8.2159999999999993</v>
      </c>
      <c r="AA16" s="136">
        <f t="shared" si="32"/>
        <v>9.1850000000000005</v>
      </c>
      <c r="AB16" s="23">
        <f t="shared" si="32"/>
        <v>13.542000000000002</v>
      </c>
      <c r="AC16" s="23">
        <f t="shared" si="32"/>
        <v>12.981000000000002</v>
      </c>
      <c r="AD16" s="23">
        <f t="shared" si="32"/>
        <v>10.222999999999999</v>
      </c>
      <c r="AE16" s="23">
        <f t="shared" si="32"/>
        <v>11.315000000000005</v>
      </c>
      <c r="AF16" s="23">
        <f t="shared" si="32"/>
        <v>11.448</v>
      </c>
      <c r="AG16" s="23">
        <f t="shared" si="32"/>
        <v>12.786000000000001</v>
      </c>
      <c r="AH16" s="23">
        <f t="shared" si="32"/>
        <v>16.681999999999999</v>
      </c>
      <c r="AI16" s="23">
        <f t="shared" si="32"/>
        <v>20.396999999999998</v>
      </c>
      <c r="AJ16" s="23">
        <f t="shared" si="32"/>
        <v>13.936999999999999</v>
      </c>
      <c r="AK16" s="23">
        <f t="shared" si="32"/>
        <v>1.7279999999999993</v>
      </c>
      <c r="AL16" s="23">
        <f t="shared" si="32"/>
        <v>5.2739999999999991</v>
      </c>
      <c r="AM16" s="23">
        <f t="shared" si="32"/>
        <v>5.5100000000000033</v>
      </c>
      <c r="AN16" s="23">
        <f t="shared" si="32"/>
        <v>8.6679999999999993</v>
      </c>
      <c r="AO16" s="23">
        <f t="shared" si="32"/>
        <v>13.387</v>
      </c>
      <c r="AP16" s="23">
        <f t="shared" si="32"/>
        <v>18.690000000000001</v>
      </c>
      <c r="AQ16" s="23">
        <f t="shared" si="32"/>
        <v>16.980999999999998</v>
      </c>
      <c r="AR16" s="23">
        <f t="shared" si="32"/>
        <v>16.608000000000001</v>
      </c>
      <c r="AS16" s="23">
        <f t="shared" si="32"/>
        <v>20.148</v>
      </c>
      <c r="AT16" s="23">
        <f t="shared" si="32"/>
        <v>21</v>
      </c>
      <c r="AU16" s="23">
        <f t="shared" si="32"/>
        <v>21.380000000000003</v>
      </c>
      <c r="AV16" s="23">
        <f t="shared" si="32"/>
        <v>20.369999999999997</v>
      </c>
      <c r="AW16" s="23">
        <f t="shared" si="32"/>
        <v>21.347000000000001</v>
      </c>
      <c r="AX16" s="23">
        <f t="shared" si="32"/>
        <v>17.732999999999997</v>
      </c>
      <c r="AY16" s="23">
        <f t="shared" si="32"/>
        <v>17.169000000000004</v>
      </c>
      <c r="AZ16" s="23">
        <f t="shared" ref="AZ16:BQ16" si="33">AZ22-AZ61</f>
        <v>14.126000000000001</v>
      </c>
      <c r="BA16" s="23">
        <f t="shared" si="33"/>
        <v>15.016000000000002</v>
      </c>
      <c r="BB16" s="23">
        <f t="shared" si="33"/>
        <v>13.906000000000001</v>
      </c>
      <c r="BC16" s="23">
        <f t="shared" si="33"/>
        <v>14.592000000000001</v>
      </c>
      <c r="BD16" s="23">
        <f t="shared" si="33"/>
        <v>15.446</v>
      </c>
      <c r="BE16" s="23">
        <f t="shared" si="33"/>
        <v>16.872</v>
      </c>
      <c r="BF16" s="23">
        <f t="shared" si="33"/>
        <v>22.599</v>
      </c>
      <c r="BG16" s="23">
        <f t="shared" si="33"/>
        <v>19.170999999999999</v>
      </c>
      <c r="BH16" s="23">
        <f t="shared" si="33"/>
        <v>12.073</v>
      </c>
      <c r="BI16" s="23">
        <f t="shared" si="33"/>
        <v>6.8450000000000006</v>
      </c>
      <c r="BJ16" s="23">
        <f t="shared" si="33"/>
        <v>6.3480000000000008</v>
      </c>
      <c r="BK16" s="23">
        <f t="shared" si="33"/>
        <v>5.0680000000000014</v>
      </c>
      <c r="BL16" s="23">
        <f t="shared" si="33"/>
        <v>0.2629999999999999</v>
      </c>
      <c r="BM16" s="23">
        <f t="shared" si="33"/>
        <v>-0.61000000000000032</v>
      </c>
      <c r="BN16" s="23">
        <f t="shared" si="33"/>
        <v>0.66399999999999881</v>
      </c>
      <c r="BO16" s="23">
        <f t="shared" si="33"/>
        <v>-0.73199999999999754</v>
      </c>
      <c r="BP16" s="23">
        <f t="shared" si="33"/>
        <v>-0.16900000000000048</v>
      </c>
      <c r="BQ16" s="23">
        <f t="shared" si="33"/>
        <v>1.0600000000000009</v>
      </c>
      <c r="BR16" s="23">
        <f t="shared" si="29"/>
        <v>2.0859999999999999</v>
      </c>
      <c r="BS16" s="23">
        <f t="shared" ref="BS16" si="34">BS22-BS61</f>
        <v>2.3650000000000002</v>
      </c>
      <c r="BT16" s="23">
        <f t="shared" ref="BT16:CE16" si="35">+BT46*BT11</f>
        <v>2.9143695000000003</v>
      </c>
      <c r="BU16" s="23">
        <f t="shared" si="35"/>
        <v>3.1500905625000004</v>
      </c>
      <c r="BV16" s="23">
        <f t="shared" si="35"/>
        <v>3.4020978075000006</v>
      </c>
      <c r="BW16" s="23">
        <f t="shared" si="35"/>
        <v>3.671430550593751</v>
      </c>
      <c r="BX16" s="23">
        <f t="shared" si="35"/>
        <v>3.9591913234781266</v>
      </c>
      <c r="BY16" s="23">
        <f t="shared" si="35"/>
        <v>4.3759483048968768</v>
      </c>
      <c r="BZ16" s="23">
        <f t="shared" si="35"/>
        <v>5.0542202921558932</v>
      </c>
      <c r="CA16" s="23">
        <f t="shared" si="35"/>
        <v>5.8243871938177447</v>
      </c>
      <c r="CB16" s="23">
        <f t="shared" si="35"/>
        <v>6.4068259131995191</v>
      </c>
      <c r="CC16" s="23">
        <f t="shared" si="35"/>
        <v>7.0475085045194712</v>
      </c>
      <c r="CD16" s="23">
        <f t="shared" si="35"/>
        <v>7.3998839297454451</v>
      </c>
      <c r="CE16" s="23">
        <f t="shared" si="35"/>
        <v>7.7698781262327179</v>
      </c>
      <c r="CF16" s="4"/>
      <c r="CG16" s="4"/>
      <c r="CH16" s="4"/>
      <c r="CI16" s="4"/>
      <c r="CJ16" s="4"/>
      <c r="CK16" s="4"/>
      <c r="CL16" s="4"/>
      <c r="CM16" s="4"/>
      <c r="CN16" s="240">
        <f t="shared" si="16"/>
        <v>9</v>
      </c>
    </row>
    <row r="17" spans="1:92" outlineLevel="1">
      <c r="A17" s="144"/>
      <c r="B17" s="45" t="s">
        <v>122</v>
      </c>
      <c r="C17" s="136">
        <f t="shared" si="24"/>
        <v>-12.247999999999999</v>
      </c>
      <c r="D17" s="23">
        <f t="shared" si="24"/>
        <v>-9.7380000000000013</v>
      </c>
      <c r="E17" s="23">
        <f t="shared" si="24"/>
        <v>-8.4939999999999998</v>
      </c>
      <c r="F17" s="23">
        <f t="shared" si="24"/>
        <v>-11.517000000000001</v>
      </c>
      <c r="G17" s="23">
        <f t="shared" si="25"/>
        <v>-12.902999999999999</v>
      </c>
      <c r="H17" s="23">
        <f t="shared" si="25"/>
        <v>-16.830000000000002</v>
      </c>
      <c r="I17" s="23">
        <f t="shared" si="25"/>
        <v>-17.224</v>
      </c>
      <c r="J17" s="23">
        <f t="shared" si="25"/>
        <v>-17</v>
      </c>
      <c r="K17" s="23">
        <f t="shared" si="25"/>
        <v>-16.472999999999999</v>
      </c>
      <c r="L17" s="23">
        <f t="shared" si="25"/>
        <v>-12.983000000000001</v>
      </c>
      <c r="M17" s="23">
        <f t="shared" si="25"/>
        <v>-14.565999999999999</v>
      </c>
      <c r="N17" s="23">
        <f t="shared" si="25"/>
        <v>-17.100999999999999</v>
      </c>
      <c r="O17" s="23">
        <f t="shared" si="25"/>
        <v>-18</v>
      </c>
      <c r="P17" s="23">
        <f t="shared" si="26"/>
        <v>-20.365340625000002</v>
      </c>
      <c r="Q17" s="23">
        <f t="shared" si="26"/>
        <v>-22.99516690378951</v>
      </c>
      <c r="R17" s="23"/>
      <c r="S17" s="23"/>
      <c r="T17" s="136">
        <f t="shared" ref="T17:AY17" si="36">T23-T62</f>
        <v>-2.5609999999999999</v>
      </c>
      <c r="U17" s="136">
        <f t="shared" si="36"/>
        <v>-2.1040000000000001</v>
      </c>
      <c r="V17" s="136">
        <f t="shared" si="36"/>
        <v>-2.65</v>
      </c>
      <c r="W17" s="136">
        <f t="shared" si="36"/>
        <v>-2.9060000000000001</v>
      </c>
      <c r="X17" s="136">
        <f t="shared" si="36"/>
        <v>-2.9449999999999998</v>
      </c>
      <c r="Y17" s="136">
        <f t="shared" si="36"/>
        <v>-3.024</v>
      </c>
      <c r="Z17" s="136">
        <f t="shared" si="36"/>
        <v>-3.2010000000000001</v>
      </c>
      <c r="AA17" s="136">
        <f t="shared" si="36"/>
        <v>-3.0779999999999998</v>
      </c>
      <c r="AB17" s="23">
        <f t="shared" si="36"/>
        <v>-2.153</v>
      </c>
      <c r="AC17" s="23">
        <f t="shared" si="36"/>
        <v>-2.6080000000000001</v>
      </c>
      <c r="AD17" s="23">
        <f t="shared" si="36"/>
        <v>-2.4810000000000003</v>
      </c>
      <c r="AE17" s="23">
        <f t="shared" si="36"/>
        <v>-2.496</v>
      </c>
      <c r="AF17" s="23">
        <f t="shared" si="36"/>
        <v>-2.4019999999999997</v>
      </c>
      <c r="AG17" s="23">
        <f t="shared" si="36"/>
        <v>-2.177</v>
      </c>
      <c r="AH17" s="23">
        <f t="shared" si="36"/>
        <v>-2.5209999999999999</v>
      </c>
      <c r="AI17" s="23">
        <f t="shared" si="36"/>
        <v>-1.3940000000000001</v>
      </c>
      <c r="AJ17" s="23">
        <f t="shared" si="36"/>
        <v>-2.9940000000000002</v>
      </c>
      <c r="AK17" s="23">
        <f t="shared" si="36"/>
        <v>-2.7970000000000002</v>
      </c>
      <c r="AL17" s="23">
        <f t="shared" si="36"/>
        <v>-2.919</v>
      </c>
      <c r="AM17" s="23">
        <f t="shared" si="36"/>
        <v>-2.8069999999999999</v>
      </c>
      <c r="AN17" s="23">
        <f t="shared" si="36"/>
        <v>-3.371</v>
      </c>
      <c r="AO17" s="23">
        <f t="shared" si="36"/>
        <v>-2.379</v>
      </c>
      <c r="AP17" s="23">
        <f t="shared" si="36"/>
        <v>-3.7090000000000001</v>
      </c>
      <c r="AQ17" s="23">
        <f t="shared" si="36"/>
        <v>-3.444</v>
      </c>
      <c r="AR17" s="23">
        <f t="shared" si="36"/>
        <v>-4.8890000000000002</v>
      </c>
      <c r="AS17" s="23">
        <f t="shared" si="36"/>
        <v>-3.427</v>
      </c>
      <c r="AT17" s="23">
        <f t="shared" si="36"/>
        <v>-3.3170000000000002</v>
      </c>
      <c r="AU17" s="23">
        <f t="shared" si="36"/>
        <v>-5.1970000000000001</v>
      </c>
      <c r="AV17" s="23">
        <f t="shared" si="36"/>
        <v>-5.1879999999999997</v>
      </c>
      <c r="AW17" s="23">
        <f t="shared" si="36"/>
        <v>-3.0420000000000003</v>
      </c>
      <c r="AX17" s="23">
        <f t="shared" si="36"/>
        <v>-4.673</v>
      </c>
      <c r="AY17" s="23">
        <f t="shared" si="36"/>
        <v>-4.3209999999999997</v>
      </c>
      <c r="AZ17" s="23">
        <f t="shared" ref="AZ17:BQ17" si="37">AZ23-AZ62</f>
        <v>-4.7280000000000006</v>
      </c>
      <c r="BA17" s="23">
        <f t="shared" si="37"/>
        <v>-3.423</v>
      </c>
      <c r="BB17" s="23">
        <f t="shared" si="37"/>
        <v>-4.9279999999999999</v>
      </c>
      <c r="BC17" s="23">
        <f t="shared" si="37"/>
        <v>-3.9209999999999998</v>
      </c>
      <c r="BD17" s="23">
        <f t="shared" si="37"/>
        <v>-4.7170000000000005</v>
      </c>
      <c r="BE17" s="23">
        <f t="shared" si="37"/>
        <v>-4.1310000000000002</v>
      </c>
      <c r="BF17" s="23">
        <f t="shared" si="37"/>
        <v>-3.0989999999999998</v>
      </c>
      <c r="BG17" s="23">
        <f t="shared" si="37"/>
        <v>-4.5259999999999998</v>
      </c>
      <c r="BH17" s="23">
        <f t="shared" si="37"/>
        <v>-4.423</v>
      </c>
      <c r="BI17" s="23">
        <f t="shared" si="37"/>
        <v>-3.149</v>
      </c>
      <c r="BJ17" s="23">
        <f t="shared" si="37"/>
        <v>-1.7440000000000002</v>
      </c>
      <c r="BK17" s="23">
        <f t="shared" si="37"/>
        <v>-3.6669999999999998</v>
      </c>
      <c r="BL17" s="23">
        <f t="shared" si="37"/>
        <v>-4.3239999999999998</v>
      </c>
      <c r="BM17" s="23">
        <f t="shared" si="37"/>
        <v>-3.766</v>
      </c>
      <c r="BN17" s="23">
        <f t="shared" si="37"/>
        <v>-3.28</v>
      </c>
      <c r="BO17" s="23">
        <f t="shared" si="37"/>
        <v>-3.1960000000000002</v>
      </c>
      <c r="BP17" s="23">
        <f t="shared" si="37"/>
        <v>-3.81</v>
      </c>
      <c r="BQ17" s="23">
        <f t="shared" si="37"/>
        <v>-4.2030000000000003</v>
      </c>
      <c r="BR17" s="23">
        <f t="shared" si="29"/>
        <v>-5.319</v>
      </c>
      <c r="BS17" s="23">
        <f t="shared" ref="BS17" si="38">BS23-BS62</f>
        <v>-3.7690000000000001</v>
      </c>
      <c r="BT17" s="195">
        <v>-4.5</v>
      </c>
      <c r="BU17" s="195">
        <v>-4.5</v>
      </c>
      <c r="BV17" s="195">
        <v>-4.5</v>
      </c>
      <c r="BW17" s="195">
        <v>-4.5</v>
      </c>
      <c r="BX17" s="195">
        <f t="shared" ref="BX17:CA17" si="39">BW17*1.05</f>
        <v>-4.7250000000000005</v>
      </c>
      <c r="BY17" s="195">
        <f t="shared" si="39"/>
        <v>-4.9612500000000006</v>
      </c>
      <c r="BZ17" s="195">
        <f t="shared" si="39"/>
        <v>-5.2093125000000011</v>
      </c>
      <c r="CA17" s="195">
        <f t="shared" si="39"/>
        <v>-5.4697781250000013</v>
      </c>
      <c r="CB17" s="195">
        <f>CA17*1.02</f>
        <v>-5.5791736875000018</v>
      </c>
      <c r="CC17" s="195">
        <f>CB17*1.02</f>
        <v>-5.6907571612500023</v>
      </c>
      <c r="CD17" s="195">
        <f>CC17*1.02</f>
        <v>-5.8045723044750028</v>
      </c>
      <c r="CE17" s="195">
        <f>CD17*1.02</f>
        <v>-5.9206637505645032</v>
      </c>
      <c r="CF17" s="4"/>
      <c r="CG17" s="4"/>
      <c r="CH17" s="4"/>
      <c r="CI17" s="4"/>
      <c r="CJ17" s="4"/>
      <c r="CK17" s="4"/>
      <c r="CL17" s="4"/>
      <c r="CM17" s="4"/>
      <c r="CN17" s="240">
        <f t="shared" si="16"/>
        <v>10</v>
      </c>
    </row>
    <row r="18" spans="1:92" outlineLevel="1">
      <c r="A18" s="144"/>
      <c r="B18" s="135" t="s">
        <v>170</v>
      </c>
      <c r="C18" s="54">
        <f>SUM(X18:AA18)</f>
        <v>218.54200000000003</v>
      </c>
      <c r="D18" s="54">
        <f t="shared" ref="D18:O18" si="40">SUM(D15:D17)</f>
        <v>214.251</v>
      </c>
      <c r="E18" s="54">
        <f t="shared" si="40"/>
        <v>256.20600000000002</v>
      </c>
      <c r="F18" s="54">
        <f t="shared" si="40"/>
        <v>96.385000000000019</v>
      </c>
      <c r="G18" s="54">
        <f t="shared" si="40"/>
        <v>368.447</v>
      </c>
      <c r="H18" s="54">
        <f t="shared" si="40"/>
        <v>665.81699999999989</v>
      </c>
      <c r="I18" s="54">
        <f t="shared" si="40"/>
        <v>663.38799999999992</v>
      </c>
      <c r="J18" s="54">
        <f t="shared" si="40"/>
        <v>497.91199999999992</v>
      </c>
      <c r="K18" s="54">
        <f t="shared" si="40"/>
        <v>646.255</v>
      </c>
      <c r="L18" s="54">
        <f t="shared" si="40"/>
        <v>122.14699999999999</v>
      </c>
      <c r="M18" s="54">
        <f t="shared" si="40"/>
        <v>-27.604000000000003</v>
      </c>
      <c r="N18" s="54">
        <f t="shared" si="40"/>
        <v>385.22399999999999</v>
      </c>
      <c r="O18" s="54">
        <f t="shared" si="40"/>
        <v>615.24399825802129</v>
      </c>
      <c r="P18" s="54">
        <f>SUM(P15:P17)</f>
        <v>742.03435405696462</v>
      </c>
      <c r="Q18" s="54">
        <f>SUM(Q15:Q17)</f>
        <v>815.40705868682301</v>
      </c>
      <c r="R18" s="69"/>
      <c r="S18" s="23"/>
      <c r="T18" s="54">
        <f t="shared" ref="T18:AA18" si="41">T25-T59-T24</f>
        <v>24.018999999999998</v>
      </c>
      <c r="U18" s="54">
        <f t="shared" si="41"/>
        <v>28.462999999999997</v>
      </c>
      <c r="V18" s="54">
        <f t="shared" si="41"/>
        <v>35.675000000000004</v>
      </c>
      <c r="W18" s="54">
        <f t="shared" si="41"/>
        <v>37.744999999999997</v>
      </c>
      <c r="X18" s="54">
        <f t="shared" si="41"/>
        <v>49.19</v>
      </c>
      <c r="Y18" s="54">
        <f t="shared" si="41"/>
        <v>53.978000000000002</v>
      </c>
      <c r="Z18" s="54">
        <f t="shared" si="41"/>
        <v>56.718000000000004</v>
      </c>
      <c r="AA18" s="54">
        <f t="shared" si="41"/>
        <v>58.655999999999999</v>
      </c>
      <c r="AB18" s="54">
        <f>SUM(AB15:AB17)</f>
        <v>57.699000000000005</v>
      </c>
      <c r="AC18" s="54">
        <f t="shared" ref="AC18:BW18" si="42">SUM(AC15:AC17)</f>
        <v>55.763000000000005</v>
      </c>
      <c r="AD18" s="54">
        <f t="shared" si="42"/>
        <v>44.202999999999996</v>
      </c>
      <c r="AE18" s="54">
        <f t="shared" si="42"/>
        <v>56.586000000000006</v>
      </c>
      <c r="AF18" s="54">
        <f t="shared" si="42"/>
        <v>51.24</v>
      </c>
      <c r="AG18" s="54">
        <f t="shared" si="42"/>
        <v>65.503999999999991</v>
      </c>
      <c r="AH18" s="54">
        <f t="shared" si="42"/>
        <v>72.679000000000002</v>
      </c>
      <c r="AI18" s="54">
        <f t="shared" si="42"/>
        <v>66.782999999999987</v>
      </c>
      <c r="AJ18" s="54">
        <f t="shared" si="42"/>
        <v>38.695</v>
      </c>
      <c r="AK18" s="54">
        <f t="shared" si="42"/>
        <v>12.566000000000001</v>
      </c>
      <c r="AL18" s="54">
        <f t="shared" si="42"/>
        <v>18.873999999999999</v>
      </c>
      <c r="AM18" s="54">
        <f t="shared" si="42"/>
        <v>26.250000000000004</v>
      </c>
      <c r="AN18" s="54">
        <f t="shared" si="42"/>
        <v>55.692999999999998</v>
      </c>
      <c r="AO18" s="54">
        <f t="shared" si="42"/>
        <v>83.94</v>
      </c>
      <c r="AP18" s="54">
        <f t="shared" si="42"/>
        <v>106.57599999999999</v>
      </c>
      <c r="AQ18" s="54">
        <f t="shared" si="42"/>
        <v>122.23799999999999</v>
      </c>
      <c r="AR18" s="54">
        <f t="shared" si="42"/>
        <v>144.452</v>
      </c>
      <c r="AS18" s="54">
        <f t="shared" si="42"/>
        <v>164.08199999999999</v>
      </c>
      <c r="AT18" s="54">
        <f t="shared" si="42"/>
        <v>185.10900000000001</v>
      </c>
      <c r="AU18" s="54">
        <f t="shared" si="42"/>
        <v>172.17399999999998</v>
      </c>
      <c r="AV18" s="54">
        <f t="shared" si="42"/>
        <v>183.83100000000002</v>
      </c>
      <c r="AW18" s="54">
        <f t="shared" si="42"/>
        <v>175.71199999999999</v>
      </c>
      <c r="AX18" s="54">
        <f t="shared" si="42"/>
        <v>158.001</v>
      </c>
      <c r="AY18" s="54">
        <f t="shared" si="42"/>
        <v>145.84399999999999</v>
      </c>
      <c r="AZ18" s="54">
        <f t="shared" si="42"/>
        <v>112.68</v>
      </c>
      <c r="BA18" s="54">
        <f t="shared" si="42"/>
        <v>122.377</v>
      </c>
      <c r="BB18" s="54">
        <f t="shared" si="42"/>
        <v>140.31800000000001</v>
      </c>
      <c r="BC18" s="54">
        <f t="shared" si="42"/>
        <v>122.53700000000001</v>
      </c>
      <c r="BD18" s="54">
        <f t="shared" si="42"/>
        <v>122.96900000000001</v>
      </c>
      <c r="BE18" s="54">
        <f t="shared" si="42"/>
        <v>160.953</v>
      </c>
      <c r="BF18" s="54">
        <f t="shared" si="42"/>
        <v>171.56400000000002</v>
      </c>
      <c r="BG18" s="54">
        <f t="shared" si="42"/>
        <v>190.76899999999998</v>
      </c>
      <c r="BH18" s="54">
        <f t="shared" si="42"/>
        <v>71.188000000000002</v>
      </c>
      <c r="BI18" s="54">
        <f t="shared" si="42"/>
        <v>15.819000000000003</v>
      </c>
      <c r="BJ18" s="54">
        <f t="shared" si="42"/>
        <v>21.089999999999982</v>
      </c>
      <c r="BK18" s="54">
        <f t="shared" si="42"/>
        <v>14.050000000000017</v>
      </c>
      <c r="BL18" s="54">
        <f t="shared" si="42"/>
        <v>-13.707000000000001</v>
      </c>
      <c r="BM18" s="54">
        <f t="shared" ref="BM18:BR18" si="43">SUM(BM15:BM17)</f>
        <v>-20.456999999999994</v>
      </c>
      <c r="BN18" s="54">
        <f t="shared" si="43"/>
        <v>-5.5900000000000194</v>
      </c>
      <c r="BO18" s="54">
        <f t="shared" si="43"/>
        <v>12.150000000000013</v>
      </c>
      <c r="BP18" s="54">
        <f t="shared" si="43"/>
        <v>44.72</v>
      </c>
      <c r="BQ18" s="54">
        <f t="shared" si="43"/>
        <v>104.506</v>
      </c>
      <c r="BR18" s="54">
        <f t="shared" si="43"/>
        <v>136.441</v>
      </c>
      <c r="BS18" s="54">
        <f t="shared" ref="BS18" si="44">SUM(BS15:BS17)</f>
        <v>99.557000000000002</v>
      </c>
      <c r="BT18" s="54">
        <f t="shared" si="42"/>
        <v>115.98090139634824</v>
      </c>
      <c r="BU18" s="54">
        <f t="shared" si="42"/>
        <v>153.24294493893336</v>
      </c>
      <c r="BV18" s="54">
        <f t="shared" si="42"/>
        <v>168.65186135427427</v>
      </c>
      <c r="BW18" s="54">
        <f t="shared" si="42"/>
        <v>177.36829056846551</v>
      </c>
      <c r="BX18" s="54">
        <f t="shared" ref="BX18:CE18" si="45">SUM(BX15:BX17)</f>
        <v>178.61507191871243</v>
      </c>
      <c r="BY18" s="54">
        <f t="shared" si="45"/>
        <v>179.36279526397311</v>
      </c>
      <c r="BZ18" s="54">
        <f t="shared" si="45"/>
        <v>186.22714095894298</v>
      </c>
      <c r="CA18" s="54">
        <f t="shared" si="45"/>
        <v>197.82934591533623</v>
      </c>
      <c r="CB18" s="54">
        <f t="shared" si="45"/>
        <v>203.41180182391503</v>
      </c>
      <c r="CC18" s="54">
        <f t="shared" si="45"/>
        <v>203.38243166553835</v>
      </c>
      <c r="CD18" s="54">
        <f t="shared" si="45"/>
        <v>203.9002265855126</v>
      </c>
      <c r="CE18" s="54">
        <f t="shared" si="45"/>
        <v>204.71259861185703</v>
      </c>
      <c r="CF18" s="4"/>
      <c r="CG18" s="4"/>
      <c r="CH18" s="4"/>
      <c r="CI18" s="4"/>
      <c r="CJ18" s="4"/>
      <c r="CK18" s="4"/>
      <c r="CL18" s="4"/>
      <c r="CM18" s="4"/>
      <c r="CN18" s="240">
        <f t="shared" si="16"/>
        <v>11</v>
      </c>
    </row>
    <row r="19" spans="1:92" ht="5.0999999999999996" customHeight="1" outlineLevel="1">
      <c r="A19" s="144"/>
      <c r="B19" s="135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23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4"/>
      <c r="CG19" s="4"/>
      <c r="CH19" s="4"/>
      <c r="CI19" s="4"/>
      <c r="CJ19" s="4"/>
      <c r="CK19" s="4"/>
      <c r="CL19" s="4"/>
      <c r="CM19" s="4"/>
      <c r="CN19" s="240">
        <f t="shared" si="16"/>
        <v>12</v>
      </c>
    </row>
    <row r="20" spans="1:92" outlineLevel="1">
      <c r="A20" s="144"/>
      <c r="B20" s="7" t="s">
        <v>123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4"/>
      <c r="CG20" s="4"/>
      <c r="CH20" s="4"/>
      <c r="CI20" s="4"/>
      <c r="CJ20" s="4"/>
      <c r="CK20" s="4"/>
      <c r="CL20" s="4"/>
      <c r="CM20" s="4"/>
      <c r="CN20" s="240">
        <f t="shared" si="16"/>
        <v>13</v>
      </c>
    </row>
    <row r="21" spans="1:92" outlineLevel="1">
      <c r="A21" s="144"/>
      <c r="B21" s="45" t="s">
        <v>119</v>
      </c>
      <c r="C21" s="23">
        <f t="shared" ref="C21:F24" si="46">SUMIF($T$5:$BT$5,C$5,$T21:$BT21)</f>
        <v>153.12599999999998</v>
      </c>
      <c r="D21" s="23">
        <f t="shared" si="46"/>
        <v>116.49200000000002</v>
      </c>
      <c r="E21" s="23">
        <f t="shared" si="46"/>
        <v>110.64899999999999</v>
      </c>
      <c r="F21" s="23">
        <f t="shared" si="46"/>
        <v>-20.326999999999998</v>
      </c>
      <c r="G21" s="23">
        <f t="shared" ref="G21:O24" si="47">SUMIF($T$5:$CF$5,G$5,$T21:$CF21)</f>
        <v>217.14400000000001</v>
      </c>
      <c r="H21" s="23">
        <f t="shared" si="47"/>
        <v>451.25900000000001</v>
      </c>
      <c r="I21" s="23">
        <f t="shared" si="47"/>
        <v>420.23099999999999</v>
      </c>
      <c r="J21" s="23">
        <f t="shared" si="47"/>
        <v>276.24599999999998</v>
      </c>
      <c r="K21" s="23">
        <f t="shared" si="47"/>
        <v>390.00400000000002</v>
      </c>
      <c r="L21" s="23">
        <f t="shared" si="47"/>
        <v>-132.982</v>
      </c>
      <c r="M21" s="23">
        <f t="shared" si="47"/>
        <v>-203.80400000000003</v>
      </c>
      <c r="N21" s="23">
        <f t="shared" si="47"/>
        <v>251.476</v>
      </c>
      <c r="O21" s="23">
        <f t="shared" si="47"/>
        <v>467.03662481978154</v>
      </c>
      <c r="P21" s="23">
        <f t="shared" ref="P21:Q24" si="48">SUMIF($T$5:$CF$5,P$5,$T21:$CF21)</f>
        <v>571.55165269545819</v>
      </c>
      <c r="Q21" s="23">
        <f t="shared" si="48"/>
        <v>591.57339205785638</v>
      </c>
      <c r="R21" s="23"/>
      <c r="S21" s="23"/>
      <c r="T21" s="195">
        <v>14.788</v>
      </c>
      <c r="U21" s="195">
        <v>17.329999999999998</v>
      </c>
      <c r="V21" s="195">
        <v>24.911000000000001</v>
      </c>
      <c r="W21" s="195">
        <v>27.018999999999998</v>
      </c>
      <c r="X21" s="195">
        <v>36.238999999999997</v>
      </c>
      <c r="Y21" s="195">
        <v>37.043999999999997</v>
      </c>
      <c r="Z21" s="195">
        <v>40.131</v>
      </c>
      <c r="AA21" s="195">
        <v>39.712000000000003</v>
      </c>
      <c r="AB21" s="195">
        <v>35.286000000000001</v>
      </c>
      <c r="AC21" s="195">
        <v>31.425999999999998</v>
      </c>
      <c r="AD21" s="195">
        <v>20.558</v>
      </c>
      <c r="AE21" s="195">
        <v>29.222000000000001</v>
      </c>
      <c r="AF21" s="195">
        <v>20.687000000000001</v>
      </c>
      <c r="AG21" s="195">
        <v>31.957999999999998</v>
      </c>
      <c r="AH21" s="195">
        <v>34.643999999999998</v>
      </c>
      <c r="AI21" s="195">
        <v>23.36</v>
      </c>
      <c r="AJ21" s="195">
        <v>6.149</v>
      </c>
      <c r="AK21" s="195">
        <v>-15.212</v>
      </c>
      <c r="AL21" s="195">
        <v>-9.5399999999999991</v>
      </c>
      <c r="AM21" s="195">
        <v>-1.724</v>
      </c>
      <c r="AN21" s="195">
        <v>24.957999999999998</v>
      </c>
      <c r="AO21" s="195">
        <v>46.343000000000004</v>
      </c>
      <c r="AP21" s="195">
        <v>65.224999999999994</v>
      </c>
      <c r="AQ21" s="195">
        <v>80.617999999999995</v>
      </c>
      <c r="AR21" s="195">
        <v>99.915999999999997</v>
      </c>
      <c r="AS21" s="195">
        <v>109.509</v>
      </c>
      <c r="AT21" s="195">
        <v>127.877</v>
      </c>
      <c r="AU21" s="195">
        <v>113.95699999999999</v>
      </c>
      <c r="AV21" s="195">
        <v>123.53100000000001</v>
      </c>
      <c r="AW21" s="195">
        <v>112.371</v>
      </c>
      <c r="AX21" s="195">
        <v>98.707999999999998</v>
      </c>
      <c r="AY21" s="195">
        <v>85.620999999999995</v>
      </c>
      <c r="AZ21" s="195">
        <v>58.500999999999998</v>
      </c>
      <c r="BA21" s="195">
        <v>66.123000000000005</v>
      </c>
      <c r="BB21" s="195">
        <v>86.183000000000007</v>
      </c>
      <c r="BC21" s="195">
        <v>65.438999999999993</v>
      </c>
      <c r="BD21" s="195">
        <v>64.896000000000001</v>
      </c>
      <c r="BE21" s="195">
        <v>99.716999999999999</v>
      </c>
      <c r="BF21" s="195">
        <v>102.849</v>
      </c>
      <c r="BG21" s="195">
        <v>122.542</v>
      </c>
      <c r="BH21" s="195">
        <v>5.8620000000000001</v>
      </c>
      <c r="BI21" s="195">
        <v>-49.253</v>
      </c>
      <c r="BJ21" s="195">
        <v>-44.24</v>
      </c>
      <c r="BK21" s="195">
        <v>-45.350999999999999</v>
      </c>
      <c r="BL21" s="195">
        <v>-63.264000000000003</v>
      </c>
      <c r="BM21" s="195">
        <v>-65.69</v>
      </c>
      <c r="BN21" s="195">
        <v>-48.627000000000002</v>
      </c>
      <c r="BO21" s="195">
        <v>-26.222999999999999</v>
      </c>
      <c r="BP21" s="195">
        <v>9.2050000000000001</v>
      </c>
      <c r="BQ21" s="195">
        <v>70.900999999999996</v>
      </c>
      <c r="BR21" s="195">
        <v>104.349</v>
      </c>
      <c r="BS21" s="195">
        <v>67.021000000000001</v>
      </c>
      <c r="BT21" s="108">
        <f t="shared" ref="BT21:CE21" si="49">+BT15+BT60</f>
        <v>83.682556382362321</v>
      </c>
      <c r="BU21" s="108">
        <f t="shared" si="49"/>
        <v>117.1113652677256</v>
      </c>
      <c r="BV21" s="108">
        <f t="shared" si="49"/>
        <v>128.93653099724963</v>
      </c>
      <c r="BW21" s="108">
        <f t="shared" si="49"/>
        <v>137.30617217244401</v>
      </c>
      <c r="BX21" s="108">
        <f t="shared" si="49"/>
        <v>138.3774998833924</v>
      </c>
      <c r="BY21" s="108">
        <f t="shared" si="49"/>
        <v>138.8416599891936</v>
      </c>
      <c r="BZ21" s="108">
        <f t="shared" si="49"/>
        <v>145.18155250021533</v>
      </c>
      <c r="CA21" s="108">
        <f t="shared" si="49"/>
        <v>149.15094032265677</v>
      </c>
      <c r="CB21" s="108">
        <f t="shared" si="49"/>
        <v>147.41146260029328</v>
      </c>
      <c r="CC21" s="108">
        <f t="shared" si="49"/>
        <v>147.29180977461448</v>
      </c>
      <c r="CD21" s="108">
        <f t="shared" si="49"/>
        <v>147.97233672833323</v>
      </c>
      <c r="CE21" s="108">
        <f t="shared" si="49"/>
        <v>148.89778295461542</v>
      </c>
      <c r="CF21" s="4"/>
      <c r="CG21" s="4"/>
      <c r="CH21" s="4"/>
      <c r="CI21" s="4"/>
      <c r="CJ21" s="4"/>
      <c r="CK21" s="4"/>
      <c r="CL21" s="4"/>
      <c r="CM21" s="4"/>
      <c r="CN21" s="240">
        <f t="shared" si="16"/>
        <v>14</v>
      </c>
    </row>
    <row r="22" spans="1:92" outlineLevel="1">
      <c r="A22" s="144"/>
      <c r="B22" s="45" t="s">
        <v>120</v>
      </c>
      <c r="C22" s="23">
        <f t="shared" si="46"/>
        <v>30.953000000000003</v>
      </c>
      <c r="D22" s="23">
        <f t="shared" si="46"/>
        <v>29.954999999999998</v>
      </c>
      <c r="E22" s="23">
        <f t="shared" si="46"/>
        <v>36.515000000000001</v>
      </c>
      <c r="F22" s="23">
        <f t="shared" si="46"/>
        <v>-1.6360000000000001</v>
      </c>
      <c r="G22" s="23">
        <f t="shared" si="47"/>
        <v>31.085999999999999</v>
      </c>
      <c r="H22" s="23">
        <f t="shared" si="47"/>
        <v>51.671999999999997</v>
      </c>
      <c r="I22" s="23">
        <f t="shared" si="47"/>
        <v>45.911999999999999</v>
      </c>
      <c r="J22" s="23">
        <f t="shared" si="47"/>
        <v>26.222999999999999</v>
      </c>
      <c r="K22" s="23">
        <f t="shared" si="47"/>
        <v>42.51</v>
      </c>
      <c r="L22" s="23">
        <f t="shared" si="47"/>
        <v>-2.3630000000000004</v>
      </c>
      <c r="M22" s="23">
        <f t="shared" si="47"/>
        <v>-26.021000000000001</v>
      </c>
      <c r="N22" s="23">
        <f t="shared" si="47"/>
        <v>-12.228</v>
      </c>
      <c r="O22" s="23">
        <f t="shared" si="47"/>
        <v>-4.7712198264619969</v>
      </c>
      <c r="P22" s="23">
        <f t="shared" si="48"/>
        <v>-0.86756652552582558</v>
      </c>
      <c r="Q22" s="23">
        <f t="shared" si="48"/>
        <v>3.0940136551490411</v>
      </c>
      <c r="R22" s="23"/>
      <c r="S22" s="23"/>
      <c r="T22" s="195">
        <v>2.1709999999999998</v>
      </c>
      <c r="U22" s="195">
        <v>3.3109999999999999</v>
      </c>
      <c r="V22" s="195">
        <v>3.2549999999999999</v>
      </c>
      <c r="W22" s="195">
        <v>3.2530000000000001</v>
      </c>
      <c r="X22" s="195">
        <v>5.1909999999999998</v>
      </c>
      <c r="Y22" s="195">
        <v>8.3610000000000007</v>
      </c>
      <c r="Z22" s="195">
        <v>8.2159999999999993</v>
      </c>
      <c r="AA22" s="195">
        <v>9.1850000000000005</v>
      </c>
      <c r="AB22" s="195">
        <v>9.5410000000000004</v>
      </c>
      <c r="AC22" s="195">
        <v>8.4960000000000004</v>
      </c>
      <c r="AD22" s="195">
        <v>5.5270000000000001</v>
      </c>
      <c r="AE22" s="195">
        <v>6.391</v>
      </c>
      <c r="AF22" s="195">
        <v>5.8579999999999997</v>
      </c>
      <c r="AG22" s="195">
        <v>6.7640000000000002</v>
      </c>
      <c r="AH22" s="195">
        <v>10.333</v>
      </c>
      <c r="AI22" s="195">
        <v>13.56</v>
      </c>
      <c r="AJ22" s="195">
        <v>3.706</v>
      </c>
      <c r="AK22" s="195">
        <v>-1.6160000000000001</v>
      </c>
      <c r="AL22" s="195">
        <v>-1.77</v>
      </c>
      <c r="AM22" s="195">
        <v>-1.956</v>
      </c>
      <c r="AN22" s="195">
        <v>1.91</v>
      </c>
      <c r="AO22" s="195">
        <v>6.6390000000000002</v>
      </c>
      <c r="AP22" s="195">
        <v>12.015000000000001</v>
      </c>
      <c r="AQ22" s="195">
        <v>10.522</v>
      </c>
      <c r="AR22" s="195">
        <v>9.9350000000000005</v>
      </c>
      <c r="AS22" s="195">
        <v>13.154</v>
      </c>
      <c r="AT22" s="195">
        <v>14.121</v>
      </c>
      <c r="AU22" s="195">
        <v>14.462</v>
      </c>
      <c r="AV22" s="195">
        <v>13.984999999999999</v>
      </c>
      <c r="AW22" s="195">
        <v>12.542999999999999</v>
      </c>
      <c r="AX22" s="195">
        <v>10.004</v>
      </c>
      <c r="AY22" s="195">
        <v>9.3800000000000008</v>
      </c>
      <c r="AZ22" s="195">
        <v>6.258</v>
      </c>
      <c r="BA22" s="195">
        <v>7.0810000000000004</v>
      </c>
      <c r="BB22" s="195">
        <v>6.0220000000000002</v>
      </c>
      <c r="BC22" s="195">
        <v>6.8620000000000001</v>
      </c>
      <c r="BD22" s="195">
        <v>7.4569999999999999</v>
      </c>
      <c r="BE22" s="195">
        <v>8.9979999999999993</v>
      </c>
      <c r="BF22" s="195">
        <v>14.734999999999999</v>
      </c>
      <c r="BG22" s="195">
        <v>11.32</v>
      </c>
      <c r="BH22" s="195">
        <v>3.907</v>
      </c>
      <c r="BI22" s="195">
        <v>-1.458</v>
      </c>
      <c r="BJ22" s="195">
        <v>-1.85</v>
      </c>
      <c r="BK22" s="195">
        <v>-2.9620000000000002</v>
      </c>
      <c r="BL22" s="195">
        <v>-6.6360000000000001</v>
      </c>
      <c r="BM22" s="195">
        <v>-7.1630000000000003</v>
      </c>
      <c r="BN22" s="195">
        <v>-5.5410000000000004</v>
      </c>
      <c r="BO22" s="195">
        <v>-6.681</v>
      </c>
      <c r="BP22" s="195">
        <v>-5.2210000000000001</v>
      </c>
      <c r="BQ22" s="195">
        <v>-3.339</v>
      </c>
      <c r="BR22" s="195">
        <v>-2.0619999999999998</v>
      </c>
      <c r="BS22" s="195">
        <v>-1.6060000000000001</v>
      </c>
      <c r="BT22" s="108">
        <f t="shared" ref="BT22:CE22" si="50">+BT16+BT61</f>
        <v>-1.0500756021225111</v>
      </c>
      <c r="BU22" s="108">
        <f t="shared" si="50"/>
        <v>-1.2352657501304791</v>
      </c>
      <c r="BV22" s="108">
        <f t="shared" si="50"/>
        <v>-1.3730744510198036</v>
      </c>
      <c r="BW22" s="108">
        <f t="shared" si="50"/>
        <v>-1.1128040231892031</v>
      </c>
      <c r="BX22" s="108">
        <f t="shared" si="50"/>
        <v>-0.83822838208239503</v>
      </c>
      <c r="BY22" s="108">
        <f t="shared" si="50"/>
        <v>-0.43352904358290978</v>
      </c>
      <c r="BZ22" s="108">
        <f t="shared" si="50"/>
        <v>0.23371637562800718</v>
      </c>
      <c r="CA22" s="108">
        <f t="shared" si="50"/>
        <v>0.17047452451147205</v>
      </c>
      <c r="CB22" s="108">
        <f t="shared" si="50"/>
        <v>-4.8410977453078097E-2</v>
      </c>
      <c r="CC22" s="108">
        <f t="shared" si="50"/>
        <v>0.64361339713185739</v>
      </c>
      <c r="CD22" s="108">
        <f t="shared" si="50"/>
        <v>1.0429402597716582</v>
      </c>
      <c r="CE22" s="108">
        <f t="shared" si="50"/>
        <v>1.4558709756986037</v>
      </c>
      <c r="CF22" s="4"/>
      <c r="CG22" s="4"/>
      <c r="CH22" s="4"/>
      <c r="CI22" s="4"/>
      <c r="CJ22" s="4"/>
      <c r="CK22" s="4"/>
      <c r="CL22" s="4"/>
      <c r="CM22" s="4"/>
      <c r="CN22" s="240">
        <f t="shared" si="16"/>
        <v>15</v>
      </c>
    </row>
    <row r="23" spans="1:92" outlineLevel="1">
      <c r="A23" s="144"/>
      <c r="B23" s="45" t="s">
        <v>122</v>
      </c>
      <c r="C23" s="108">
        <f>SUMIF($T$5:$BT$5,C$5,$T23:$BT23)</f>
        <v>-12.247999999999999</v>
      </c>
      <c r="D23" s="108">
        <f>SUMIF($T$5:$BT$5,D$5,$T23:$BT23)</f>
        <v>-10.702000000000002</v>
      </c>
      <c r="E23" s="108">
        <f>SUMIF($T$5:$BT$5,E$5,$T23:$BT23)</f>
        <v>-9.3610000000000007</v>
      </c>
      <c r="F23" s="108">
        <f>SUMIF($T$5:$BT$5,F$5,$T23:$BT23)</f>
        <v>-12.232000000000001</v>
      </c>
      <c r="G23" s="108">
        <f t="shared" ref="G23:Q23" si="51">SUMIF($T$5:$CF$5,G$5,$T23:$CF23)</f>
        <v>-13.143000000000001</v>
      </c>
      <c r="H23" s="23">
        <f t="shared" si="51"/>
        <v>-17.018999999999998</v>
      </c>
      <c r="I23" s="23">
        <f t="shared" si="51"/>
        <v>-17.654</v>
      </c>
      <c r="J23" s="23">
        <f t="shared" si="51"/>
        <v>-17.684999999999999</v>
      </c>
      <c r="K23" s="23">
        <f t="shared" si="51"/>
        <v>-17.071999999999999</v>
      </c>
      <c r="L23" s="23">
        <f t="shared" si="51"/>
        <v>-13.484999999999999</v>
      </c>
      <c r="M23" s="23">
        <f t="shared" si="51"/>
        <v>-15.037000000000001</v>
      </c>
      <c r="N23" s="23">
        <f t="shared" si="51"/>
        <v>-17.561</v>
      </c>
      <c r="O23" s="23">
        <f t="shared" si="51"/>
        <v>-18.509629950117677</v>
      </c>
      <c r="P23" s="23">
        <f t="shared" si="51"/>
        <v>-20.936780675693988</v>
      </c>
      <c r="Q23" s="23">
        <f t="shared" si="51"/>
        <v>-23.721658809731576</v>
      </c>
      <c r="R23" s="23"/>
      <c r="S23" s="23"/>
      <c r="T23" s="195">
        <v>-2.5609999999999999</v>
      </c>
      <c r="U23" s="195">
        <v>-2.1040000000000001</v>
      </c>
      <c r="V23" s="195">
        <v>-2.65</v>
      </c>
      <c r="W23" s="195">
        <v>-2.9060000000000001</v>
      </c>
      <c r="X23" s="195">
        <v>-2.9449999999999998</v>
      </c>
      <c r="Y23" s="195">
        <v>-3.024</v>
      </c>
      <c r="Z23" s="195">
        <v>-3.2010000000000001</v>
      </c>
      <c r="AA23" s="195">
        <v>-3.0779999999999998</v>
      </c>
      <c r="AB23" s="195">
        <v>-2.391</v>
      </c>
      <c r="AC23" s="195">
        <v>-2.8540000000000001</v>
      </c>
      <c r="AD23" s="195">
        <v>-2.7280000000000002</v>
      </c>
      <c r="AE23" s="195">
        <v>-2.7290000000000001</v>
      </c>
      <c r="AF23" s="195">
        <v>-2.6309999999999998</v>
      </c>
      <c r="AG23" s="195">
        <v>-2.395</v>
      </c>
      <c r="AH23" s="195">
        <v>-2.7429999999999999</v>
      </c>
      <c r="AI23" s="195">
        <v>-1.5920000000000001</v>
      </c>
      <c r="AJ23" s="195">
        <v>-3.18</v>
      </c>
      <c r="AK23" s="195">
        <v>-2.9820000000000002</v>
      </c>
      <c r="AL23" s="195">
        <v>-3.105</v>
      </c>
      <c r="AM23" s="195">
        <v>-2.9649999999999999</v>
      </c>
      <c r="AN23" s="195">
        <v>-3.4359999999999999</v>
      </c>
      <c r="AO23" s="195">
        <v>-2.4260000000000002</v>
      </c>
      <c r="AP23" s="195">
        <v>-3.7549999999999999</v>
      </c>
      <c r="AQ23" s="195">
        <v>-3.5259999999999998</v>
      </c>
      <c r="AR23" s="195">
        <v>-4.9359999999999999</v>
      </c>
      <c r="AS23" s="195">
        <v>-3.4740000000000002</v>
      </c>
      <c r="AT23" s="195">
        <v>-3.3650000000000002</v>
      </c>
      <c r="AU23" s="195">
        <v>-5.2439999999999998</v>
      </c>
      <c r="AV23" s="195">
        <v>-5.2549999999999999</v>
      </c>
      <c r="AW23" s="195">
        <v>-3.1520000000000001</v>
      </c>
      <c r="AX23" s="195">
        <v>-4.7930000000000001</v>
      </c>
      <c r="AY23" s="195">
        <v>-4.4539999999999997</v>
      </c>
      <c r="AZ23" s="195">
        <v>-4.9000000000000004</v>
      </c>
      <c r="BA23" s="195">
        <v>-3.5939999999999999</v>
      </c>
      <c r="BB23" s="195">
        <v>-5.0979999999999999</v>
      </c>
      <c r="BC23" s="195">
        <v>-4.093</v>
      </c>
      <c r="BD23" s="195">
        <v>-4.8890000000000002</v>
      </c>
      <c r="BE23" s="195">
        <v>-4.2789999999999999</v>
      </c>
      <c r="BF23" s="195">
        <v>-3.2389999999999999</v>
      </c>
      <c r="BG23" s="195">
        <v>-4.665</v>
      </c>
      <c r="BH23" s="195">
        <v>-4.5570000000000004</v>
      </c>
      <c r="BI23" s="195">
        <v>-3.544</v>
      </c>
      <c r="BJ23" s="195">
        <v>-1.5940000000000001</v>
      </c>
      <c r="BK23" s="195">
        <v>-3.79</v>
      </c>
      <c r="BL23" s="195">
        <f>-6.443+2</f>
        <v>-4.4429999999999996</v>
      </c>
      <c r="BM23" s="195">
        <v>-3.8839999999999999</v>
      </c>
      <c r="BN23" s="195">
        <v>-3.3969999999999998</v>
      </c>
      <c r="BO23" s="195">
        <v>-3.3130000000000002</v>
      </c>
      <c r="BP23" s="195">
        <v>-3.927</v>
      </c>
      <c r="BQ23" s="195">
        <v>-4.319</v>
      </c>
      <c r="BR23" s="195">
        <v>-5.4329999999999998</v>
      </c>
      <c r="BS23" s="195">
        <v>-3.8820000000000001</v>
      </c>
      <c r="BT23" s="108">
        <f t="shared" ref="BT23:CE23" si="52">+BT17+BT62</f>
        <v>-4.6128134718055511</v>
      </c>
      <c r="BU23" s="108">
        <f t="shared" si="52"/>
        <v>-4.6247910509512069</v>
      </c>
      <c r="BV23" s="108">
        <f t="shared" si="52"/>
        <v>-4.6358837736622354</v>
      </c>
      <c r="BW23" s="108">
        <f t="shared" si="52"/>
        <v>-4.6361416536986839</v>
      </c>
      <c r="BX23" s="108">
        <f t="shared" si="52"/>
        <v>-4.8615168538726623</v>
      </c>
      <c r="BY23" s="108">
        <f t="shared" si="52"/>
        <v>-5.0981099698761572</v>
      </c>
      <c r="BZ23" s="108">
        <f t="shared" si="52"/>
        <v>-5.3464862452953046</v>
      </c>
      <c r="CA23" s="108">
        <f t="shared" si="52"/>
        <v>-5.6306676066498653</v>
      </c>
      <c r="CB23" s="108">
        <f t="shared" si="52"/>
        <v>-5.7628658981884291</v>
      </c>
      <c r="CC23" s="108">
        <f t="shared" si="52"/>
        <v>-5.8729883743285214</v>
      </c>
      <c r="CD23" s="108">
        <f t="shared" si="52"/>
        <v>-5.985467452978412</v>
      </c>
      <c r="CE23" s="108">
        <f t="shared" si="52"/>
        <v>-6.1003370842362115</v>
      </c>
      <c r="CF23" s="4"/>
      <c r="CG23" s="4"/>
      <c r="CH23" s="4"/>
      <c r="CI23" s="4"/>
      <c r="CJ23" s="4"/>
      <c r="CK23" s="4"/>
      <c r="CL23" s="4"/>
      <c r="CM23" s="4"/>
      <c r="CN23" s="240">
        <f t="shared" si="16"/>
        <v>16</v>
      </c>
    </row>
    <row r="24" spans="1:92" outlineLevel="1">
      <c r="A24" s="144"/>
      <c r="B24" s="45" t="s">
        <v>125</v>
      </c>
      <c r="C24" s="23">
        <f t="shared" si="46"/>
        <v>5.9690000000000003</v>
      </c>
      <c r="D24" s="23">
        <f t="shared" si="46"/>
        <v>6.2930000000000001</v>
      </c>
      <c r="E24" s="23">
        <f t="shared" si="46"/>
        <v>6.367</v>
      </c>
      <c r="F24" s="23">
        <f t="shared" si="46"/>
        <v>1.1429999999999998</v>
      </c>
      <c r="G24" s="23">
        <f t="shared" si="47"/>
        <v>3.758</v>
      </c>
      <c r="H24" s="23">
        <f t="shared" si="47"/>
        <v>1.4890000000000001</v>
      </c>
      <c r="I24" s="23">
        <f t="shared" si="47"/>
        <v>-4.6950000000000003</v>
      </c>
      <c r="J24" s="23">
        <f t="shared" si="47"/>
        <v>-9.3710000000000004</v>
      </c>
      <c r="K24" s="23">
        <f t="shared" si="47"/>
        <v>-15.472000000000001</v>
      </c>
      <c r="L24" s="23">
        <f t="shared" si="47"/>
        <v>-6.4169999999999998</v>
      </c>
      <c r="M24" s="23">
        <f t="shared" si="47"/>
        <v>7.92</v>
      </c>
      <c r="N24" s="23">
        <f t="shared" si="47"/>
        <v>4.5299999999999994</v>
      </c>
      <c r="O24" s="23">
        <f t="shared" si="47"/>
        <v>-4.9960000000000004</v>
      </c>
      <c r="P24" s="23">
        <f t="shared" si="48"/>
        <v>-4.9960000000000004</v>
      </c>
      <c r="Q24" s="23">
        <f t="shared" si="48"/>
        <v>-4.9960000000000004</v>
      </c>
      <c r="R24" s="23"/>
      <c r="S24" s="23"/>
      <c r="T24" s="195">
        <v>-0.16500000000000001</v>
      </c>
      <c r="U24" s="195">
        <v>-0.13300000000000001</v>
      </c>
      <c r="V24" s="195">
        <v>-2E-3</v>
      </c>
      <c r="W24" s="195">
        <v>-4.3999999999999997E-2</v>
      </c>
      <c r="X24" s="195">
        <v>1.032</v>
      </c>
      <c r="Y24" s="195">
        <v>1.9690000000000001</v>
      </c>
      <c r="Z24" s="195">
        <v>1.4790000000000001</v>
      </c>
      <c r="AA24" s="195">
        <v>1.4890000000000001</v>
      </c>
      <c r="AB24" s="195">
        <v>1.5489999999999999</v>
      </c>
      <c r="AC24" s="195">
        <v>1.637</v>
      </c>
      <c r="AD24" s="195">
        <v>1.306</v>
      </c>
      <c r="AE24" s="195">
        <v>1.8009999999999999</v>
      </c>
      <c r="AF24" s="195">
        <v>1.5269999999999999</v>
      </c>
      <c r="AG24" s="195">
        <v>1.4730000000000001</v>
      </c>
      <c r="AH24" s="195">
        <v>1.998</v>
      </c>
      <c r="AI24" s="195">
        <v>1.369</v>
      </c>
      <c r="AJ24" s="195">
        <v>1.722</v>
      </c>
      <c r="AK24" s="195">
        <v>0.312</v>
      </c>
      <c r="AL24" s="195">
        <v>-0.49199999999999999</v>
      </c>
      <c r="AM24" s="195">
        <v>-0.39900000000000002</v>
      </c>
      <c r="AN24" s="195">
        <v>-0.86399999999999999</v>
      </c>
      <c r="AO24" s="195">
        <v>1.5329999999999999</v>
      </c>
      <c r="AP24" s="195">
        <v>0.90500000000000003</v>
      </c>
      <c r="AQ24" s="195">
        <v>2.1840000000000002</v>
      </c>
      <c r="AR24" s="195">
        <v>1.411</v>
      </c>
      <c r="AS24" s="195">
        <v>7.8E-2</v>
      </c>
      <c r="AT24" s="195">
        <v>0</v>
      </c>
      <c r="AU24" s="195">
        <v>0</v>
      </c>
      <c r="AV24" s="195">
        <v>0</v>
      </c>
      <c r="AW24" s="195">
        <v>-1.9039999999999999</v>
      </c>
      <c r="AX24" s="195">
        <v>-1.5509999999999999</v>
      </c>
      <c r="AY24" s="195">
        <v>-1.24</v>
      </c>
      <c r="AZ24" s="195">
        <v>-2.64</v>
      </c>
      <c r="BA24" s="195">
        <v>-1.7569999999999999</v>
      </c>
      <c r="BB24" s="195">
        <v>-1.268</v>
      </c>
      <c r="BC24" s="195">
        <v>-3.706</v>
      </c>
      <c r="BD24" s="195">
        <v>-2.2320000000000002</v>
      </c>
      <c r="BE24" s="195">
        <v>-1.405</v>
      </c>
      <c r="BF24" s="195">
        <v>-7.6840000000000002</v>
      </c>
      <c r="BG24" s="195">
        <v>-4.1509999999999998</v>
      </c>
      <c r="BH24" s="195">
        <v>0.95799999999999996</v>
      </c>
      <c r="BI24" s="195">
        <v>1.718</v>
      </c>
      <c r="BJ24" s="195">
        <v>-3.7909999999999999</v>
      </c>
      <c r="BK24" s="195">
        <v>-5.3019999999999996</v>
      </c>
      <c r="BL24" s="195">
        <v>1.256</v>
      </c>
      <c r="BM24" s="195">
        <v>1.5149999999999999</v>
      </c>
      <c r="BN24" s="195">
        <v>1.1479999999999999</v>
      </c>
      <c r="BO24" s="195">
        <v>4.0010000000000003</v>
      </c>
      <c r="BP24" s="195">
        <v>1.5169999999999999</v>
      </c>
      <c r="BQ24" s="195">
        <v>3.7589999999999999</v>
      </c>
      <c r="BR24" s="195">
        <v>0.503</v>
      </c>
      <c r="BS24" s="195">
        <v>-1.2490000000000001</v>
      </c>
      <c r="BT24" s="195">
        <f>BS24</f>
        <v>-1.2490000000000001</v>
      </c>
      <c r="BU24" s="195">
        <f>BT24</f>
        <v>-1.2490000000000001</v>
      </c>
      <c r="BV24" s="195">
        <f>BU24</f>
        <v>-1.2490000000000001</v>
      </c>
      <c r="BW24" s="195">
        <f>BV24</f>
        <v>-1.2490000000000001</v>
      </c>
      <c r="BX24" s="195">
        <f t="shared" ref="BX24:CE24" si="53">BW24</f>
        <v>-1.2490000000000001</v>
      </c>
      <c r="BY24" s="195">
        <f t="shared" si="53"/>
        <v>-1.2490000000000001</v>
      </c>
      <c r="BZ24" s="195">
        <f t="shared" si="53"/>
        <v>-1.2490000000000001</v>
      </c>
      <c r="CA24" s="195">
        <f t="shared" si="53"/>
        <v>-1.2490000000000001</v>
      </c>
      <c r="CB24" s="195">
        <f t="shared" si="53"/>
        <v>-1.2490000000000001</v>
      </c>
      <c r="CC24" s="195">
        <f t="shared" si="53"/>
        <v>-1.2490000000000001</v>
      </c>
      <c r="CD24" s="195">
        <f t="shared" si="53"/>
        <v>-1.2490000000000001</v>
      </c>
      <c r="CE24" s="195">
        <f t="shared" si="53"/>
        <v>-1.2490000000000001</v>
      </c>
      <c r="CF24" s="4"/>
      <c r="CG24" s="4"/>
      <c r="CH24" s="4"/>
      <c r="CI24" s="4"/>
      <c r="CJ24" s="4"/>
      <c r="CK24" s="4"/>
      <c r="CL24" s="4"/>
      <c r="CM24" s="4"/>
      <c r="CN24" s="240">
        <f t="shared" si="16"/>
        <v>17</v>
      </c>
    </row>
    <row r="25" spans="1:92" outlineLevel="1">
      <c r="A25" s="144"/>
      <c r="B25" s="173" t="s">
        <v>124</v>
      </c>
      <c r="C25" s="54">
        <f t="shared" ref="C25:Q25" si="54">C18+C59</f>
        <v>171.83100000000002</v>
      </c>
      <c r="D25" s="54">
        <f t="shared" si="54"/>
        <v>135.745</v>
      </c>
      <c r="E25" s="54">
        <f t="shared" si="54"/>
        <v>137.803</v>
      </c>
      <c r="F25" s="54">
        <f t="shared" si="54"/>
        <v>-34.194999999999993</v>
      </c>
      <c r="G25" s="54">
        <f t="shared" si="54"/>
        <v>235.08699999999999</v>
      </c>
      <c r="H25" s="54">
        <f t="shared" si="54"/>
        <v>488.43499999999989</v>
      </c>
      <c r="I25" s="54">
        <f t="shared" si="54"/>
        <v>448.5859999999999</v>
      </c>
      <c r="J25" s="54">
        <f t="shared" si="54"/>
        <v>284.78399999999993</v>
      </c>
      <c r="K25" s="54">
        <f t="shared" si="54"/>
        <v>415.44200000000001</v>
      </c>
      <c r="L25" s="54">
        <f t="shared" si="54"/>
        <v>-148.82999999999998</v>
      </c>
      <c r="M25" s="54">
        <f t="shared" si="54"/>
        <v>-244.86199999999999</v>
      </c>
      <c r="N25" s="54">
        <f t="shared" si="54"/>
        <v>221.68700000000001</v>
      </c>
      <c r="O25" s="54">
        <f t="shared" si="54"/>
        <v>443.75577504320188</v>
      </c>
      <c r="P25" s="54">
        <f t="shared" si="54"/>
        <v>549.74730549423816</v>
      </c>
      <c r="Q25" s="54">
        <f t="shared" si="54"/>
        <v>570.94574690327397</v>
      </c>
      <c r="R25" s="69"/>
      <c r="S25" s="23"/>
      <c r="T25" s="54">
        <f t="shared" ref="T25:AY25" si="55">SUM(T21:T24)</f>
        <v>14.233000000000001</v>
      </c>
      <c r="U25" s="54">
        <f t="shared" si="55"/>
        <v>18.404</v>
      </c>
      <c r="V25" s="54">
        <f t="shared" si="55"/>
        <v>25.514000000000003</v>
      </c>
      <c r="W25" s="54">
        <f t="shared" si="55"/>
        <v>27.321999999999999</v>
      </c>
      <c r="X25" s="54">
        <f t="shared" si="55"/>
        <v>39.516999999999996</v>
      </c>
      <c r="Y25" s="54">
        <f t="shared" si="55"/>
        <v>44.35</v>
      </c>
      <c r="Z25" s="54">
        <f t="shared" si="55"/>
        <v>46.625</v>
      </c>
      <c r="AA25" s="54">
        <f t="shared" si="55"/>
        <v>47.308</v>
      </c>
      <c r="AB25" s="54">
        <f t="shared" si="55"/>
        <v>43.984999999999999</v>
      </c>
      <c r="AC25" s="54">
        <f t="shared" si="55"/>
        <v>38.704999999999998</v>
      </c>
      <c r="AD25" s="54">
        <f t="shared" si="55"/>
        <v>24.663</v>
      </c>
      <c r="AE25" s="54">
        <f t="shared" si="55"/>
        <v>34.685000000000002</v>
      </c>
      <c r="AF25" s="54">
        <f t="shared" si="55"/>
        <v>25.441000000000003</v>
      </c>
      <c r="AG25" s="54">
        <f t="shared" si="55"/>
        <v>37.799999999999997</v>
      </c>
      <c r="AH25" s="54">
        <f t="shared" si="55"/>
        <v>44.231999999999992</v>
      </c>
      <c r="AI25" s="54">
        <f t="shared" si="55"/>
        <v>36.697000000000003</v>
      </c>
      <c r="AJ25" s="54">
        <f t="shared" si="55"/>
        <v>8.3970000000000002</v>
      </c>
      <c r="AK25" s="54">
        <f t="shared" si="55"/>
        <v>-19.497999999999998</v>
      </c>
      <c r="AL25" s="54">
        <f t="shared" si="55"/>
        <v>-14.907</v>
      </c>
      <c r="AM25" s="54">
        <f t="shared" si="55"/>
        <v>-7.0439999999999996</v>
      </c>
      <c r="AN25" s="54">
        <f t="shared" si="55"/>
        <v>22.567999999999998</v>
      </c>
      <c r="AO25" s="54">
        <f t="shared" si="55"/>
        <v>52.089000000000006</v>
      </c>
      <c r="AP25" s="54">
        <f t="shared" si="55"/>
        <v>74.39</v>
      </c>
      <c r="AQ25" s="54">
        <f t="shared" si="55"/>
        <v>89.798000000000002</v>
      </c>
      <c r="AR25" s="54">
        <f t="shared" si="55"/>
        <v>106.32599999999999</v>
      </c>
      <c r="AS25" s="54">
        <f t="shared" si="55"/>
        <v>119.267</v>
      </c>
      <c r="AT25" s="54">
        <f t="shared" si="55"/>
        <v>138.63299999999998</v>
      </c>
      <c r="AU25" s="54">
        <f t="shared" si="55"/>
        <v>123.17499999999998</v>
      </c>
      <c r="AV25" s="54">
        <f t="shared" si="55"/>
        <v>132.26100000000002</v>
      </c>
      <c r="AW25" s="54">
        <f t="shared" si="55"/>
        <v>119.85799999999999</v>
      </c>
      <c r="AX25" s="54">
        <f t="shared" si="55"/>
        <v>102.36799999999999</v>
      </c>
      <c r="AY25" s="54">
        <f t="shared" si="55"/>
        <v>89.307000000000002</v>
      </c>
      <c r="AZ25" s="54">
        <f t="shared" ref="AZ25:CE25" si="56">SUM(AZ21:AZ24)</f>
        <v>57.219000000000001</v>
      </c>
      <c r="BA25" s="54">
        <f t="shared" si="56"/>
        <v>67.853000000000009</v>
      </c>
      <c r="BB25" s="54">
        <f t="shared" si="56"/>
        <v>85.839000000000013</v>
      </c>
      <c r="BC25" s="54">
        <f t="shared" si="56"/>
        <v>64.501999999999981</v>
      </c>
      <c r="BD25" s="54">
        <f t="shared" si="56"/>
        <v>65.231999999999999</v>
      </c>
      <c r="BE25" s="54">
        <f t="shared" si="56"/>
        <v>103.03100000000001</v>
      </c>
      <c r="BF25" s="54">
        <f t="shared" si="56"/>
        <v>106.661</v>
      </c>
      <c r="BG25" s="54">
        <f t="shared" si="56"/>
        <v>125.04600000000001</v>
      </c>
      <c r="BH25" s="54">
        <f t="shared" si="56"/>
        <v>6.17</v>
      </c>
      <c r="BI25" s="54">
        <f t="shared" si="56"/>
        <v>-52.536999999999992</v>
      </c>
      <c r="BJ25" s="54">
        <f t="shared" si="56"/>
        <v>-51.475000000000001</v>
      </c>
      <c r="BK25" s="54">
        <f t="shared" si="56"/>
        <v>-57.405000000000001</v>
      </c>
      <c r="BL25" s="54">
        <f t="shared" si="56"/>
        <v>-73.087000000000003</v>
      </c>
      <c r="BM25" s="54">
        <f t="shared" si="56"/>
        <v>-75.221999999999994</v>
      </c>
      <c r="BN25" s="54">
        <f t="shared" si="56"/>
        <v>-56.417000000000002</v>
      </c>
      <c r="BO25" s="54">
        <f t="shared" si="56"/>
        <v>-32.216000000000001</v>
      </c>
      <c r="BP25" s="54">
        <f t="shared" si="56"/>
        <v>1.5739999999999998</v>
      </c>
      <c r="BQ25" s="54">
        <f t="shared" si="56"/>
        <v>67.001999999999995</v>
      </c>
      <c r="BR25" s="54">
        <f t="shared" si="56"/>
        <v>97.357000000000014</v>
      </c>
      <c r="BS25" s="54">
        <f t="shared" si="56"/>
        <v>60.284000000000006</v>
      </c>
      <c r="BT25" s="54">
        <f t="shared" si="56"/>
        <v>76.77066730843427</v>
      </c>
      <c r="BU25" s="54">
        <f t="shared" si="56"/>
        <v>110.00230846664392</v>
      </c>
      <c r="BV25" s="54">
        <f t="shared" si="56"/>
        <v>121.67857277256761</v>
      </c>
      <c r="BW25" s="54">
        <f t="shared" si="56"/>
        <v>130.30822649555614</v>
      </c>
      <c r="BX25" s="54">
        <f t="shared" si="56"/>
        <v>131.42875464743733</v>
      </c>
      <c r="BY25" s="54">
        <f t="shared" si="56"/>
        <v>132.06102097573452</v>
      </c>
      <c r="BZ25" s="54">
        <f t="shared" si="56"/>
        <v>138.81978263054805</v>
      </c>
      <c r="CA25" s="54">
        <f t="shared" si="56"/>
        <v>142.44174724051837</v>
      </c>
      <c r="CB25" s="54">
        <f t="shared" si="56"/>
        <v>140.35118572465177</v>
      </c>
      <c r="CC25" s="54">
        <f t="shared" si="56"/>
        <v>140.81343479741781</v>
      </c>
      <c r="CD25" s="54">
        <f t="shared" si="56"/>
        <v>141.78080953512648</v>
      </c>
      <c r="CE25" s="54">
        <f t="shared" si="56"/>
        <v>143.00431684607784</v>
      </c>
      <c r="CF25" s="4"/>
      <c r="CG25" s="4"/>
      <c r="CH25" s="4"/>
      <c r="CI25" s="4"/>
      <c r="CJ25" s="4"/>
      <c r="CK25" s="4"/>
      <c r="CL25" s="4"/>
      <c r="CM25" s="4"/>
      <c r="CN25" s="240">
        <f t="shared" si="16"/>
        <v>18</v>
      </c>
    </row>
    <row r="26" spans="1:92" outlineLevel="1">
      <c r="A26" s="144"/>
      <c r="B26" s="45" t="s">
        <v>37</v>
      </c>
      <c r="C26" s="23">
        <f t="shared" ref="C26:F28" si="57">SUMIF($T$5:$BT$5,C$5,$T26:$BT26)</f>
        <v>-0.35599999999999998</v>
      </c>
      <c r="D26" s="23">
        <f t="shared" si="57"/>
        <v>-4.1790000000000003</v>
      </c>
      <c r="E26" s="23">
        <f t="shared" si="57"/>
        <v>-5.282</v>
      </c>
      <c r="F26" s="23">
        <f t="shared" si="57"/>
        <v>-2.1760000000000002</v>
      </c>
      <c r="G26" s="23">
        <f t="shared" ref="G26:O28" si="58">SUMIF($T$5:$CF$5,G$5,$T26:$CF26)</f>
        <v>-2.6619999999999999</v>
      </c>
      <c r="H26" s="23">
        <f t="shared" si="58"/>
        <v>-3.4529999999999998</v>
      </c>
      <c r="I26" s="23">
        <f t="shared" si="58"/>
        <v>-1.976</v>
      </c>
      <c r="J26" s="23">
        <f t="shared" si="58"/>
        <v>-1.8220000000000001</v>
      </c>
      <c r="K26" s="23">
        <f t="shared" si="58"/>
        <v>-1.431</v>
      </c>
      <c r="L26" s="23">
        <f t="shared" si="58"/>
        <v>-2.032</v>
      </c>
      <c r="M26" s="23">
        <f t="shared" si="58"/>
        <v>-0.68100000000000005</v>
      </c>
      <c r="N26" s="23">
        <f t="shared" si="58"/>
        <v>-0.42599999999999999</v>
      </c>
      <c r="O26" s="23">
        <f t="shared" si="58"/>
        <v>-0.4</v>
      </c>
      <c r="P26" s="23">
        <f t="shared" ref="P26:Q28" si="59">SUMIF($T$5:$CF$5,P$5,$T26:$CF26)</f>
        <v>-0.4</v>
      </c>
      <c r="Q26" s="23">
        <f t="shared" si="59"/>
        <v>-0.4</v>
      </c>
      <c r="R26" s="23"/>
      <c r="S26" s="23"/>
      <c r="T26" s="23"/>
      <c r="U26" s="23"/>
      <c r="V26" s="23"/>
      <c r="W26" s="194">
        <v>0.12564500000000001</v>
      </c>
      <c r="X26" s="194">
        <v>-1E-3</v>
      </c>
      <c r="Y26" s="194">
        <v>-0.01</v>
      </c>
      <c r="Z26" s="194">
        <v>-4.7E-2</v>
      </c>
      <c r="AA26" s="194">
        <v>-0.29799999999999999</v>
      </c>
      <c r="AB26" s="194">
        <v>-0.754</v>
      </c>
      <c r="AC26" s="194">
        <v>-0.36799999999999999</v>
      </c>
      <c r="AD26" s="194">
        <v>-1.391</v>
      </c>
      <c r="AE26" s="194">
        <v>-1.6659999999999999</v>
      </c>
      <c r="AF26" s="194">
        <v>-1.4710000000000001</v>
      </c>
      <c r="AG26" s="194">
        <v>-1.25</v>
      </c>
      <c r="AH26" s="194">
        <v>-1.2410000000000001</v>
      </c>
      <c r="AI26" s="194">
        <v>-1.32</v>
      </c>
      <c r="AJ26" s="194">
        <v>-0.59399999999999997</v>
      </c>
      <c r="AK26" s="194">
        <v>-0.52700000000000002</v>
      </c>
      <c r="AL26" s="194">
        <v>-0.53300000000000003</v>
      </c>
      <c r="AM26" s="194">
        <v>-0.52200000000000002</v>
      </c>
      <c r="AN26" s="194">
        <v>-0.54100000000000004</v>
      </c>
      <c r="AO26" s="194">
        <v>-0.502</v>
      </c>
      <c r="AP26" s="194">
        <v>-0.70699999999999996</v>
      </c>
      <c r="AQ26" s="194">
        <v>-0.91200000000000003</v>
      </c>
      <c r="AR26" s="194">
        <v>-1.079</v>
      </c>
      <c r="AS26" s="194">
        <v>-0.998</v>
      </c>
      <c r="AT26" s="194">
        <v>-0.88700000000000001</v>
      </c>
      <c r="AU26" s="194">
        <v>-0.48899999999999999</v>
      </c>
      <c r="AV26" s="194">
        <v>-0.59599999999999997</v>
      </c>
      <c r="AW26" s="194">
        <v>-0.65</v>
      </c>
      <c r="AX26" s="194">
        <v>-0.441</v>
      </c>
      <c r="AY26" s="194">
        <v>-0.28899999999999998</v>
      </c>
      <c r="AZ26" s="194">
        <v>-0.34</v>
      </c>
      <c r="BA26" s="194">
        <v>-0.94199999999999995</v>
      </c>
      <c r="BB26" s="194">
        <v>-0.28299999999999997</v>
      </c>
      <c r="BC26" s="194">
        <v>-0.25700000000000001</v>
      </c>
      <c r="BD26" s="194">
        <v>-0.33700000000000002</v>
      </c>
      <c r="BE26" s="194">
        <v>-4.9000000000000002E-2</v>
      </c>
      <c r="BF26" s="194">
        <v>-0.45600000000000002</v>
      </c>
      <c r="BG26" s="194">
        <v>-0.58899999999999997</v>
      </c>
      <c r="BH26" s="194">
        <v>-0.69099999999999995</v>
      </c>
      <c r="BI26" s="194">
        <v>-0.39</v>
      </c>
      <c r="BJ26" s="194">
        <v>-0.25</v>
      </c>
      <c r="BK26" s="194">
        <v>-0.70099999999999996</v>
      </c>
      <c r="BL26" s="194">
        <v>-0.32500000000000001</v>
      </c>
      <c r="BM26" s="194">
        <v>-0.126</v>
      </c>
      <c r="BN26" s="194">
        <v>-0.115</v>
      </c>
      <c r="BO26" s="194">
        <v>-0.115</v>
      </c>
      <c r="BP26" s="194">
        <v>-0.10299999999999999</v>
      </c>
      <c r="BQ26" s="194">
        <v>-0.114</v>
      </c>
      <c r="BR26" s="194">
        <v>-0.105</v>
      </c>
      <c r="BS26" s="194">
        <v>-0.104</v>
      </c>
      <c r="BT26" s="23">
        <f t="shared" ref="BT26:CE26" si="60">MIN(-BT64/4*BS286,-0.1)</f>
        <v>-0.1</v>
      </c>
      <c r="BU26" s="23">
        <f t="shared" si="60"/>
        <v>-0.1</v>
      </c>
      <c r="BV26" s="23">
        <f t="shared" si="60"/>
        <v>-0.1</v>
      </c>
      <c r="BW26" s="23">
        <f t="shared" si="60"/>
        <v>-0.1</v>
      </c>
      <c r="BX26" s="23">
        <f t="shared" si="60"/>
        <v>-0.1</v>
      </c>
      <c r="BY26" s="23">
        <f t="shared" si="60"/>
        <v>-0.1</v>
      </c>
      <c r="BZ26" s="23">
        <f t="shared" si="60"/>
        <v>-0.1</v>
      </c>
      <c r="CA26" s="23">
        <f t="shared" si="60"/>
        <v>-0.1</v>
      </c>
      <c r="CB26" s="23">
        <f t="shared" si="60"/>
        <v>-0.1</v>
      </c>
      <c r="CC26" s="23">
        <f t="shared" si="60"/>
        <v>-0.1</v>
      </c>
      <c r="CD26" s="23">
        <f t="shared" si="60"/>
        <v>-0.1</v>
      </c>
      <c r="CE26" s="23">
        <f t="shared" si="60"/>
        <v>-0.1</v>
      </c>
      <c r="CF26" s="4"/>
      <c r="CG26" s="4"/>
      <c r="CH26" s="4"/>
      <c r="CI26" s="4"/>
      <c r="CJ26" s="4"/>
      <c r="CK26" s="4"/>
      <c r="CL26" s="4"/>
      <c r="CM26" s="4"/>
      <c r="CN26" s="240">
        <f t="shared" si="16"/>
        <v>19</v>
      </c>
    </row>
    <row r="27" spans="1:92" outlineLevel="1">
      <c r="A27" s="144"/>
      <c r="B27" s="45" t="s">
        <v>126</v>
      </c>
      <c r="C27" s="23">
        <f t="shared" si="57"/>
        <v>0.31900000000000001</v>
      </c>
      <c r="D27" s="23">
        <f t="shared" si="57"/>
        <v>7.0000000000000007E-2</v>
      </c>
      <c r="E27" s="23">
        <f t="shared" si="57"/>
        <v>7.2999999999999995E-2</v>
      </c>
      <c r="F27" s="23">
        <f t="shared" si="57"/>
        <v>0.14699999999999999</v>
      </c>
      <c r="G27" s="23">
        <f t="shared" si="58"/>
        <v>4.5999999999999999E-2</v>
      </c>
      <c r="H27" s="23">
        <f t="shared" si="58"/>
        <v>1.8000000000000002E-2</v>
      </c>
      <c r="I27" s="23">
        <f t="shared" si="58"/>
        <v>3.0000000000000002E-2</v>
      </c>
      <c r="J27" s="23">
        <f t="shared" si="58"/>
        <v>0.41899999999999998</v>
      </c>
      <c r="K27" s="23">
        <f t="shared" si="58"/>
        <v>1.9E-2</v>
      </c>
      <c r="L27" s="23">
        <f t="shared" si="58"/>
        <v>8.3000000000000004E-2</v>
      </c>
      <c r="M27" s="23">
        <f t="shared" si="58"/>
        <v>0.46700000000000008</v>
      </c>
      <c r="N27" s="23">
        <f t="shared" si="58"/>
        <v>1.494</v>
      </c>
      <c r="O27" s="23">
        <f t="shared" si="58"/>
        <v>1.4221450369577653</v>
      </c>
      <c r="P27" s="23">
        <f t="shared" si="59"/>
        <v>3.454718863385148</v>
      </c>
      <c r="Q27" s="23">
        <f t="shared" si="59"/>
        <v>4.9770797693166067</v>
      </c>
      <c r="R27" s="23"/>
      <c r="S27" s="23"/>
      <c r="T27" s="23"/>
      <c r="U27" s="23"/>
      <c r="V27" s="23"/>
      <c r="W27" s="194">
        <v>0.52335500000000001</v>
      </c>
      <c r="X27" s="194">
        <v>0.154</v>
      </c>
      <c r="Y27" s="194">
        <v>0.104</v>
      </c>
      <c r="Z27" s="194">
        <v>0.06</v>
      </c>
      <c r="AA27" s="194">
        <v>1E-3</v>
      </c>
      <c r="AB27" s="194">
        <v>1.7999999999999999E-2</v>
      </c>
      <c r="AC27" s="194">
        <v>1.4E-2</v>
      </c>
      <c r="AD27" s="194">
        <v>1.7000000000000001E-2</v>
      </c>
      <c r="AE27" s="194">
        <v>2.1000000000000001E-2</v>
      </c>
      <c r="AF27" s="194">
        <v>2.1999999999999999E-2</v>
      </c>
      <c r="AG27" s="194">
        <v>2.4E-2</v>
      </c>
      <c r="AH27" s="194">
        <v>1.7000000000000001E-2</v>
      </c>
      <c r="AI27" s="194">
        <v>0.01</v>
      </c>
      <c r="AJ27" s="194">
        <v>3.3000000000000002E-2</v>
      </c>
      <c r="AK27" s="194">
        <v>5.1999999999999998E-2</v>
      </c>
      <c r="AL27" s="194">
        <v>4.1000000000000002E-2</v>
      </c>
      <c r="AM27" s="194">
        <v>2.1000000000000001E-2</v>
      </c>
      <c r="AN27" s="194">
        <v>2.3E-2</v>
      </c>
      <c r="AO27" s="194">
        <v>8.9999999999999993E-3</v>
      </c>
      <c r="AP27" s="194">
        <v>1.4E-2</v>
      </c>
      <c r="AQ27" s="194">
        <v>0</v>
      </c>
      <c r="AR27" s="194">
        <v>4.0000000000000001E-3</v>
      </c>
      <c r="AS27" s="194">
        <v>3.0000000000000001E-3</v>
      </c>
      <c r="AT27" s="194">
        <v>8.9999999999999993E-3</v>
      </c>
      <c r="AU27" s="194">
        <v>2E-3</v>
      </c>
      <c r="AV27" s="194">
        <v>5.0000000000000001E-3</v>
      </c>
      <c r="AW27" s="194">
        <v>4.0000000000000001E-3</v>
      </c>
      <c r="AX27" s="194">
        <v>1.6E-2</v>
      </c>
      <c r="AY27" s="194">
        <v>5.0000000000000001E-3</v>
      </c>
      <c r="AZ27" s="194">
        <v>5.0000000000000001E-3</v>
      </c>
      <c r="BA27" s="194">
        <v>0.06</v>
      </c>
      <c r="BB27" s="194">
        <v>8.0000000000000002E-3</v>
      </c>
      <c r="BC27" s="194">
        <v>0.34599999999999997</v>
      </c>
      <c r="BD27" s="194">
        <v>4.0000000000000001E-3</v>
      </c>
      <c r="BE27" s="194">
        <v>6.0000000000000001E-3</v>
      </c>
      <c r="BF27" s="194">
        <v>4.0000000000000001E-3</v>
      </c>
      <c r="BG27" s="194">
        <v>5.0000000000000001E-3</v>
      </c>
      <c r="BH27" s="194">
        <v>6.0000000000000001E-3</v>
      </c>
      <c r="BI27" s="194">
        <v>8.9999999999999993E-3</v>
      </c>
      <c r="BJ27" s="194">
        <v>5.0000000000000001E-3</v>
      </c>
      <c r="BK27" s="194">
        <v>6.3E-2</v>
      </c>
      <c r="BL27" s="194">
        <v>2.3E-2</v>
      </c>
      <c r="BM27" s="194">
        <v>0.104</v>
      </c>
      <c r="BN27" s="194">
        <v>0.16900000000000001</v>
      </c>
      <c r="BO27" s="194">
        <v>0.17100000000000001</v>
      </c>
      <c r="BP27" s="194">
        <v>0.129</v>
      </c>
      <c r="BQ27" s="194">
        <v>0.41099999999999998</v>
      </c>
      <c r="BR27" s="194">
        <v>0.48799999999999999</v>
      </c>
      <c r="BS27" s="194">
        <v>0.46600000000000003</v>
      </c>
      <c r="BT27" s="23">
        <f t="shared" ref="BT27:CE27" si="61">BT65/4*BS256</f>
        <v>0.30994952188237357</v>
      </c>
      <c r="BU27" s="23">
        <f t="shared" si="61"/>
        <v>0.42411801520248854</v>
      </c>
      <c r="BV27" s="23">
        <f t="shared" si="61"/>
        <v>0.2883463489915612</v>
      </c>
      <c r="BW27" s="23">
        <f t="shared" si="61"/>
        <v>0.39973115088134181</v>
      </c>
      <c r="BX27" s="23">
        <f t="shared" si="61"/>
        <v>0.59276399388932677</v>
      </c>
      <c r="BY27" s="23">
        <f t="shared" si="61"/>
        <v>0.82743333730494661</v>
      </c>
      <c r="BZ27" s="23">
        <f t="shared" si="61"/>
        <v>1.0698741822517248</v>
      </c>
      <c r="CA27" s="23">
        <f t="shared" si="61"/>
        <v>0.96464734993915013</v>
      </c>
      <c r="CB27" s="23">
        <f t="shared" si="61"/>
        <v>0.84093581832263908</v>
      </c>
      <c r="CC27" s="23">
        <f t="shared" si="61"/>
        <v>1.0864039537949961</v>
      </c>
      <c r="CD27" s="23">
        <f t="shared" si="61"/>
        <v>1.3793328056444836</v>
      </c>
      <c r="CE27" s="23">
        <f t="shared" si="61"/>
        <v>1.6704071915544878</v>
      </c>
      <c r="CF27" s="4"/>
      <c r="CG27" s="4"/>
      <c r="CH27" s="4"/>
      <c r="CI27" s="4"/>
      <c r="CJ27" s="4"/>
      <c r="CK27" s="4"/>
      <c r="CL27" s="4"/>
      <c r="CM27" s="4"/>
      <c r="CN27" s="240">
        <f t="shared" si="16"/>
        <v>20</v>
      </c>
    </row>
    <row r="28" spans="1:92" outlineLevel="1">
      <c r="A28" s="144"/>
      <c r="B28" s="45" t="s">
        <v>103</v>
      </c>
      <c r="C28" s="23">
        <f t="shared" si="57"/>
        <v>1.085</v>
      </c>
      <c r="D28" s="23">
        <f t="shared" si="57"/>
        <v>1.9049999999999998</v>
      </c>
      <c r="E28" s="23">
        <f t="shared" si="57"/>
        <v>-1.1760000000000002</v>
      </c>
      <c r="F28" s="23">
        <f t="shared" si="57"/>
        <v>1.5820000000000001</v>
      </c>
      <c r="G28" s="23">
        <f t="shared" si="58"/>
        <v>1.3029999999999999</v>
      </c>
      <c r="H28" s="23">
        <f t="shared" si="58"/>
        <v>0.16899999999999993</v>
      </c>
      <c r="I28" s="23">
        <f t="shared" si="58"/>
        <v>3.0549999999999997</v>
      </c>
      <c r="J28" s="23">
        <f t="shared" si="58"/>
        <v>2.2599999999999998</v>
      </c>
      <c r="K28" s="23">
        <f t="shared" si="58"/>
        <v>0.82799999999999985</v>
      </c>
      <c r="L28" s="23">
        <f t="shared" si="58"/>
        <v>4.1549999999999994</v>
      </c>
      <c r="M28" s="23">
        <f t="shared" si="58"/>
        <v>-0.20399999999999996</v>
      </c>
      <c r="N28" s="23">
        <f t="shared" si="58"/>
        <v>5.5310000000000006</v>
      </c>
      <c r="O28" s="23">
        <f t="shared" si="58"/>
        <v>0</v>
      </c>
      <c r="P28" s="23">
        <f t="shared" si="59"/>
        <v>0</v>
      </c>
      <c r="Q28" s="23">
        <f t="shared" si="59"/>
        <v>0</v>
      </c>
      <c r="R28" s="23"/>
      <c r="S28" s="23"/>
      <c r="T28" s="23"/>
      <c r="U28" s="23"/>
      <c r="V28" s="23"/>
      <c r="W28" s="194">
        <v>0.29599999999999999</v>
      </c>
      <c r="X28" s="194">
        <v>0.26100000000000001</v>
      </c>
      <c r="Y28" s="194">
        <v>0.11899999999999999</v>
      </c>
      <c r="Z28" s="194">
        <v>0.32</v>
      </c>
      <c r="AA28" s="194">
        <v>0.38500000000000001</v>
      </c>
      <c r="AB28" s="194">
        <v>0.89700000000000002</v>
      </c>
      <c r="AC28" s="194">
        <v>0.52700000000000002</v>
      </c>
      <c r="AD28" s="194">
        <v>0.2</v>
      </c>
      <c r="AE28" s="194">
        <v>0.28100000000000003</v>
      </c>
      <c r="AF28" s="194">
        <v>-7.0000000000000001E-3</v>
      </c>
      <c r="AG28" s="194">
        <v>0.105</v>
      </c>
      <c r="AH28" s="194">
        <v>-0.35599999999999998</v>
      </c>
      <c r="AI28" s="194">
        <v>-0.91800000000000004</v>
      </c>
      <c r="AJ28" s="194">
        <v>0.14299999999999999</v>
      </c>
      <c r="AK28" s="194">
        <v>0.60799999999999998</v>
      </c>
      <c r="AL28" s="194">
        <v>0.60199999999999998</v>
      </c>
      <c r="AM28" s="194">
        <v>0.22900000000000001</v>
      </c>
      <c r="AN28" s="194">
        <v>0.40300000000000002</v>
      </c>
      <c r="AO28" s="194">
        <v>-0.28799999999999998</v>
      </c>
      <c r="AP28" s="194">
        <v>0.441</v>
      </c>
      <c r="AQ28" s="194">
        <v>0.747</v>
      </c>
      <c r="AR28" s="194">
        <v>0.33400000000000002</v>
      </c>
      <c r="AS28" s="194">
        <v>-0.01</v>
      </c>
      <c r="AT28" s="194">
        <v>-0.90600000000000003</v>
      </c>
      <c r="AU28" s="194">
        <v>0.751</v>
      </c>
      <c r="AV28" s="194">
        <v>0.92</v>
      </c>
      <c r="AW28" s="194">
        <v>0</v>
      </c>
      <c r="AX28" s="194">
        <v>1.1040000000000001</v>
      </c>
      <c r="AY28" s="194">
        <v>1.0309999999999999</v>
      </c>
      <c r="AZ28" s="194">
        <v>0.55500000000000005</v>
      </c>
      <c r="BA28" s="194">
        <v>-0.191</v>
      </c>
      <c r="BB28" s="194">
        <v>1.2789999999999999</v>
      </c>
      <c r="BC28" s="194">
        <v>0.61699999999999999</v>
      </c>
      <c r="BD28" s="194">
        <v>0.08</v>
      </c>
      <c r="BE28" s="194">
        <v>0.83099999999999996</v>
      </c>
      <c r="BF28" s="194">
        <v>-0.45400000000000001</v>
      </c>
      <c r="BG28" s="194">
        <v>0.371</v>
      </c>
      <c r="BH28" s="194">
        <v>5.7889999999999997</v>
      </c>
      <c r="BI28" s="194">
        <v>0.33200000000000002</v>
      </c>
      <c r="BJ28" s="194">
        <v>-2.2189999999999999</v>
      </c>
      <c r="BK28" s="194">
        <v>0.253</v>
      </c>
      <c r="BL28" s="194">
        <v>0.34200000000000003</v>
      </c>
      <c r="BM28" s="194">
        <v>-0.154</v>
      </c>
      <c r="BN28" s="194">
        <v>8.5999999999999993E-2</v>
      </c>
      <c r="BO28" s="194">
        <v>-0.47799999999999998</v>
      </c>
      <c r="BP28" s="194">
        <v>0.21199999999999999</v>
      </c>
      <c r="BQ28" s="194">
        <v>2.0099999999999998</v>
      </c>
      <c r="BR28" s="194">
        <v>0.56399999999999995</v>
      </c>
      <c r="BS28" s="194">
        <v>2.7450000000000001</v>
      </c>
      <c r="BT28" s="196">
        <v>0</v>
      </c>
      <c r="BU28" s="196">
        <v>0</v>
      </c>
      <c r="BV28" s="196">
        <v>0</v>
      </c>
      <c r="BW28" s="196">
        <v>0</v>
      </c>
      <c r="BX28" s="196">
        <v>0</v>
      </c>
      <c r="BY28" s="196">
        <v>0</v>
      </c>
      <c r="BZ28" s="196">
        <v>0</v>
      </c>
      <c r="CA28" s="196">
        <v>0</v>
      </c>
      <c r="CB28" s="196">
        <v>0</v>
      </c>
      <c r="CC28" s="196">
        <v>0</v>
      </c>
      <c r="CD28" s="196">
        <v>0</v>
      </c>
      <c r="CE28" s="196">
        <v>0</v>
      </c>
      <c r="CF28" s="4"/>
      <c r="CG28" s="4"/>
      <c r="CH28" s="4"/>
      <c r="CI28" s="4"/>
      <c r="CJ28" s="4"/>
      <c r="CK28" s="4"/>
      <c r="CL28" s="4"/>
      <c r="CM28" s="4"/>
      <c r="CN28" s="240">
        <f t="shared" si="16"/>
        <v>21</v>
      </c>
    </row>
    <row r="29" spans="1:92" outlineLevel="1">
      <c r="A29" s="144"/>
      <c r="B29" s="173" t="s">
        <v>38</v>
      </c>
      <c r="C29" s="54">
        <f>C25+C26+C28+C27</f>
        <v>172.87900000000002</v>
      </c>
      <c r="D29" s="54">
        <f t="shared" ref="D29:M29" si="62">D25+D26+D28+D27</f>
        <v>133.541</v>
      </c>
      <c r="E29" s="54">
        <f t="shared" si="62"/>
        <v>131.41800000000001</v>
      </c>
      <c r="F29" s="54">
        <f t="shared" si="62"/>
        <v>-34.641999999999996</v>
      </c>
      <c r="G29" s="54">
        <f t="shared" si="62"/>
        <v>233.77399999999997</v>
      </c>
      <c r="H29" s="54">
        <f t="shared" si="62"/>
        <v>485.16899999999987</v>
      </c>
      <c r="I29" s="54">
        <f t="shared" si="62"/>
        <v>449.69499999999988</v>
      </c>
      <c r="J29" s="54">
        <f t="shared" si="62"/>
        <v>285.64099999999991</v>
      </c>
      <c r="K29" s="54">
        <f t="shared" si="62"/>
        <v>414.858</v>
      </c>
      <c r="L29" s="54">
        <f t="shared" si="62"/>
        <v>-146.624</v>
      </c>
      <c r="M29" s="54">
        <f t="shared" si="62"/>
        <v>-245.28</v>
      </c>
      <c r="N29" s="54">
        <f>N25+N26+N28+N27</f>
        <v>228.28600000000003</v>
      </c>
      <c r="O29" s="54">
        <f>O25+O26+O28+O27</f>
        <v>444.77792008015967</v>
      </c>
      <c r="P29" s="54">
        <f>P25+P26+P28+P27</f>
        <v>552.80202435762328</v>
      </c>
      <c r="Q29" s="54">
        <f>Q25+Q26+Q28+Q27</f>
        <v>575.52282667259055</v>
      </c>
      <c r="R29" s="69"/>
      <c r="S29" s="23"/>
      <c r="T29" s="23"/>
      <c r="U29" s="23"/>
      <c r="V29" s="23"/>
      <c r="W29" s="54">
        <f t="shared" ref="W29:AY29" si="63">W25+W26+W28+W27</f>
        <v>28.266999999999996</v>
      </c>
      <c r="X29" s="54">
        <f t="shared" si="63"/>
        <v>39.931000000000004</v>
      </c>
      <c r="Y29" s="54">
        <f t="shared" si="63"/>
        <v>44.563000000000002</v>
      </c>
      <c r="Z29" s="54">
        <f t="shared" si="63"/>
        <v>46.958000000000006</v>
      </c>
      <c r="AA29" s="54">
        <f t="shared" si="63"/>
        <v>47.395999999999994</v>
      </c>
      <c r="AB29" s="54">
        <f t="shared" si="63"/>
        <v>44.146000000000001</v>
      </c>
      <c r="AC29" s="54">
        <f t="shared" si="63"/>
        <v>38.878</v>
      </c>
      <c r="AD29" s="54">
        <f t="shared" si="63"/>
        <v>23.488999999999997</v>
      </c>
      <c r="AE29" s="54">
        <f t="shared" si="63"/>
        <v>33.321000000000005</v>
      </c>
      <c r="AF29" s="54">
        <f t="shared" si="63"/>
        <v>23.984999999999999</v>
      </c>
      <c r="AG29" s="54">
        <f t="shared" si="63"/>
        <v>36.678999999999995</v>
      </c>
      <c r="AH29" s="54">
        <f t="shared" si="63"/>
        <v>42.651999999999994</v>
      </c>
      <c r="AI29" s="54">
        <f t="shared" si="63"/>
        <v>34.469000000000001</v>
      </c>
      <c r="AJ29" s="54">
        <f t="shared" si="63"/>
        <v>7.9790000000000001</v>
      </c>
      <c r="AK29" s="54">
        <f t="shared" si="63"/>
        <v>-19.364999999999998</v>
      </c>
      <c r="AL29" s="54">
        <f t="shared" si="63"/>
        <v>-14.796999999999999</v>
      </c>
      <c r="AM29" s="54">
        <f t="shared" si="63"/>
        <v>-7.3159999999999998</v>
      </c>
      <c r="AN29" s="54">
        <f t="shared" si="63"/>
        <v>22.452999999999996</v>
      </c>
      <c r="AO29" s="54">
        <f t="shared" si="63"/>
        <v>51.308000000000007</v>
      </c>
      <c r="AP29" s="54">
        <f t="shared" si="63"/>
        <v>74.138000000000005</v>
      </c>
      <c r="AQ29" s="54">
        <f t="shared" si="63"/>
        <v>89.632999999999996</v>
      </c>
      <c r="AR29" s="54">
        <f t="shared" si="63"/>
        <v>105.58500000000001</v>
      </c>
      <c r="AS29" s="54">
        <f t="shared" si="63"/>
        <v>118.26199999999999</v>
      </c>
      <c r="AT29" s="54">
        <f t="shared" si="63"/>
        <v>136.84899999999996</v>
      </c>
      <c r="AU29" s="54">
        <f t="shared" si="63"/>
        <v>123.43899999999998</v>
      </c>
      <c r="AV29" s="54">
        <f t="shared" si="63"/>
        <v>132.59</v>
      </c>
      <c r="AW29" s="54">
        <f t="shared" si="63"/>
        <v>119.21199999999999</v>
      </c>
      <c r="AX29" s="54">
        <f t="shared" si="63"/>
        <v>103.047</v>
      </c>
      <c r="AY29" s="54">
        <f t="shared" si="63"/>
        <v>90.054000000000002</v>
      </c>
      <c r="AZ29" s="54">
        <f t="shared" ref="AZ29:BG29" si="64">AZ25+AZ26+AZ28+AZ27</f>
        <v>57.439</v>
      </c>
      <c r="BA29" s="54">
        <f t="shared" si="64"/>
        <v>66.780000000000015</v>
      </c>
      <c r="BB29" s="54">
        <f t="shared" si="64"/>
        <v>86.843000000000004</v>
      </c>
      <c r="BC29" s="54">
        <f t="shared" si="64"/>
        <v>65.207999999999984</v>
      </c>
      <c r="BD29" s="54">
        <f t="shared" si="64"/>
        <v>64.978999999999999</v>
      </c>
      <c r="BE29" s="54">
        <f t="shared" si="64"/>
        <v>103.819</v>
      </c>
      <c r="BF29" s="54">
        <f t="shared" si="64"/>
        <v>105.75500000000001</v>
      </c>
      <c r="BG29" s="54">
        <f t="shared" si="64"/>
        <v>124.833</v>
      </c>
      <c r="BH29" s="54">
        <f t="shared" ref="BH29:BO29" si="65">BH25+BH26+BH28+BH27</f>
        <v>11.274000000000001</v>
      </c>
      <c r="BI29" s="54">
        <f t="shared" si="65"/>
        <v>-52.585999999999991</v>
      </c>
      <c r="BJ29" s="54">
        <f t="shared" si="65"/>
        <v>-53.939</v>
      </c>
      <c r="BK29" s="54">
        <f t="shared" si="65"/>
        <v>-57.79</v>
      </c>
      <c r="BL29" s="54">
        <f t="shared" si="65"/>
        <v>-73.047000000000011</v>
      </c>
      <c r="BM29" s="54">
        <f t="shared" si="65"/>
        <v>-75.397999999999996</v>
      </c>
      <c r="BN29" s="54">
        <f t="shared" si="65"/>
        <v>-56.277000000000008</v>
      </c>
      <c r="BO29" s="54">
        <f t="shared" si="65"/>
        <v>-32.638000000000005</v>
      </c>
      <c r="BP29" s="54">
        <f t="shared" ref="BP29:BW29" si="66">BP25+BP26+BP28+BP27</f>
        <v>1.8119999999999998</v>
      </c>
      <c r="BQ29" s="54">
        <f t="shared" si="66"/>
        <v>69.308999999999997</v>
      </c>
      <c r="BR29" s="54">
        <f t="shared" si="66"/>
        <v>98.304000000000002</v>
      </c>
      <c r="BS29" s="54">
        <f t="shared" si="66"/>
        <v>63.391000000000005</v>
      </c>
      <c r="BT29" s="54">
        <f t="shared" si="66"/>
        <v>76.980616830316649</v>
      </c>
      <c r="BU29" s="54">
        <f t="shared" si="66"/>
        <v>110.32642648184643</v>
      </c>
      <c r="BV29" s="54">
        <f t="shared" si="66"/>
        <v>121.86691912155918</v>
      </c>
      <c r="BW29" s="54">
        <f t="shared" si="66"/>
        <v>130.60795764643748</v>
      </c>
      <c r="BX29" s="54">
        <f t="shared" ref="BX29:CE29" si="67">BX25+BX26+BX28+BX27</f>
        <v>131.92151864132666</v>
      </c>
      <c r="BY29" s="54">
        <f t="shared" si="67"/>
        <v>132.78845431303947</v>
      </c>
      <c r="BZ29" s="54">
        <f t="shared" si="67"/>
        <v>139.78965681279979</v>
      </c>
      <c r="CA29" s="54">
        <f t="shared" si="67"/>
        <v>143.30639459045753</v>
      </c>
      <c r="CB29" s="54">
        <f t="shared" si="67"/>
        <v>141.09212154297441</v>
      </c>
      <c r="CC29" s="54">
        <f t="shared" si="67"/>
        <v>141.7998387512128</v>
      </c>
      <c r="CD29" s="54">
        <f t="shared" si="67"/>
        <v>143.06014234077097</v>
      </c>
      <c r="CE29" s="54">
        <f t="shared" si="67"/>
        <v>144.57472403763234</v>
      </c>
      <c r="CF29" s="4"/>
      <c r="CG29" s="4"/>
      <c r="CH29" s="4"/>
      <c r="CI29" s="4"/>
      <c r="CJ29" s="4"/>
      <c r="CK29" s="4"/>
      <c r="CL29" s="4"/>
      <c r="CM29" s="4"/>
      <c r="CN29" s="240">
        <f t="shared" si="16"/>
        <v>22</v>
      </c>
    </row>
    <row r="30" spans="1:92" outlineLevel="1">
      <c r="A30" s="144"/>
      <c r="B30" s="45" t="s">
        <v>39</v>
      </c>
      <c r="C30" s="23">
        <f>SUMIF($T$5:$BT$5,C$5,$T30:$BT30)</f>
        <v>-68.054000000000002</v>
      </c>
      <c r="D30" s="23">
        <f>SUMIF($T$5:$BT$5,D$5,$T30:$BT30)</f>
        <v>-52.785000000000004</v>
      </c>
      <c r="E30" s="23">
        <f>SUMIF($T$5:$BT$5,E$5,$T30:$BT30)</f>
        <v>-54.381999999999998</v>
      </c>
      <c r="F30" s="23">
        <f>SUMIF($T$5:$BT$5,F$5,$T30:$BT30)</f>
        <v>10.754000000000001</v>
      </c>
      <c r="G30" s="23">
        <f t="shared" ref="G30:Q30" si="68">SUMIF($T$5:$CF$5,G$5,$T30:$CF30)</f>
        <v>-90.789999999999992</v>
      </c>
      <c r="H30" s="23">
        <f t="shared" si="68"/>
        <v>-184.29599999999999</v>
      </c>
      <c r="I30" s="23">
        <f t="shared" si="68"/>
        <v>-168.18299999999999</v>
      </c>
      <c r="J30" s="23">
        <f t="shared" si="68"/>
        <v>-109.375</v>
      </c>
      <c r="K30" s="23">
        <f t="shared" si="68"/>
        <v>-154.19300000000001</v>
      </c>
      <c r="L30" s="23">
        <f t="shared" si="68"/>
        <v>53.48</v>
      </c>
      <c r="M30" s="23">
        <f t="shared" si="68"/>
        <v>81.713999999999999</v>
      </c>
      <c r="N30" s="23">
        <f t="shared" si="68"/>
        <v>-89.647000000000006</v>
      </c>
      <c r="O30" s="23">
        <f t="shared" si="68"/>
        <v>-98.950932018035942</v>
      </c>
      <c r="P30" s="23">
        <f t="shared" si="68"/>
        <v>-123.25635548046529</v>
      </c>
      <c r="Q30" s="23">
        <f t="shared" si="68"/>
        <v>-128.36853600133287</v>
      </c>
      <c r="R30" s="23"/>
      <c r="S30" s="23"/>
      <c r="T30" s="23"/>
      <c r="U30" s="23"/>
      <c r="V30" s="23"/>
      <c r="W30" s="194">
        <v>-10.254</v>
      </c>
      <c r="X30" s="194">
        <v>-15.031000000000001</v>
      </c>
      <c r="Y30" s="194">
        <v>-16.949000000000002</v>
      </c>
      <c r="Z30" s="194">
        <v>-18.187999999999999</v>
      </c>
      <c r="AA30" s="194">
        <v>-17.885999999999999</v>
      </c>
      <c r="AB30" s="194">
        <v>-16.100999999999999</v>
      </c>
      <c r="AC30" s="194">
        <v>-15.063000000000001</v>
      </c>
      <c r="AD30" s="194">
        <v>-8.5960000000000001</v>
      </c>
      <c r="AE30" s="194">
        <v>-13.025</v>
      </c>
      <c r="AF30" s="194">
        <v>-9.2279999999999998</v>
      </c>
      <c r="AG30" s="194">
        <v>-14.221</v>
      </c>
      <c r="AH30" s="194">
        <v>-16.872</v>
      </c>
      <c r="AI30" s="194">
        <v>-14.061</v>
      </c>
      <c r="AJ30" s="194">
        <v>-3.5129999999999999</v>
      </c>
      <c r="AK30" s="194">
        <v>7.7409999999999997</v>
      </c>
      <c r="AL30" s="194">
        <v>4.4119999999999999</v>
      </c>
      <c r="AM30" s="194">
        <v>2.1139999999999999</v>
      </c>
      <c r="AN30" s="194">
        <v>-9.0529999999999955</v>
      </c>
      <c r="AO30" s="194">
        <v>-19.706</v>
      </c>
      <c r="AP30" s="194">
        <v>-27.869</v>
      </c>
      <c r="AQ30" s="194">
        <v>-34.161999999999999</v>
      </c>
      <c r="AR30" s="194">
        <f>-40.061</f>
        <v>-40.061</v>
      </c>
      <c r="AS30" s="194">
        <v>-45.097000000000001</v>
      </c>
      <c r="AT30" s="194">
        <f>-49.559-(4.179*0.35)</f>
        <v>-51.021649999999994</v>
      </c>
      <c r="AU30" s="194">
        <f>-47.717-(1.141*0.35)</f>
        <v>-48.116349999999997</v>
      </c>
      <c r="AV30" s="194">
        <v>-50.430999999999997</v>
      </c>
      <c r="AW30" s="194">
        <v>-46.072000000000003</v>
      </c>
      <c r="AX30" s="194">
        <v>-37.006999999999998</v>
      </c>
      <c r="AY30" s="194">
        <v>-34.673000000000002</v>
      </c>
      <c r="AZ30" s="194">
        <v>-22.363</v>
      </c>
      <c r="BA30" s="194">
        <v>-26.364000000000001</v>
      </c>
      <c r="BB30" s="194">
        <v>-33.082999999999998</v>
      </c>
      <c r="BC30" s="194">
        <v>-27.565000000000001</v>
      </c>
      <c r="BD30" s="194">
        <v>-25.591000000000001</v>
      </c>
      <c r="BE30" s="194">
        <v>-40.536000000000001</v>
      </c>
      <c r="BF30" s="194">
        <v>-40.869999999999997</v>
      </c>
      <c r="BG30" s="194">
        <v>-47.195999999999998</v>
      </c>
      <c r="BH30" s="194">
        <v>-3.726</v>
      </c>
      <c r="BI30" s="194">
        <v>18.530999999999999</v>
      </c>
      <c r="BJ30" s="194">
        <v>18.765999999999998</v>
      </c>
      <c r="BK30" s="194">
        <v>19.908999999999999</v>
      </c>
      <c r="BL30" s="194">
        <f>42.536-2*0.35-15.7</f>
        <v>26.135999999999999</v>
      </c>
      <c r="BM30" s="194">
        <v>26.712</v>
      </c>
      <c r="BN30" s="194">
        <v>17.335000000000001</v>
      </c>
      <c r="BO30" s="194">
        <v>11.531000000000001</v>
      </c>
      <c r="BP30" s="194">
        <v>1.8220000000000001</v>
      </c>
      <c r="BQ30" s="194">
        <v>-25.469000000000001</v>
      </c>
      <c r="BR30" s="194">
        <v>-40.97</v>
      </c>
      <c r="BS30" s="194">
        <f>-5.688-19.342</f>
        <v>-25.029999999999998</v>
      </c>
      <c r="BT30" s="23">
        <f t="shared" ref="BT30:CE30" si="69">-BT66*BT29</f>
        <v>-17.320638786821245</v>
      </c>
      <c r="BU30" s="23">
        <f t="shared" si="69"/>
        <v>-24.823445958415448</v>
      </c>
      <c r="BV30" s="23">
        <f t="shared" si="69"/>
        <v>-27.420056802350814</v>
      </c>
      <c r="BW30" s="23">
        <f t="shared" si="69"/>
        <v>-29.386790470448435</v>
      </c>
      <c r="BX30" s="23">
        <f t="shared" si="69"/>
        <v>-29.682341694298497</v>
      </c>
      <c r="BY30" s="23">
        <f t="shared" si="69"/>
        <v>-29.877402220433879</v>
      </c>
      <c r="BZ30" s="23">
        <f t="shared" si="69"/>
        <v>-31.452672782879954</v>
      </c>
      <c r="CA30" s="23">
        <f t="shared" si="69"/>
        <v>-32.243938782852943</v>
      </c>
      <c r="CB30" s="23">
        <f t="shared" si="69"/>
        <v>-31.745727347169243</v>
      </c>
      <c r="CC30" s="23">
        <f t="shared" si="69"/>
        <v>-31.904963719022881</v>
      </c>
      <c r="CD30" s="23">
        <f t="shared" si="69"/>
        <v>-32.188532026673471</v>
      </c>
      <c r="CE30" s="23">
        <f t="shared" si="69"/>
        <v>-32.529312908467276</v>
      </c>
      <c r="CF30" s="4"/>
      <c r="CG30" s="4"/>
      <c r="CH30" s="4"/>
      <c r="CI30" s="4"/>
      <c r="CJ30" s="4"/>
      <c r="CK30" s="4"/>
      <c r="CL30" s="4"/>
      <c r="CM30" s="4"/>
      <c r="CN30" s="240">
        <f t="shared" si="16"/>
        <v>23</v>
      </c>
    </row>
    <row r="31" spans="1:92" outlineLevel="1">
      <c r="A31" s="144"/>
      <c r="B31" s="173" t="s">
        <v>40</v>
      </c>
      <c r="C31" s="54">
        <f t="shared" ref="C31:M31" si="70">C29+C30</f>
        <v>104.82500000000002</v>
      </c>
      <c r="D31" s="54">
        <f t="shared" si="70"/>
        <v>80.756</v>
      </c>
      <c r="E31" s="54">
        <f t="shared" si="70"/>
        <v>77.036000000000001</v>
      </c>
      <c r="F31" s="54">
        <f t="shared" si="70"/>
        <v>-23.887999999999995</v>
      </c>
      <c r="G31" s="54">
        <f t="shared" si="70"/>
        <v>142.98399999999998</v>
      </c>
      <c r="H31" s="54">
        <f t="shared" si="70"/>
        <v>300.87299999999988</v>
      </c>
      <c r="I31" s="54">
        <f t="shared" si="70"/>
        <v>281.51199999999989</v>
      </c>
      <c r="J31" s="54">
        <f t="shared" si="70"/>
        <v>176.26599999999991</v>
      </c>
      <c r="K31" s="54">
        <f t="shared" si="70"/>
        <v>260.66499999999996</v>
      </c>
      <c r="L31" s="54">
        <f t="shared" si="70"/>
        <v>-93.144000000000005</v>
      </c>
      <c r="M31" s="54">
        <f t="shared" si="70"/>
        <v>-163.566</v>
      </c>
      <c r="N31" s="54">
        <f>N29+N30</f>
        <v>138.63900000000001</v>
      </c>
      <c r="O31" s="54">
        <f>O29+O30</f>
        <v>345.82698806212375</v>
      </c>
      <c r="P31" s="54">
        <f>P29+P30</f>
        <v>429.54566887715799</v>
      </c>
      <c r="Q31" s="54">
        <f>Q29+Q30</f>
        <v>447.15429067125768</v>
      </c>
      <c r="R31" s="69"/>
      <c r="S31" s="70"/>
      <c r="T31" s="54">
        <f>T33-(0.38*T32)</f>
        <v>9.2050000000000001</v>
      </c>
      <c r="U31" s="54">
        <f>U33-(0.38*U32)</f>
        <v>11.538360000000001</v>
      </c>
      <c r="V31" s="54">
        <f>V33-(0.38*V32)</f>
        <v>7.6844000000000001</v>
      </c>
      <c r="W31" s="54">
        <f>W29+W30</f>
        <v>18.012999999999998</v>
      </c>
      <c r="X31" s="54">
        <f t="shared" ref="X31:AY31" si="71">X29+X30</f>
        <v>24.900000000000006</v>
      </c>
      <c r="Y31" s="54">
        <f t="shared" si="71"/>
        <v>27.614000000000001</v>
      </c>
      <c r="Z31" s="54">
        <f t="shared" si="71"/>
        <v>28.770000000000007</v>
      </c>
      <c r="AA31" s="54">
        <f t="shared" si="71"/>
        <v>29.509999999999994</v>
      </c>
      <c r="AB31" s="54">
        <f t="shared" si="71"/>
        <v>28.045000000000002</v>
      </c>
      <c r="AC31" s="54">
        <f t="shared" si="71"/>
        <v>23.814999999999998</v>
      </c>
      <c r="AD31" s="54">
        <f t="shared" si="71"/>
        <v>14.892999999999997</v>
      </c>
      <c r="AE31" s="54">
        <f t="shared" si="71"/>
        <v>20.296000000000006</v>
      </c>
      <c r="AF31" s="54">
        <f t="shared" si="71"/>
        <v>14.757</v>
      </c>
      <c r="AG31" s="54">
        <f t="shared" si="71"/>
        <v>22.457999999999995</v>
      </c>
      <c r="AH31" s="54">
        <f t="shared" si="71"/>
        <v>25.779999999999994</v>
      </c>
      <c r="AI31" s="54">
        <f t="shared" si="71"/>
        <v>20.408000000000001</v>
      </c>
      <c r="AJ31" s="54">
        <f t="shared" si="71"/>
        <v>4.4660000000000002</v>
      </c>
      <c r="AK31" s="54">
        <f t="shared" si="71"/>
        <v>-11.623999999999999</v>
      </c>
      <c r="AL31" s="54">
        <f t="shared" si="71"/>
        <v>-10.384999999999998</v>
      </c>
      <c r="AM31" s="54">
        <f t="shared" si="71"/>
        <v>-5.202</v>
      </c>
      <c r="AN31" s="54">
        <f t="shared" si="71"/>
        <v>13.4</v>
      </c>
      <c r="AO31" s="54">
        <f t="shared" si="71"/>
        <v>31.602000000000007</v>
      </c>
      <c r="AP31" s="54">
        <f t="shared" si="71"/>
        <v>46.269000000000005</v>
      </c>
      <c r="AQ31" s="54">
        <f t="shared" si="71"/>
        <v>55.470999999999997</v>
      </c>
      <c r="AR31" s="54">
        <f t="shared" si="71"/>
        <v>65.524000000000001</v>
      </c>
      <c r="AS31" s="54">
        <f t="shared" si="71"/>
        <v>73.164999999999992</v>
      </c>
      <c r="AT31" s="54">
        <f t="shared" si="71"/>
        <v>85.827349999999967</v>
      </c>
      <c r="AU31" s="54">
        <f t="shared" si="71"/>
        <v>75.322649999999982</v>
      </c>
      <c r="AV31" s="54">
        <f t="shared" si="71"/>
        <v>82.159000000000006</v>
      </c>
      <c r="AW31" s="54">
        <f t="shared" si="71"/>
        <v>73.139999999999986</v>
      </c>
      <c r="AX31" s="54">
        <f t="shared" si="71"/>
        <v>66.039999999999992</v>
      </c>
      <c r="AY31" s="54">
        <f t="shared" si="71"/>
        <v>55.381</v>
      </c>
      <c r="AZ31" s="54">
        <f t="shared" ref="AZ31:BH31" si="72">AZ29+AZ30</f>
        <v>35.076000000000001</v>
      </c>
      <c r="BA31" s="54">
        <f t="shared" si="72"/>
        <v>40.416000000000011</v>
      </c>
      <c r="BB31" s="54">
        <f t="shared" si="72"/>
        <v>53.760000000000005</v>
      </c>
      <c r="BC31" s="54">
        <f t="shared" si="72"/>
        <v>37.642999999999986</v>
      </c>
      <c r="BD31" s="54">
        <f t="shared" si="72"/>
        <v>39.387999999999998</v>
      </c>
      <c r="BE31" s="54">
        <f t="shared" si="72"/>
        <v>63.283000000000001</v>
      </c>
      <c r="BF31" s="54">
        <f t="shared" si="72"/>
        <v>64.885000000000019</v>
      </c>
      <c r="BG31" s="54">
        <f t="shared" si="72"/>
        <v>77.637</v>
      </c>
      <c r="BH31" s="54">
        <f t="shared" si="72"/>
        <v>7.5480000000000009</v>
      </c>
      <c r="BI31" s="54">
        <f t="shared" ref="BI31:BO31" si="73">BI29+BI30</f>
        <v>-34.054999999999993</v>
      </c>
      <c r="BJ31" s="54">
        <f t="shared" si="73"/>
        <v>-35.173000000000002</v>
      </c>
      <c r="BK31" s="54">
        <f t="shared" si="73"/>
        <v>-37.881</v>
      </c>
      <c r="BL31" s="54">
        <f t="shared" si="73"/>
        <v>-46.911000000000016</v>
      </c>
      <c r="BM31" s="54">
        <f t="shared" si="73"/>
        <v>-48.685999999999993</v>
      </c>
      <c r="BN31" s="54">
        <f t="shared" si="73"/>
        <v>-38.942000000000007</v>
      </c>
      <c r="BO31" s="54">
        <f t="shared" si="73"/>
        <v>-21.107000000000006</v>
      </c>
      <c r="BP31" s="54">
        <f t="shared" ref="BP31:BW31" si="74">BP29+BP30</f>
        <v>3.6339999999999999</v>
      </c>
      <c r="BQ31" s="54">
        <f t="shared" si="74"/>
        <v>43.839999999999996</v>
      </c>
      <c r="BR31" s="54">
        <f t="shared" si="74"/>
        <v>57.334000000000003</v>
      </c>
      <c r="BS31" s="54">
        <f t="shared" si="74"/>
        <v>38.361000000000004</v>
      </c>
      <c r="BT31" s="54">
        <f t="shared" si="74"/>
        <v>59.6599780434954</v>
      </c>
      <c r="BU31" s="54">
        <f t="shared" si="74"/>
        <v>85.502980523430978</v>
      </c>
      <c r="BV31" s="54">
        <f t="shared" si="74"/>
        <v>94.446862319208364</v>
      </c>
      <c r="BW31" s="54">
        <f t="shared" si="74"/>
        <v>101.22116717598905</v>
      </c>
      <c r="BX31" s="54">
        <f t="shared" ref="BX31:CE31" si="75">BX29+BX30</f>
        <v>102.23917694702816</v>
      </c>
      <c r="BY31" s="54">
        <f t="shared" si="75"/>
        <v>102.91105209260559</v>
      </c>
      <c r="BZ31" s="54">
        <f t="shared" si="75"/>
        <v>108.33698402991983</v>
      </c>
      <c r="CA31" s="54">
        <f t="shared" si="75"/>
        <v>111.06245580760458</v>
      </c>
      <c r="CB31" s="54">
        <f t="shared" si="75"/>
        <v>109.34639419580517</v>
      </c>
      <c r="CC31" s="54">
        <f t="shared" si="75"/>
        <v>109.89487503218993</v>
      </c>
      <c r="CD31" s="54">
        <f t="shared" si="75"/>
        <v>110.8716103140975</v>
      </c>
      <c r="CE31" s="54">
        <f t="shared" si="75"/>
        <v>112.04541112916506</v>
      </c>
      <c r="CF31" s="4"/>
      <c r="CG31" s="4"/>
      <c r="CH31" s="4"/>
      <c r="CI31" s="4"/>
      <c r="CJ31" s="4"/>
      <c r="CK31" s="4"/>
      <c r="CL31" s="4"/>
      <c r="CM31" s="4"/>
      <c r="CN31" s="240">
        <f t="shared" si="16"/>
        <v>24</v>
      </c>
    </row>
    <row r="32" spans="1:92" outlineLevel="1">
      <c r="A32" s="144"/>
      <c r="B32" s="45" t="s">
        <v>110</v>
      </c>
      <c r="C32" s="23">
        <f>SUMIF($T$5:$BT$5,C$5,$T32:$BT32)</f>
        <v>0</v>
      </c>
      <c r="D32" s="23">
        <f>SUMIF($T$5:$BT$5,D$5,$T32:$BT32)</f>
        <v>0</v>
      </c>
      <c r="E32" s="23">
        <f>SUMIF($T$5:$BT$5,E$5,$T32:$BT32)</f>
        <v>0</v>
      </c>
      <c r="F32" s="23">
        <f>SUMIF($T$5:$BT$5,F$5,$T32:$BT32)</f>
        <v>0</v>
      </c>
      <c r="G32" s="23">
        <f t="shared" ref="G32:Q32" si="76">SUMIF($T$5:$CF$5,G$5,$T32:$CF32)</f>
        <v>0</v>
      </c>
      <c r="H32" s="23">
        <f t="shared" si="76"/>
        <v>-3.4580000000000002</v>
      </c>
      <c r="I32" s="23">
        <f t="shared" si="76"/>
        <v>0</v>
      </c>
      <c r="J32" s="23">
        <f t="shared" si="76"/>
        <v>0</v>
      </c>
      <c r="K32" s="23">
        <f t="shared" si="76"/>
        <v>0</v>
      </c>
      <c r="L32" s="23">
        <f t="shared" si="76"/>
        <v>0</v>
      </c>
      <c r="M32" s="23">
        <f t="shared" si="76"/>
        <v>14.399999999999999</v>
      </c>
      <c r="N32" s="23">
        <f t="shared" si="76"/>
        <v>19.341999999999999</v>
      </c>
      <c r="O32" s="23">
        <f t="shared" si="76"/>
        <v>0</v>
      </c>
      <c r="P32" s="23">
        <f t="shared" si="76"/>
        <v>0</v>
      </c>
      <c r="Q32" s="23">
        <f t="shared" si="76"/>
        <v>0</v>
      </c>
      <c r="R32" s="23"/>
      <c r="S32" s="23"/>
      <c r="T32" s="194">
        <v>1.9</v>
      </c>
      <c r="U32" s="194">
        <v>0.97799999999999998</v>
      </c>
      <c r="V32" s="194">
        <v>11.12</v>
      </c>
      <c r="W32" s="194">
        <v>3.5</v>
      </c>
      <c r="X32" s="194">
        <v>0</v>
      </c>
      <c r="Y32" s="194">
        <v>0</v>
      </c>
      <c r="Z32" s="194">
        <v>0</v>
      </c>
      <c r="AA32" s="194">
        <v>0</v>
      </c>
      <c r="AB32" s="194">
        <v>0</v>
      </c>
      <c r="AC32" s="194">
        <v>0</v>
      </c>
      <c r="AD32" s="194">
        <v>0</v>
      </c>
      <c r="AE32" s="194">
        <v>0</v>
      </c>
      <c r="AF32" s="194">
        <v>0</v>
      </c>
      <c r="AG32" s="194">
        <v>0</v>
      </c>
      <c r="AH32" s="194">
        <v>0</v>
      </c>
      <c r="AI32" s="194">
        <v>0</v>
      </c>
      <c r="AJ32" s="194">
        <v>0</v>
      </c>
      <c r="AK32" s="194">
        <v>0</v>
      </c>
      <c r="AL32" s="194">
        <v>0</v>
      </c>
      <c r="AM32" s="194">
        <v>0</v>
      </c>
      <c r="AN32" s="194">
        <v>0</v>
      </c>
      <c r="AO32" s="194">
        <v>0</v>
      </c>
      <c r="AP32" s="194">
        <v>0</v>
      </c>
      <c r="AQ32" s="194">
        <v>0</v>
      </c>
      <c r="AR32" s="194">
        <v>0</v>
      </c>
      <c r="AS32" s="194">
        <v>0</v>
      </c>
      <c r="AT32" s="194">
        <f>(-4.179*0.65)</f>
        <v>-2.7163500000000003</v>
      </c>
      <c r="AU32" s="194">
        <f>-1.141*0.65</f>
        <v>-0.74165000000000003</v>
      </c>
      <c r="AV32" s="194">
        <v>0</v>
      </c>
      <c r="AW32" s="194">
        <v>0</v>
      </c>
      <c r="AX32" s="194">
        <v>0</v>
      </c>
      <c r="AY32" s="194">
        <v>0</v>
      </c>
      <c r="AZ32" s="194">
        <v>0</v>
      </c>
      <c r="BA32" s="194">
        <v>0</v>
      </c>
      <c r="BB32" s="194">
        <v>0</v>
      </c>
      <c r="BC32" s="194">
        <v>0</v>
      </c>
      <c r="BD32" s="194">
        <v>0</v>
      </c>
      <c r="BE32" s="194">
        <v>0</v>
      </c>
      <c r="BF32" s="194">
        <v>0</v>
      </c>
      <c r="BG32" s="194">
        <v>0</v>
      </c>
      <c r="BH32" s="194">
        <v>0</v>
      </c>
      <c r="BI32" s="194">
        <v>0</v>
      </c>
      <c r="BJ32" s="194">
        <v>0</v>
      </c>
      <c r="BK32" s="194">
        <v>0</v>
      </c>
      <c r="BL32" s="194">
        <f>-2*0.65+15.7</f>
        <v>14.399999999999999</v>
      </c>
      <c r="BM32" s="194">
        <v>0</v>
      </c>
      <c r="BN32" s="194">
        <v>0</v>
      </c>
      <c r="BO32" s="194">
        <v>0</v>
      </c>
      <c r="BP32" s="194">
        <v>0</v>
      </c>
      <c r="BQ32" s="194">
        <v>0</v>
      </c>
      <c r="BR32" s="194">
        <v>0</v>
      </c>
      <c r="BS32" s="194">
        <v>19.341999999999999</v>
      </c>
      <c r="BT32" s="194">
        <v>0</v>
      </c>
      <c r="BU32" s="194">
        <v>0</v>
      </c>
      <c r="BV32" s="194">
        <v>0</v>
      </c>
      <c r="BW32" s="194">
        <v>0</v>
      </c>
      <c r="BX32" s="194">
        <v>0</v>
      </c>
      <c r="BY32" s="194">
        <v>0</v>
      </c>
      <c r="BZ32" s="194">
        <v>0</v>
      </c>
      <c r="CA32" s="194">
        <v>0</v>
      </c>
      <c r="CB32" s="194">
        <v>0</v>
      </c>
      <c r="CC32" s="194">
        <v>0</v>
      </c>
      <c r="CD32" s="194">
        <v>0</v>
      </c>
      <c r="CE32" s="194">
        <v>0</v>
      </c>
      <c r="CF32" s="4"/>
      <c r="CG32" s="4"/>
      <c r="CH32" s="4"/>
      <c r="CI32" s="4"/>
      <c r="CJ32" s="4"/>
      <c r="CK32" s="4"/>
      <c r="CL32" s="4"/>
      <c r="CM32" s="4"/>
      <c r="CN32" s="240">
        <f t="shared" si="16"/>
        <v>25</v>
      </c>
    </row>
    <row r="33" spans="1:92" outlineLevel="1">
      <c r="A33" s="144"/>
      <c r="B33" s="173" t="s">
        <v>41</v>
      </c>
      <c r="C33" s="54">
        <f>C31+C32</f>
        <v>104.82500000000002</v>
      </c>
      <c r="D33" s="54">
        <f t="shared" ref="D33:AY33" si="77">D31+D32</f>
        <v>80.756</v>
      </c>
      <c r="E33" s="54">
        <f t="shared" si="77"/>
        <v>77.036000000000001</v>
      </c>
      <c r="F33" s="54">
        <f t="shared" si="77"/>
        <v>-23.887999999999995</v>
      </c>
      <c r="G33" s="54">
        <f t="shared" si="77"/>
        <v>142.98399999999998</v>
      </c>
      <c r="H33" s="54">
        <f t="shared" si="77"/>
        <v>297.41499999999985</v>
      </c>
      <c r="I33" s="54">
        <f t="shared" si="77"/>
        <v>281.51199999999989</v>
      </c>
      <c r="J33" s="54">
        <f t="shared" si="77"/>
        <v>176.26599999999991</v>
      </c>
      <c r="K33" s="54">
        <f t="shared" si="77"/>
        <v>260.66499999999996</v>
      </c>
      <c r="L33" s="54">
        <f t="shared" si="77"/>
        <v>-93.144000000000005</v>
      </c>
      <c r="M33" s="54">
        <f t="shared" si="77"/>
        <v>-149.166</v>
      </c>
      <c r="N33" s="54">
        <f>N31+N32</f>
        <v>157.98099999999999</v>
      </c>
      <c r="O33" s="54">
        <f>O31+O32</f>
        <v>345.82698806212375</v>
      </c>
      <c r="P33" s="54">
        <f>P31+P32</f>
        <v>429.54566887715799</v>
      </c>
      <c r="Q33" s="54">
        <f>Q31+Q32</f>
        <v>447.15429067125768</v>
      </c>
      <c r="R33" s="69"/>
      <c r="S33" s="70"/>
      <c r="T33" s="60">
        <v>9.9269999999999996</v>
      </c>
      <c r="U33" s="60">
        <v>11.91</v>
      </c>
      <c r="V33" s="60">
        <v>11.91</v>
      </c>
      <c r="W33" s="54">
        <f t="shared" si="77"/>
        <v>21.512999999999998</v>
      </c>
      <c r="X33" s="54">
        <f t="shared" si="77"/>
        <v>24.900000000000006</v>
      </c>
      <c r="Y33" s="54">
        <f t="shared" si="77"/>
        <v>27.614000000000001</v>
      </c>
      <c r="Z33" s="54">
        <f t="shared" si="77"/>
        <v>28.770000000000007</v>
      </c>
      <c r="AA33" s="54">
        <f t="shared" si="77"/>
        <v>29.509999999999994</v>
      </c>
      <c r="AB33" s="54">
        <f t="shared" si="77"/>
        <v>28.045000000000002</v>
      </c>
      <c r="AC33" s="54">
        <f t="shared" si="77"/>
        <v>23.814999999999998</v>
      </c>
      <c r="AD33" s="54">
        <f t="shared" si="77"/>
        <v>14.892999999999997</v>
      </c>
      <c r="AE33" s="54">
        <f t="shared" si="77"/>
        <v>20.296000000000006</v>
      </c>
      <c r="AF33" s="54">
        <f t="shared" si="77"/>
        <v>14.757</v>
      </c>
      <c r="AG33" s="54">
        <f t="shared" si="77"/>
        <v>22.457999999999995</v>
      </c>
      <c r="AH33" s="54">
        <f t="shared" si="77"/>
        <v>25.779999999999994</v>
      </c>
      <c r="AI33" s="54">
        <f t="shared" si="77"/>
        <v>20.408000000000001</v>
      </c>
      <c r="AJ33" s="54">
        <f t="shared" si="77"/>
        <v>4.4660000000000002</v>
      </c>
      <c r="AK33" s="54">
        <f t="shared" si="77"/>
        <v>-11.623999999999999</v>
      </c>
      <c r="AL33" s="54">
        <f t="shared" si="77"/>
        <v>-10.384999999999998</v>
      </c>
      <c r="AM33" s="54">
        <f t="shared" si="77"/>
        <v>-5.202</v>
      </c>
      <c r="AN33" s="54">
        <f t="shared" si="77"/>
        <v>13.4</v>
      </c>
      <c r="AO33" s="54">
        <f t="shared" si="77"/>
        <v>31.602000000000007</v>
      </c>
      <c r="AP33" s="54">
        <f t="shared" si="77"/>
        <v>46.269000000000005</v>
      </c>
      <c r="AQ33" s="54">
        <f t="shared" si="77"/>
        <v>55.470999999999997</v>
      </c>
      <c r="AR33" s="54">
        <f t="shared" si="77"/>
        <v>65.524000000000001</v>
      </c>
      <c r="AS33" s="54">
        <f t="shared" si="77"/>
        <v>73.164999999999992</v>
      </c>
      <c r="AT33" s="54">
        <f t="shared" si="77"/>
        <v>83.110999999999962</v>
      </c>
      <c r="AU33" s="54">
        <f t="shared" si="77"/>
        <v>74.580999999999975</v>
      </c>
      <c r="AV33" s="54">
        <f t="shared" si="77"/>
        <v>82.159000000000006</v>
      </c>
      <c r="AW33" s="54">
        <f t="shared" si="77"/>
        <v>73.139999999999986</v>
      </c>
      <c r="AX33" s="54">
        <f t="shared" si="77"/>
        <v>66.039999999999992</v>
      </c>
      <c r="AY33" s="54">
        <f t="shared" si="77"/>
        <v>55.381</v>
      </c>
      <c r="AZ33" s="54">
        <f t="shared" ref="AZ33:BH33" si="78">AZ31+AZ32</f>
        <v>35.076000000000001</v>
      </c>
      <c r="BA33" s="54">
        <f t="shared" si="78"/>
        <v>40.416000000000011</v>
      </c>
      <c r="BB33" s="54">
        <f t="shared" si="78"/>
        <v>53.760000000000005</v>
      </c>
      <c r="BC33" s="54">
        <f t="shared" si="78"/>
        <v>37.642999999999986</v>
      </c>
      <c r="BD33" s="54">
        <f t="shared" si="78"/>
        <v>39.387999999999998</v>
      </c>
      <c r="BE33" s="54">
        <f t="shared" si="78"/>
        <v>63.283000000000001</v>
      </c>
      <c r="BF33" s="54">
        <f t="shared" si="78"/>
        <v>64.885000000000019</v>
      </c>
      <c r="BG33" s="54">
        <f t="shared" si="78"/>
        <v>77.637</v>
      </c>
      <c r="BH33" s="54">
        <f t="shared" si="78"/>
        <v>7.5480000000000009</v>
      </c>
      <c r="BI33" s="54">
        <f t="shared" ref="BI33:BO33" si="79">BI31+BI32</f>
        <v>-34.054999999999993</v>
      </c>
      <c r="BJ33" s="54">
        <f t="shared" si="79"/>
        <v>-35.173000000000002</v>
      </c>
      <c r="BK33" s="54">
        <f t="shared" si="79"/>
        <v>-37.881</v>
      </c>
      <c r="BL33" s="54">
        <f t="shared" si="79"/>
        <v>-32.511000000000017</v>
      </c>
      <c r="BM33" s="54">
        <f t="shared" si="79"/>
        <v>-48.685999999999993</v>
      </c>
      <c r="BN33" s="54">
        <f t="shared" si="79"/>
        <v>-38.942000000000007</v>
      </c>
      <c r="BO33" s="54">
        <f t="shared" si="79"/>
        <v>-21.107000000000006</v>
      </c>
      <c r="BP33" s="54">
        <f t="shared" ref="BP33:BW33" si="80">BP31+BP32</f>
        <v>3.6339999999999999</v>
      </c>
      <c r="BQ33" s="54">
        <f t="shared" si="80"/>
        <v>43.839999999999996</v>
      </c>
      <c r="BR33" s="54">
        <f t="shared" si="80"/>
        <v>57.334000000000003</v>
      </c>
      <c r="BS33" s="54">
        <f t="shared" si="80"/>
        <v>57.703000000000003</v>
      </c>
      <c r="BT33" s="54">
        <f t="shared" si="80"/>
        <v>59.6599780434954</v>
      </c>
      <c r="BU33" s="54">
        <f t="shared" si="80"/>
        <v>85.502980523430978</v>
      </c>
      <c r="BV33" s="54">
        <f t="shared" si="80"/>
        <v>94.446862319208364</v>
      </c>
      <c r="BW33" s="54">
        <f t="shared" si="80"/>
        <v>101.22116717598905</v>
      </c>
      <c r="BX33" s="54">
        <f t="shared" ref="BX33:CE33" si="81">BX31+BX32</f>
        <v>102.23917694702816</v>
      </c>
      <c r="BY33" s="54">
        <f t="shared" si="81"/>
        <v>102.91105209260559</v>
      </c>
      <c r="BZ33" s="54">
        <f t="shared" si="81"/>
        <v>108.33698402991983</v>
      </c>
      <c r="CA33" s="54">
        <f t="shared" si="81"/>
        <v>111.06245580760458</v>
      </c>
      <c r="CB33" s="54">
        <f t="shared" si="81"/>
        <v>109.34639419580517</v>
      </c>
      <c r="CC33" s="54">
        <f t="shared" si="81"/>
        <v>109.89487503218993</v>
      </c>
      <c r="CD33" s="54">
        <f t="shared" si="81"/>
        <v>110.8716103140975</v>
      </c>
      <c r="CE33" s="54">
        <f t="shared" si="81"/>
        <v>112.04541112916506</v>
      </c>
      <c r="CF33" s="4"/>
      <c r="CG33" s="4"/>
      <c r="CH33" s="4"/>
      <c r="CI33" s="4"/>
      <c r="CJ33" s="4"/>
      <c r="CK33" s="4"/>
      <c r="CL33" s="4"/>
      <c r="CM33" s="4"/>
      <c r="CN33" s="240">
        <f t="shared" si="16"/>
        <v>26</v>
      </c>
    </row>
    <row r="34" spans="1:92" outlineLevel="1">
      <c r="A34" s="144"/>
      <c r="B34" s="41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11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240">
        <f t="shared" si="16"/>
        <v>27</v>
      </c>
    </row>
    <row r="35" spans="1:92" outlineLevel="1">
      <c r="A35" s="144"/>
      <c r="B35" s="40" t="s">
        <v>42</v>
      </c>
      <c r="C35" s="13">
        <f t="shared" ref="C35:J35" si="82">C31/C37</f>
        <v>0.47305568247843727</v>
      </c>
      <c r="D35" s="13">
        <f t="shared" si="82"/>
        <v>0.3651049980347395</v>
      </c>
      <c r="E35" s="13">
        <f t="shared" si="82"/>
        <v>0.34995883091145519</v>
      </c>
      <c r="F35" s="13">
        <f t="shared" si="82"/>
        <v>-0.11008431268013974</v>
      </c>
      <c r="G35" s="13">
        <f t="shared" si="82"/>
        <v>0.65094992986140154</v>
      </c>
      <c r="H35" s="13">
        <f t="shared" si="82"/>
        <v>1.3664275544474185</v>
      </c>
      <c r="I35" s="13">
        <f t="shared" si="82"/>
        <v>1.2991102743013248</v>
      </c>
      <c r="J35" s="13">
        <f t="shared" si="82"/>
        <v>0.81356886610333523</v>
      </c>
      <c r="K35" s="13">
        <f t="shared" ref="K35:P35" si="83">K31/K37</f>
        <v>1.2078882402755298</v>
      </c>
      <c r="L35" s="13">
        <f t="shared" si="83"/>
        <v>-0.43650627210643667</v>
      </c>
      <c r="M35" s="13">
        <f t="shared" si="83"/>
        <v>-0.76351542168955899</v>
      </c>
      <c r="N35" s="13">
        <f t="shared" si="83"/>
        <v>0.64056239048297814</v>
      </c>
      <c r="O35" s="13">
        <f t="shared" si="83"/>
        <v>1.5970320282828081</v>
      </c>
      <c r="P35" s="13">
        <f t="shared" si="83"/>
        <v>1.983645621907772</v>
      </c>
      <c r="Q35" s="13">
        <f>Q31/Q37</f>
        <v>2.0649623899734388</v>
      </c>
      <c r="R35" s="13"/>
      <c r="S35" s="13"/>
      <c r="T35" s="13"/>
      <c r="U35" s="13"/>
      <c r="V35" s="13"/>
      <c r="W35" s="13">
        <f t="shared" ref="W35:AW35" si="84">W31/W37</f>
        <v>8.1286834718724887E-2</v>
      </c>
      <c r="X35" s="13">
        <f t="shared" si="84"/>
        <v>0.11207091523455567</v>
      </c>
      <c r="Y35" s="13">
        <f t="shared" si="84"/>
        <v>0.12442858333727608</v>
      </c>
      <c r="Z35" s="13">
        <f t="shared" si="84"/>
        <v>0.13007799253984406</v>
      </c>
      <c r="AA35" s="13">
        <f t="shared" si="84"/>
        <v>0.13347943247494432</v>
      </c>
      <c r="AB35" s="13">
        <f t="shared" si="84"/>
        <v>0.12668920826585536</v>
      </c>
      <c r="AC35" s="13">
        <f t="shared" si="84"/>
        <v>0.10751304693284215</v>
      </c>
      <c r="AD35" s="13">
        <f t="shared" si="84"/>
        <v>6.7362545782264679E-2</v>
      </c>
      <c r="AE35" s="13">
        <f t="shared" si="84"/>
        <v>9.1929033105503724E-2</v>
      </c>
      <c r="AF35" s="13">
        <f t="shared" si="84"/>
        <v>6.6863082919601871E-2</v>
      </c>
      <c r="AG35" s="13">
        <f t="shared" si="84"/>
        <v>0.10172577795896179</v>
      </c>
      <c r="AH35" s="13">
        <f t="shared" si="84"/>
        <v>0.11663997249142617</v>
      </c>
      <c r="AI35" s="13">
        <f t="shared" si="84"/>
        <v>9.3606842546438196E-2</v>
      </c>
      <c r="AJ35" s="13">
        <f t="shared" si="84"/>
        <v>2.0520101405875062E-2</v>
      </c>
      <c r="AK35" s="13">
        <f t="shared" si="84"/>
        <v>-5.3637698664018005E-2</v>
      </c>
      <c r="AL35" s="13">
        <f t="shared" si="84"/>
        <v>-4.7903059153474287E-2</v>
      </c>
      <c r="AM35" s="13">
        <f t="shared" si="84"/>
        <v>-2.3989623865110245E-2</v>
      </c>
      <c r="AN35" s="13">
        <f t="shared" si="84"/>
        <v>6.1114588713640533E-2</v>
      </c>
      <c r="AO35" s="13">
        <f t="shared" si="84"/>
        <v>0.14417743651860904</v>
      </c>
      <c r="AP35" s="13">
        <f t="shared" si="84"/>
        <v>0.21018418201516798</v>
      </c>
      <c r="AQ35" s="13">
        <f t="shared" si="84"/>
        <v>0.25210252075252176</v>
      </c>
      <c r="AR35" s="13">
        <f t="shared" si="84"/>
        <v>0.29710036500487425</v>
      </c>
      <c r="AS35" s="13">
        <f t="shared" si="84"/>
        <v>0.3321710863830965</v>
      </c>
      <c r="AT35" s="13">
        <f t="shared" si="84"/>
        <v>0.38959482339910739</v>
      </c>
      <c r="AU35" s="13">
        <f t="shared" si="84"/>
        <v>0.34291967712416505</v>
      </c>
      <c r="AV35" s="13">
        <f t="shared" si="84"/>
        <v>0.37800322061191632</v>
      </c>
      <c r="AW35" s="13">
        <f t="shared" si="84"/>
        <v>0.33841213730815672</v>
      </c>
      <c r="AX35" s="13">
        <f>AX31/AX37</f>
        <v>0.30483048304830479</v>
      </c>
      <c r="AY35" s="13">
        <f>AY31/AY37</f>
        <v>0.25561012083337181</v>
      </c>
      <c r="AZ35" s="13">
        <f>AZ31/AZ37</f>
        <v>0.16125043098494427</v>
      </c>
      <c r="BA35" s="13">
        <f>BA31/BA37</f>
        <v>0.18651099471607566</v>
      </c>
      <c r="BB35" s="13">
        <f t="shared" ref="BB35:BK35" si="85">BB31/BB37</f>
        <v>0.24872537498496361</v>
      </c>
      <c r="BC35" s="13">
        <f>BC31/BC37</f>
        <v>0.17405638348538158</v>
      </c>
      <c r="BD35" s="13">
        <f>BD31/BD37</f>
        <v>0.18217136725651437</v>
      </c>
      <c r="BE35" s="13">
        <f t="shared" si="85"/>
        <v>0.29265439007020044</v>
      </c>
      <c r="BF35" s="13">
        <f t="shared" si="85"/>
        <v>0.29992973827507474</v>
      </c>
      <c r="BG35" s="13">
        <f t="shared" si="85"/>
        <v>0.36191199847099792</v>
      </c>
      <c r="BH35" s="13">
        <f t="shared" si="85"/>
        <v>3.5339560362385003E-2</v>
      </c>
      <c r="BI35" s="13">
        <f t="shared" si="85"/>
        <v>-0.16018494999952959</v>
      </c>
      <c r="BJ35" s="13">
        <f t="shared" si="85"/>
        <v>-0.16460672316886546</v>
      </c>
      <c r="BK35" s="13">
        <f t="shared" si="85"/>
        <v>-0.17727993859948801</v>
      </c>
      <c r="BL35" s="13">
        <f t="shared" ref="BL35:BS35" si="86">BL31/BL37</f>
        <v>-0.21909663679119717</v>
      </c>
      <c r="BM35" s="13">
        <f t="shared" si="86"/>
        <v>-0.22722541922777142</v>
      </c>
      <c r="BN35" s="13">
        <f t="shared" si="86"/>
        <v>-0.18174605397029864</v>
      </c>
      <c r="BO35" s="13">
        <f t="shared" si="86"/>
        <v>-9.8506557147524182E-2</v>
      </c>
      <c r="BP35" s="13">
        <f t="shared" si="86"/>
        <v>1.6928229709648718E-2</v>
      </c>
      <c r="BQ35" s="13">
        <f t="shared" si="86"/>
        <v>0.20153542040178365</v>
      </c>
      <c r="BR35" s="13">
        <f t="shared" si="86"/>
        <v>0.26426312926925949</v>
      </c>
      <c r="BS35" s="13">
        <f t="shared" si="86"/>
        <v>0.17712652488294994</v>
      </c>
      <c r="BT35" s="13">
        <f>BT31/BT37</f>
        <v>0.2755102957002174</v>
      </c>
      <c r="BU35" s="13">
        <f>BU31/BU37</f>
        <v>0.39485350514353335</v>
      </c>
      <c r="BV35" s="13">
        <f>BV31/BV37</f>
        <v>0.43615642879640382</v>
      </c>
      <c r="BW35" s="13">
        <f>BW31/BW37</f>
        <v>0.46744022734045226</v>
      </c>
      <c r="BX35" s="13">
        <f t="shared" ref="BX35:CE35" si="87">BX31/BX37</f>
        <v>0.47214140528658249</v>
      </c>
      <c r="BY35" s="13">
        <f t="shared" si="87"/>
        <v>0.4752441305322524</v>
      </c>
      <c r="BZ35" s="13">
        <f t="shared" si="87"/>
        <v>0.5003011312473522</v>
      </c>
      <c r="CA35" s="13">
        <f t="shared" si="87"/>
        <v>0.51288738353938412</v>
      </c>
      <c r="CB35" s="13">
        <f t="shared" si="87"/>
        <v>0.50496259614234629</v>
      </c>
      <c r="CC35" s="13">
        <f t="shared" si="87"/>
        <v>0.50749548539865974</v>
      </c>
      <c r="CD35" s="13">
        <f t="shared" si="87"/>
        <v>0.51200605739623917</v>
      </c>
      <c r="CE35" s="13">
        <f t="shared" si="87"/>
        <v>0.51742667973399203</v>
      </c>
      <c r="CF35" s="4"/>
      <c r="CG35" s="4"/>
      <c r="CH35" s="4"/>
      <c r="CI35" s="4"/>
      <c r="CJ35" s="4"/>
      <c r="CK35" s="4"/>
      <c r="CL35" s="4"/>
      <c r="CM35" s="4"/>
      <c r="CN35" s="240">
        <f t="shared" si="16"/>
        <v>28</v>
      </c>
    </row>
    <row r="36" spans="1:92" outlineLevel="1">
      <c r="A36" s="144"/>
      <c r="B36" s="39" t="s">
        <v>44</v>
      </c>
      <c r="C36" s="14">
        <f t="shared" ref="C36:I36" si="88">C33/C37</f>
        <v>0.47305568247843727</v>
      </c>
      <c r="D36" s="14">
        <f t="shared" si="88"/>
        <v>0.3651049980347395</v>
      </c>
      <c r="E36" s="14">
        <f t="shared" si="88"/>
        <v>0.34995883091145519</v>
      </c>
      <c r="F36" s="14">
        <f t="shared" si="88"/>
        <v>-0.11008431268013974</v>
      </c>
      <c r="G36" s="14">
        <f t="shared" si="88"/>
        <v>0.65094992986140154</v>
      </c>
      <c r="H36" s="14">
        <f t="shared" si="88"/>
        <v>1.3507229000474583</v>
      </c>
      <c r="I36" s="14">
        <f t="shared" si="88"/>
        <v>1.2991102743013248</v>
      </c>
      <c r="J36" s="14">
        <f t="shared" ref="J36:O36" si="89">J33/J37</f>
        <v>0.81356886610333523</v>
      </c>
      <c r="K36" s="14">
        <f t="shared" si="89"/>
        <v>1.2078882402755298</v>
      </c>
      <c r="L36" s="14">
        <f t="shared" si="89"/>
        <v>-0.43650627210643667</v>
      </c>
      <c r="M36" s="14">
        <f t="shared" si="89"/>
        <v>-0.69629716072866465</v>
      </c>
      <c r="N36" s="14">
        <f t="shared" si="89"/>
        <v>0.72992943551880318</v>
      </c>
      <c r="O36" s="14">
        <f t="shared" si="89"/>
        <v>1.5970320282828081</v>
      </c>
      <c r="P36" s="14">
        <f>P33/P37</f>
        <v>1.983645621907772</v>
      </c>
      <c r="Q36" s="14">
        <f>Q33/Q37</f>
        <v>2.0649623899734388</v>
      </c>
      <c r="R36" s="14"/>
      <c r="S36" s="4"/>
      <c r="T36" s="4"/>
      <c r="U36" s="4"/>
      <c r="V36" s="4"/>
      <c r="W36" s="14">
        <f t="shared" ref="W36:AW36" si="90">W33/W37</f>
        <v>9.7081201093872679E-2</v>
      </c>
      <c r="X36" s="14">
        <f t="shared" si="90"/>
        <v>0.11207091523455567</v>
      </c>
      <c r="Y36" s="14">
        <f t="shared" si="90"/>
        <v>0.12442858333727608</v>
      </c>
      <c r="Z36" s="14">
        <f t="shared" si="90"/>
        <v>0.13007799253984406</v>
      </c>
      <c r="AA36" s="14">
        <f t="shared" si="90"/>
        <v>0.13347943247494432</v>
      </c>
      <c r="AB36" s="14">
        <f t="shared" si="90"/>
        <v>0.12668920826585536</v>
      </c>
      <c r="AC36" s="14">
        <f t="shared" si="90"/>
        <v>0.10751304693284215</v>
      </c>
      <c r="AD36" s="14">
        <f t="shared" si="90"/>
        <v>6.7362545782264679E-2</v>
      </c>
      <c r="AE36" s="14">
        <f t="shared" si="90"/>
        <v>9.1929033105503724E-2</v>
      </c>
      <c r="AF36" s="14">
        <f t="shared" si="90"/>
        <v>6.6863082919601871E-2</v>
      </c>
      <c r="AG36" s="14">
        <f t="shared" si="90"/>
        <v>0.10172577795896179</v>
      </c>
      <c r="AH36" s="14">
        <f t="shared" si="90"/>
        <v>0.11663997249142617</v>
      </c>
      <c r="AI36" s="14">
        <f t="shared" si="90"/>
        <v>9.3606842546438196E-2</v>
      </c>
      <c r="AJ36" s="14">
        <f t="shared" si="90"/>
        <v>2.0520101405875062E-2</v>
      </c>
      <c r="AK36" s="14">
        <f t="shared" si="90"/>
        <v>-5.3637698664018005E-2</v>
      </c>
      <c r="AL36" s="14">
        <f t="shared" si="90"/>
        <v>-4.7903059153474287E-2</v>
      </c>
      <c r="AM36" s="14">
        <f t="shared" si="90"/>
        <v>-2.3989623865110245E-2</v>
      </c>
      <c r="AN36" s="14">
        <f t="shared" si="90"/>
        <v>6.1114588713640533E-2</v>
      </c>
      <c r="AO36" s="14">
        <f t="shared" si="90"/>
        <v>0.14417743651860904</v>
      </c>
      <c r="AP36" s="14">
        <f t="shared" si="90"/>
        <v>0.21018418201516798</v>
      </c>
      <c r="AQ36" s="14">
        <f t="shared" si="90"/>
        <v>0.25210252075252176</v>
      </c>
      <c r="AR36" s="14">
        <f t="shared" si="90"/>
        <v>0.29710036500487425</v>
      </c>
      <c r="AS36" s="14">
        <f t="shared" si="90"/>
        <v>0.3321710863830965</v>
      </c>
      <c r="AT36" s="14">
        <f t="shared" si="90"/>
        <v>0.37726453592617282</v>
      </c>
      <c r="AU36" s="14">
        <f t="shared" si="90"/>
        <v>0.33954318441527681</v>
      </c>
      <c r="AV36" s="14">
        <f t="shared" si="90"/>
        <v>0.37800322061191632</v>
      </c>
      <c r="AW36" s="14">
        <f t="shared" si="90"/>
        <v>0.33841213730815672</v>
      </c>
      <c r="AX36" s="14">
        <f>AX33/AX37</f>
        <v>0.30483048304830479</v>
      </c>
      <c r="AY36" s="14">
        <f>AY33/AY37</f>
        <v>0.25561012083337181</v>
      </c>
      <c r="AZ36" s="14">
        <f>AZ33/AZ37</f>
        <v>0.16125043098494427</v>
      </c>
      <c r="BA36" s="14">
        <f>BA33/BA37</f>
        <v>0.18651099471607566</v>
      </c>
      <c r="BB36" s="14">
        <f t="shared" ref="BB36:BK36" si="91">BB33/BB37</f>
        <v>0.24872537498496361</v>
      </c>
      <c r="BC36" s="14">
        <f>BC33/BC37</f>
        <v>0.17405638348538158</v>
      </c>
      <c r="BD36" s="14">
        <f>BD33/BD37</f>
        <v>0.18217136725651437</v>
      </c>
      <c r="BE36" s="14">
        <f t="shared" si="91"/>
        <v>0.29265439007020044</v>
      </c>
      <c r="BF36" s="14">
        <f t="shared" si="91"/>
        <v>0.29992973827507474</v>
      </c>
      <c r="BG36" s="14">
        <f t="shared" si="91"/>
        <v>0.36191199847099792</v>
      </c>
      <c r="BH36" s="14">
        <f t="shared" si="91"/>
        <v>3.5339560362385003E-2</v>
      </c>
      <c r="BI36" s="14">
        <f t="shared" si="91"/>
        <v>-0.16018494999952959</v>
      </c>
      <c r="BJ36" s="14">
        <f t="shared" si="91"/>
        <v>-0.16460672316886546</v>
      </c>
      <c r="BK36" s="14">
        <f t="shared" si="91"/>
        <v>-0.17727993859948801</v>
      </c>
      <c r="BL36" s="14">
        <f t="shared" ref="BL36:BS36" si="92">BL33/BL37</f>
        <v>-0.15184180168230507</v>
      </c>
      <c r="BM36" s="14">
        <f t="shared" si="92"/>
        <v>-0.22722541922777142</v>
      </c>
      <c r="BN36" s="14">
        <f t="shared" si="92"/>
        <v>-0.18174605397029864</v>
      </c>
      <c r="BO36" s="14">
        <f t="shared" si="92"/>
        <v>-9.8506557147524182E-2</v>
      </c>
      <c r="BP36" s="14">
        <f t="shared" si="92"/>
        <v>1.6928229709648718E-2</v>
      </c>
      <c r="BQ36" s="14">
        <f t="shared" si="92"/>
        <v>0.20153542040178365</v>
      </c>
      <c r="BR36" s="14">
        <f t="shared" si="92"/>
        <v>0.26426312926925949</v>
      </c>
      <c r="BS36" s="14">
        <f t="shared" si="92"/>
        <v>0.26643549087148044</v>
      </c>
      <c r="BT36" s="14">
        <f>BT33/BT37</f>
        <v>0.2755102957002174</v>
      </c>
      <c r="BU36" s="14">
        <f>BU33/BU37</f>
        <v>0.39485350514353335</v>
      </c>
      <c r="BV36" s="14">
        <f>BV33/BV37</f>
        <v>0.43615642879640382</v>
      </c>
      <c r="BW36" s="14">
        <f>BW33/BW37</f>
        <v>0.46744022734045226</v>
      </c>
      <c r="BX36" s="14">
        <f t="shared" ref="BX36:CE36" si="93">BX33/BX37</f>
        <v>0.47214140528658249</v>
      </c>
      <c r="BY36" s="14">
        <f t="shared" si="93"/>
        <v>0.4752441305322524</v>
      </c>
      <c r="BZ36" s="14">
        <f t="shared" si="93"/>
        <v>0.5003011312473522</v>
      </c>
      <c r="CA36" s="14">
        <f t="shared" si="93"/>
        <v>0.51288738353938412</v>
      </c>
      <c r="CB36" s="14">
        <f t="shared" si="93"/>
        <v>0.50496259614234629</v>
      </c>
      <c r="CC36" s="14">
        <f t="shared" si="93"/>
        <v>0.50749548539865974</v>
      </c>
      <c r="CD36" s="14">
        <f t="shared" si="93"/>
        <v>0.51200605739623917</v>
      </c>
      <c r="CE36" s="14">
        <f t="shared" si="93"/>
        <v>0.51742667973399203</v>
      </c>
      <c r="CF36" s="4"/>
      <c r="CG36" s="4"/>
      <c r="CH36" s="4"/>
      <c r="CI36" s="4"/>
      <c r="CJ36" s="4"/>
      <c r="CK36" s="4"/>
      <c r="CL36" s="4"/>
      <c r="CM36" s="4"/>
      <c r="CN36" s="240">
        <f t="shared" si="16"/>
        <v>29</v>
      </c>
    </row>
    <row r="37" spans="1:92" ht="12.75" customHeight="1" outlineLevel="1">
      <c r="A37" s="144"/>
      <c r="B37" s="39" t="s">
        <v>43</v>
      </c>
      <c r="C37" s="56">
        <f t="shared" ref="C37:O37" si="94">C327</f>
        <v>221.59125</v>
      </c>
      <c r="D37" s="56">
        <f t="shared" si="94"/>
        <v>221.18568749999997</v>
      </c>
      <c r="E37" s="56">
        <f t="shared" si="94"/>
        <v>220.12875000000003</v>
      </c>
      <c r="F37" s="56">
        <f t="shared" si="94"/>
        <v>216.99731249999999</v>
      </c>
      <c r="G37" s="56">
        <f t="shared" si="94"/>
        <v>219.65437499999999</v>
      </c>
      <c r="H37" s="56">
        <f t="shared" si="94"/>
        <v>220.18950000000001</v>
      </c>
      <c r="I37" s="56">
        <f t="shared" si="94"/>
        <v>216.696</v>
      </c>
      <c r="J37" s="56">
        <f t="shared" si="94"/>
        <v>216.65775000000002</v>
      </c>
      <c r="K37" s="56">
        <f t="shared" si="94"/>
        <v>215.80225000000002</v>
      </c>
      <c r="L37" s="56">
        <f t="shared" si="94"/>
        <v>213.38524999999998</v>
      </c>
      <c r="M37" s="56">
        <f t="shared" si="94"/>
        <v>214.22749999999999</v>
      </c>
      <c r="N37" s="56">
        <f t="shared" si="94"/>
        <v>216.43324999999999</v>
      </c>
      <c r="O37" s="56">
        <f t="shared" si="94"/>
        <v>216.54355200000001</v>
      </c>
      <c r="P37" s="56">
        <f>P327</f>
        <v>216.54355200000001</v>
      </c>
      <c r="Q37" s="56">
        <f>Q327</f>
        <v>216.54355200000001</v>
      </c>
      <c r="R37" s="56"/>
      <c r="S37" s="4"/>
      <c r="T37" s="56"/>
      <c r="U37" s="56"/>
      <c r="V37" s="56"/>
      <c r="W37" s="56">
        <f t="shared" ref="W37:AV37" si="95">W327</f>
        <v>221.59800000000001</v>
      </c>
      <c r="X37" s="56">
        <f t="shared" si="95"/>
        <v>222.18074999999999</v>
      </c>
      <c r="Y37" s="56">
        <f t="shared" si="95"/>
        <v>221.9265</v>
      </c>
      <c r="Z37" s="56">
        <f t="shared" si="95"/>
        <v>221.17499999999998</v>
      </c>
      <c r="AA37" s="56">
        <f t="shared" si="95"/>
        <v>221.08275</v>
      </c>
      <c r="AB37" s="56">
        <f t="shared" si="95"/>
        <v>221.36849999999998</v>
      </c>
      <c r="AC37" s="56">
        <f t="shared" si="95"/>
        <v>221.50799999999998</v>
      </c>
      <c r="AD37" s="56">
        <f t="shared" si="95"/>
        <v>221.08724999999998</v>
      </c>
      <c r="AE37" s="56">
        <f t="shared" si="95"/>
        <v>220.779</v>
      </c>
      <c r="AF37" s="56">
        <f t="shared" si="95"/>
        <v>220.70474999999999</v>
      </c>
      <c r="AG37" s="56">
        <f t="shared" si="95"/>
        <v>220.77</v>
      </c>
      <c r="AH37" s="56">
        <f t="shared" si="95"/>
        <v>221.02199999999999</v>
      </c>
      <c r="AI37" s="56">
        <f t="shared" si="95"/>
        <v>218.01825000000002</v>
      </c>
      <c r="AJ37" s="56">
        <f t="shared" si="95"/>
        <v>217.64025000000001</v>
      </c>
      <c r="AK37" s="56">
        <f t="shared" si="95"/>
        <v>216.71324999999999</v>
      </c>
      <c r="AL37" s="56">
        <f t="shared" si="95"/>
        <v>216.792</v>
      </c>
      <c r="AM37" s="56">
        <f t="shared" si="95"/>
        <v>216.84375</v>
      </c>
      <c r="AN37" s="56">
        <f t="shared" si="95"/>
        <v>219.26024999999998</v>
      </c>
      <c r="AO37" s="56">
        <f t="shared" si="95"/>
        <v>219.18825000000001</v>
      </c>
      <c r="AP37" s="56">
        <f t="shared" si="95"/>
        <v>220.13549999999998</v>
      </c>
      <c r="AQ37" s="56">
        <f t="shared" si="95"/>
        <v>220.0335</v>
      </c>
      <c r="AR37" s="56">
        <f t="shared" si="95"/>
        <v>220.54500000000002</v>
      </c>
      <c r="AS37" s="56">
        <f t="shared" si="95"/>
        <v>220.26300000000003</v>
      </c>
      <c r="AT37" s="56">
        <f t="shared" si="95"/>
        <v>220.29900000000004</v>
      </c>
      <c r="AU37" s="56">
        <f t="shared" si="95"/>
        <v>219.65100000000001</v>
      </c>
      <c r="AV37" s="56">
        <f t="shared" si="95"/>
        <v>217.35</v>
      </c>
      <c r="AW37" s="197">
        <v>216.12700000000001</v>
      </c>
      <c r="AX37" s="197">
        <v>216.64500000000001</v>
      </c>
      <c r="AY37" s="197">
        <v>216.66200000000001</v>
      </c>
      <c r="AZ37" s="197">
        <v>217.52500000000001</v>
      </c>
      <c r="BA37" s="197">
        <v>216.69499999999999</v>
      </c>
      <c r="BB37" s="197">
        <v>216.142</v>
      </c>
      <c r="BC37" s="197">
        <v>216.26900000000001</v>
      </c>
      <c r="BD37" s="197">
        <v>216.214</v>
      </c>
      <c r="BE37" s="198">
        <v>216.238</v>
      </c>
      <c r="BF37" s="198">
        <v>216.334</v>
      </c>
      <c r="BG37" s="198">
        <v>214.51900000000001</v>
      </c>
      <c r="BH37" s="198">
        <v>213.58500000000001</v>
      </c>
      <c r="BI37" s="198">
        <v>212.59800000000001</v>
      </c>
      <c r="BJ37" s="198">
        <v>213.679</v>
      </c>
      <c r="BK37" s="198">
        <v>213.679</v>
      </c>
      <c r="BL37" s="198">
        <v>214.11099999999999</v>
      </c>
      <c r="BM37" s="198">
        <v>214.26300000000001</v>
      </c>
      <c r="BN37" s="198">
        <v>214.26599999999999</v>
      </c>
      <c r="BO37" s="198">
        <v>214.27</v>
      </c>
      <c r="BP37" s="198">
        <v>214.67099999999999</v>
      </c>
      <c r="BQ37" s="198">
        <v>217.53</v>
      </c>
      <c r="BR37" s="198">
        <v>216.958</v>
      </c>
      <c r="BS37" s="198">
        <v>216.57400000000001</v>
      </c>
      <c r="BT37" s="59">
        <f>BT327</f>
        <v>216.54355200000001</v>
      </c>
      <c r="BU37" s="59">
        <f>BU327</f>
        <v>216.54355200000001</v>
      </c>
      <c r="BV37" s="59">
        <f>BV327</f>
        <v>216.54355200000001</v>
      </c>
      <c r="BW37" s="59">
        <f>BW327</f>
        <v>216.54355200000001</v>
      </c>
      <c r="BX37" s="59">
        <f t="shared" ref="BX37:CE37" si="96">BX327</f>
        <v>216.54355200000001</v>
      </c>
      <c r="BY37" s="59">
        <f t="shared" si="96"/>
        <v>216.54355200000001</v>
      </c>
      <c r="BZ37" s="59">
        <f t="shared" si="96"/>
        <v>216.54355200000001</v>
      </c>
      <c r="CA37" s="59">
        <f t="shared" si="96"/>
        <v>216.54355200000001</v>
      </c>
      <c r="CB37" s="59">
        <f t="shared" si="96"/>
        <v>216.54355200000001</v>
      </c>
      <c r="CC37" s="59">
        <f t="shared" si="96"/>
        <v>216.54355200000001</v>
      </c>
      <c r="CD37" s="59">
        <f t="shared" si="96"/>
        <v>216.54355200000001</v>
      </c>
      <c r="CE37" s="59">
        <f t="shared" si="96"/>
        <v>216.54355200000001</v>
      </c>
      <c r="CF37" s="4"/>
      <c r="CG37" s="4"/>
      <c r="CH37" s="4"/>
      <c r="CI37" s="4"/>
      <c r="CJ37" s="4"/>
      <c r="CK37" s="4"/>
      <c r="CL37" s="4"/>
      <c r="CM37" s="4"/>
      <c r="CN37" s="240">
        <f t="shared" si="16"/>
        <v>30</v>
      </c>
    </row>
    <row r="38" spans="1:92" outlineLevel="1">
      <c r="A38" s="144"/>
      <c r="B38" s="39" t="s">
        <v>45</v>
      </c>
      <c r="C38" s="14">
        <f t="shared" ref="C38:Q38" si="97">SUMIF($T$5:$CF$5,C$5,$T38:$CF38)</f>
        <v>8.8666666666666671E-2</v>
      </c>
      <c r="D38" s="14">
        <f t="shared" si="97"/>
        <v>0.13333333333333333</v>
      </c>
      <c r="E38" s="14">
        <f t="shared" si="97"/>
        <v>0.16666666666666666</v>
      </c>
      <c r="F38" s="14">
        <f t="shared" si="97"/>
        <v>0.12666666666666668</v>
      </c>
      <c r="G38" s="14">
        <f t="shared" si="97"/>
        <v>0.14666666666666667</v>
      </c>
      <c r="H38" s="14">
        <f t="shared" si="97"/>
        <v>0.21333333333333332</v>
      </c>
      <c r="I38" s="14">
        <f t="shared" si="97"/>
        <v>0.32</v>
      </c>
      <c r="J38" s="14">
        <f t="shared" si="97"/>
        <v>0.40500000000000003</v>
      </c>
      <c r="K38" s="14">
        <f t="shared" si="97"/>
        <v>0.42</v>
      </c>
      <c r="L38" s="14">
        <f t="shared" si="97"/>
        <v>0.155</v>
      </c>
      <c r="M38" s="14">
        <f t="shared" si="97"/>
        <v>0.05</v>
      </c>
      <c r="N38" s="14">
        <f t="shared" si="97"/>
        <v>0.2</v>
      </c>
      <c r="O38" s="14">
        <f t="shared" si="97"/>
        <v>0.48000000000000004</v>
      </c>
      <c r="P38" s="14">
        <f t="shared" si="97"/>
        <v>0.56000000000000005</v>
      </c>
      <c r="Q38" s="14">
        <f t="shared" si="97"/>
        <v>0.56000000000000005</v>
      </c>
      <c r="R38" s="14"/>
      <c r="S38" s="4"/>
      <c r="T38" s="4"/>
      <c r="U38" s="4"/>
      <c r="V38" s="4"/>
      <c r="W38" s="199">
        <v>1.1333333333333334E-2</v>
      </c>
      <c r="X38" s="199">
        <v>2.2000000000000002E-2</v>
      </c>
      <c r="Y38" s="199">
        <v>2.2000000000000002E-2</v>
      </c>
      <c r="Z38" s="199">
        <v>2.2000000000000002E-2</v>
      </c>
      <c r="AA38" s="199">
        <v>2.2666666666666668E-2</v>
      </c>
      <c r="AB38" s="199">
        <v>3.3333333333333333E-2</v>
      </c>
      <c r="AC38" s="199">
        <v>3.3333333333333333E-2</v>
      </c>
      <c r="AD38" s="199">
        <v>3.3333333333333333E-2</v>
      </c>
      <c r="AE38" s="199">
        <v>3.3333333333333333E-2</v>
      </c>
      <c r="AF38" s="199">
        <v>0.04</v>
      </c>
      <c r="AG38" s="199">
        <v>0.04</v>
      </c>
      <c r="AH38" s="199">
        <v>0.04</v>
      </c>
      <c r="AI38" s="199">
        <v>4.6666666666666669E-2</v>
      </c>
      <c r="AJ38" s="199">
        <v>4.6666666666666669E-2</v>
      </c>
      <c r="AK38" s="199">
        <v>2.6666666666666668E-2</v>
      </c>
      <c r="AL38" s="199">
        <v>2.6666666666666668E-2</v>
      </c>
      <c r="AM38" s="199">
        <v>2.6666666666666668E-2</v>
      </c>
      <c r="AN38" s="199">
        <v>2.6666666666666668E-2</v>
      </c>
      <c r="AO38" s="199">
        <v>0.04</v>
      </c>
      <c r="AP38" s="199">
        <v>4.6666666666666669E-2</v>
      </c>
      <c r="AQ38" s="199">
        <v>3.3333333333333333E-2</v>
      </c>
      <c r="AR38" s="199">
        <v>4.6666666666666669E-2</v>
      </c>
      <c r="AS38" s="199">
        <v>4.6666666666666669E-2</v>
      </c>
      <c r="AT38" s="199">
        <v>5.3333333333333337E-2</v>
      </c>
      <c r="AU38" s="199">
        <v>6.6666666666666666E-2</v>
      </c>
      <c r="AV38" s="199">
        <v>0.08</v>
      </c>
      <c r="AW38" s="199">
        <v>0.08</v>
      </c>
      <c r="AX38" s="199">
        <v>0.08</v>
      </c>
      <c r="AY38" s="199">
        <v>0.08</v>
      </c>
      <c r="AZ38" s="199">
        <v>0.1</v>
      </c>
      <c r="BA38" s="199">
        <v>0.1</v>
      </c>
      <c r="BB38" s="199">
        <v>0.1</v>
      </c>
      <c r="BC38" s="199">
        <v>0.105</v>
      </c>
      <c r="BD38" s="199">
        <v>0.105</v>
      </c>
      <c r="BE38" s="199">
        <v>0.105</v>
      </c>
      <c r="BF38" s="199">
        <v>0.105</v>
      </c>
      <c r="BG38" s="199">
        <v>0.105</v>
      </c>
      <c r="BH38" s="199">
        <v>0.105</v>
      </c>
      <c r="BI38" s="200">
        <v>0.05</v>
      </c>
      <c r="BJ38" s="200">
        <v>0</v>
      </c>
      <c r="BK38" s="200">
        <v>0</v>
      </c>
      <c r="BL38" s="186">
        <v>0</v>
      </c>
      <c r="BM38" s="186">
        <v>0</v>
      </c>
      <c r="BN38" s="186">
        <v>0</v>
      </c>
      <c r="BO38" s="186">
        <v>0.05</v>
      </c>
      <c r="BP38" s="186">
        <v>0</v>
      </c>
      <c r="BQ38" s="186">
        <v>0</v>
      </c>
      <c r="BR38" s="186">
        <v>0.06</v>
      </c>
      <c r="BS38" s="186">
        <v>0.14000000000000001</v>
      </c>
      <c r="BT38" s="186">
        <v>0.1</v>
      </c>
      <c r="BU38" s="186">
        <f>BT38</f>
        <v>0.1</v>
      </c>
      <c r="BV38" s="188">
        <v>0.14000000000000001</v>
      </c>
      <c r="BW38" s="186">
        <f>BV38</f>
        <v>0.14000000000000001</v>
      </c>
      <c r="BX38" s="186">
        <f t="shared" ref="BX38:CE38" si="98">BW38</f>
        <v>0.14000000000000001</v>
      </c>
      <c r="BY38" s="186">
        <f t="shared" si="98"/>
        <v>0.14000000000000001</v>
      </c>
      <c r="BZ38" s="186">
        <f t="shared" si="98"/>
        <v>0.14000000000000001</v>
      </c>
      <c r="CA38" s="186">
        <f t="shared" si="98"/>
        <v>0.14000000000000001</v>
      </c>
      <c r="CB38" s="186">
        <f t="shared" si="98"/>
        <v>0.14000000000000001</v>
      </c>
      <c r="CC38" s="186">
        <f t="shared" si="98"/>
        <v>0.14000000000000001</v>
      </c>
      <c r="CD38" s="186">
        <f t="shared" si="98"/>
        <v>0.14000000000000001</v>
      </c>
      <c r="CE38" s="186">
        <f t="shared" si="98"/>
        <v>0.14000000000000001</v>
      </c>
      <c r="CF38" s="4"/>
      <c r="CG38" s="4"/>
      <c r="CH38" s="4"/>
      <c r="CI38" s="4"/>
      <c r="CJ38" s="4"/>
      <c r="CK38" s="4"/>
      <c r="CL38" s="4"/>
      <c r="CM38" s="4"/>
      <c r="CN38" s="240">
        <f t="shared" si="16"/>
        <v>31</v>
      </c>
    </row>
    <row r="39" spans="1:92" ht="12.75" customHeight="1" outlineLevel="1">
      <c r="A39" s="144"/>
      <c r="B39" s="39"/>
      <c r="C39" s="39"/>
      <c r="D39" s="39"/>
      <c r="E39" s="39"/>
      <c r="F39" s="47"/>
      <c r="G39" s="39"/>
      <c r="H39" s="39"/>
      <c r="I39" s="39"/>
      <c r="J39" s="14"/>
      <c r="K39" s="39"/>
      <c r="L39" s="47"/>
      <c r="M39" s="39"/>
      <c r="N39" s="39"/>
      <c r="O39" s="57"/>
      <c r="P39" s="57"/>
      <c r="Q39" s="39"/>
      <c r="R39" s="39"/>
      <c r="S39" s="4"/>
      <c r="T39" s="4"/>
      <c r="U39" s="4"/>
      <c r="V39" s="4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43"/>
      <c r="BF39" s="43"/>
      <c r="BG39" s="43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4"/>
      <c r="BU39" s="43"/>
      <c r="BV39" s="43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240">
        <f t="shared" si="16"/>
        <v>32</v>
      </c>
    </row>
    <row r="40" spans="1:92">
      <c r="A40" s="145" t="s">
        <v>33</v>
      </c>
      <c r="B40" s="44" t="s">
        <v>112</v>
      </c>
      <c r="C40" s="15">
        <f t="shared" ref="C40:Q40" si="99">C$6</f>
        <v>2006</v>
      </c>
      <c r="D40" s="15">
        <f t="shared" si="99"/>
        <v>2007</v>
      </c>
      <c r="E40" s="15">
        <f t="shared" si="99"/>
        <v>2008</v>
      </c>
      <c r="F40" s="15">
        <f t="shared" si="99"/>
        <v>2009</v>
      </c>
      <c r="G40" s="15">
        <f t="shared" si="99"/>
        <v>2010</v>
      </c>
      <c r="H40" s="15">
        <f t="shared" si="99"/>
        <v>2011</v>
      </c>
      <c r="I40" s="15">
        <f t="shared" si="99"/>
        <v>2012</v>
      </c>
      <c r="J40" s="15">
        <f t="shared" si="99"/>
        <v>2013</v>
      </c>
      <c r="K40" s="15">
        <f t="shared" si="99"/>
        <v>2014</v>
      </c>
      <c r="L40" s="15">
        <f t="shared" si="99"/>
        <v>2015</v>
      </c>
      <c r="M40" s="15">
        <f t="shared" si="99"/>
        <v>2016</v>
      </c>
      <c r="N40" s="15">
        <f t="shared" si="99"/>
        <v>2017</v>
      </c>
      <c r="O40" s="15" t="str">
        <f t="shared" si="99"/>
        <v>2018E</v>
      </c>
      <c r="P40" s="15" t="str">
        <f t="shared" si="99"/>
        <v>2019E</v>
      </c>
      <c r="Q40" s="15" t="str">
        <f t="shared" si="99"/>
        <v>2020E</v>
      </c>
      <c r="R40" s="107"/>
      <c r="S40" s="4"/>
      <c r="T40" s="15" t="str">
        <f>T$6</f>
        <v>1Q05</v>
      </c>
      <c r="U40" s="15" t="str">
        <f>U$6</f>
        <v>2Q05</v>
      </c>
      <c r="V40" s="15" t="str">
        <f>V$6</f>
        <v>3Q05</v>
      </c>
      <c r="W40" s="15" t="str">
        <f t="shared" ref="W40:CE40" si="100">W$6</f>
        <v>4Q05</v>
      </c>
      <c r="X40" s="15" t="str">
        <f t="shared" si="100"/>
        <v>1Q06</v>
      </c>
      <c r="Y40" s="15" t="str">
        <f t="shared" si="100"/>
        <v>2Q06</v>
      </c>
      <c r="Z40" s="15" t="str">
        <f t="shared" si="100"/>
        <v>3Q06</v>
      </c>
      <c r="AA40" s="15" t="str">
        <f t="shared" si="100"/>
        <v>4Q06</v>
      </c>
      <c r="AB40" s="15" t="str">
        <f t="shared" si="100"/>
        <v>1Q07</v>
      </c>
      <c r="AC40" s="15" t="str">
        <f t="shared" si="100"/>
        <v>2Q07</v>
      </c>
      <c r="AD40" s="15" t="str">
        <f t="shared" si="100"/>
        <v>3Q07</v>
      </c>
      <c r="AE40" s="15" t="str">
        <f t="shared" si="100"/>
        <v>4Q07</v>
      </c>
      <c r="AF40" s="15" t="str">
        <f t="shared" si="100"/>
        <v>1Q08</v>
      </c>
      <c r="AG40" s="15" t="str">
        <f t="shared" si="100"/>
        <v>2Q08</v>
      </c>
      <c r="AH40" s="15" t="str">
        <f t="shared" si="100"/>
        <v>3Q08</v>
      </c>
      <c r="AI40" s="15" t="str">
        <f t="shared" si="100"/>
        <v>4Q08</v>
      </c>
      <c r="AJ40" s="15" t="str">
        <f t="shared" si="100"/>
        <v>1Q09</v>
      </c>
      <c r="AK40" s="15" t="str">
        <f t="shared" si="100"/>
        <v>2Q09</v>
      </c>
      <c r="AL40" s="15" t="str">
        <f t="shared" si="100"/>
        <v>3Q09</v>
      </c>
      <c r="AM40" s="15" t="str">
        <f t="shared" si="100"/>
        <v>4Q09</v>
      </c>
      <c r="AN40" s="15" t="str">
        <f t="shared" si="100"/>
        <v>1Q10</v>
      </c>
      <c r="AO40" s="15" t="str">
        <f t="shared" si="100"/>
        <v>2Q10</v>
      </c>
      <c r="AP40" s="15" t="str">
        <f t="shared" si="100"/>
        <v>3Q10</v>
      </c>
      <c r="AQ40" s="15" t="str">
        <f t="shared" si="100"/>
        <v>4Q10</v>
      </c>
      <c r="AR40" s="15" t="str">
        <f t="shared" si="100"/>
        <v>1Q11</v>
      </c>
      <c r="AS40" s="15" t="str">
        <f t="shared" si="100"/>
        <v>2Q11</v>
      </c>
      <c r="AT40" s="15" t="str">
        <f t="shared" si="100"/>
        <v>3Q11</v>
      </c>
      <c r="AU40" s="15" t="str">
        <f t="shared" si="100"/>
        <v>4Q11</v>
      </c>
      <c r="AV40" s="15" t="str">
        <f t="shared" si="100"/>
        <v>1Q12</v>
      </c>
      <c r="AW40" s="15" t="str">
        <f t="shared" si="100"/>
        <v>2Q12</v>
      </c>
      <c r="AX40" s="15" t="str">
        <f t="shared" si="100"/>
        <v>3Q12</v>
      </c>
      <c r="AY40" s="15" t="str">
        <f t="shared" si="100"/>
        <v>4Q12</v>
      </c>
      <c r="AZ40" s="15" t="str">
        <f t="shared" si="100"/>
        <v>1Q13</v>
      </c>
      <c r="BA40" s="15" t="str">
        <f t="shared" si="100"/>
        <v>2Q13</v>
      </c>
      <c r="BB40" s="15" t="str">
        <f t="shared" si="100"/>
        <v>3Q13</v>
      </c>
      <c r="BC40" s="15" t="str">
        <f t="shared" si="100"/>
        <v>4Q13</v>
      </c>
      <c r="BD40" s="15" t="str">
        <f t="shared" si="100"/>
        <v>1Q14</v>
      </c>
      <c r="BE40" s="15" t="str">
        <f t="shared" si="100"/>
        <v>2Q14</v>
      </c>
      <c r="BF40" s="15" t="str">
        <f t="shared" si="100"/>
        <v>3Q14</v>
      </c>
      <c r="BG40" s="15" t="str">
        <f t="shared" si="100"/>
        <v>4Q14</v>
      </c>
      <c r="BH40" s="15" t="str">
        <f t="shared" si="100"/>
        <v>1Q15</v>
      </c>
      <c r="BI40" s="15" t="str">
        <f t="shared" si="100"/>
        <v>2Q15</v>
      </c>
      <c r="BJ40" s="15" t="str">
        <f t="shared" si="100"/>
        <v>3Q15</v>
      </c>
      <c r="BK40" s="15" t="str">
        <f t="shared" si="100"/>
        <v>4Q15</v>
      </c>
      <c r="BL40" s="15" t="str">
        <f t="shared" si="100"/>
        <v>1Q16</v>
      </c>
      <c r="BM40" s="15" t="str">
        <f t="shared" si="100"/>
        <v>2Q16</v>
      </c>
      <c r="BN40" s="15" t="str">
        <f t="shared" si="100"/>
        <v>3Q16</v>
      </c>
      <c r="BO40" s="15" t="str">
        <f t="shared" si="100"/>
        <v>4Q16</v>
      </c>
      <c r="BP40" s="15" t="str">
        <f t="shared" si="100"/>
        <v>1Q17</v>
      </c>
      <c r="BQ40" s="15" t="str">
        <f t="shared" si="100"/>
        <v>2Q17</v>
      </c>
      <c r="BR40" s="15" t="str">
        <f t="shared" si="100"/>
        <v>3Q17</v>
      </c>
      <c r="BS40" s="15" t="str">
        <f t="shared" si="100"/>
        <v>4Q17</v>
      </c>
      <c r="BT40" s="15" t="str">
        <f t="shared" si="100"/>
        <v>1Q18E</v>
      </c>
      <c r="BU40" s="15" t="str">
        <f t="shared" si="100"/>
        <v>2Q18E</v>
      </c>
      <c r="BV40" s="15" t="str">
        <f t="shared" si="100"/>
        <v>3Q18E</v>
      </c>
      <c r="BW40" s="15" t="str">
        <f t="shared" si="100"/>
        <v>4Q18E</v>
      </c>
      <c r="BX40" s="15" t="str">
        <f t="shared" si="100"/>
        <v>1Q19E</v>
      </c>
      <c r="BY40" s="15" t="str">
        <f t="shared" si="100"/>
        <v>2Q19E</v>
      </c>
      <c r="BZ40" s="15" t="str">
        <f t="shared" si="100"/>
        <v>3Q19E</v>
      </c>
      <c r="CA40" s="15" t="str">
        <f t="shared" si="100"/>
        <v>4Q19E</v>
      </c>
      <c r="CB40" s="15" t="str">
        <f t="shared" si="100"/>
        <v>1Q20E</v>
      </c>
      <c r="CC40" s="15" t="str">
        <f t="shared" si="100"/>
        <v>2Q20E</v>
      </c>
      <c r="CD40" s="15" t="str">
        <f t="shared" si="100"/>
        <v>3Q20E</v>
      </c>
      <c r="CE40" s="15" t="str">
        <f t="shared" si="100"/>
        <v>4Q20E</v>
      </c>
      <c r="CF40" s="4"/>
      <c r="CG40" s="4"/>
      <c r="CH40" s="4"/>
      <c r="CI40" s="4"/>
      <c r="CJ40" s="4"/>
      <c r="CK40" s="4"/>
      <c r="CL40" s="4"/>
      <c r="CM40" s="4"/>
      <c r="CN40" s="240">
        <f t="shared" si="16"/>
        <v>33</v>
      </c>
    </row>
    <row r="41" spans="1:92" outlineLevel="1">
      <c r="A41" s="144"/>
      <c r="B41" s="40" t="s">
        <v>148</v>
      </c>
      <c r="C41" s="39"/>
      <c r="D41" s="16">
        <f t="shared" ref="D41:Q41" si="101">D12/C12-1</f>
        <v>0.1568744447982835</v>
      </c>
      <c r="E41" s="16">
        <f t="shared" si="101"/>
        <v>0.27056500334673017</v>
      </c>
      <c r="F41" s="16">
        <f t="shared" si="101"/>
        <v>-0.3296711316260289</v>
      </c>
      <c r="G41" s="16">
        <f t="shared" si="101"/>
        <v>0.86503317949930492</v>
      </c>
      <c r="H41" s="16">
        <f t="shared" si="101"/>
        <v>0.6689471936839646</v>
      </c>
      <c r="I41" s="16">
        <f t="shared" si="101"/>
        <v>6.296620353949911E-2</v>
      </c>
      <c r="J41" s="16">
        <f t="shared" si="101"/>
        <v>-4.2947564116208481E-2</v>
      </c>
      <c r="K41" s="16">
        <f t="shared" si="101"/>
        <v>0.2556684460665628</v>
      </c>
      <c r="L41" s="16">
        <f t="shared" si="101"/>
        <v>-0.45929966163446501</v>
      </c>
      <c r="M41" s="16">
        <f t="shared" si="101"/>
        <v>-0.42320705152550964</v>
      </c>
      <c r="N41" s="16">
        <f t="shared" si="101"/>
        <v>1.1883181018801765</v>
      </c>
      <c r="O41" s="16">
        <f t="shared" si="101"/>
        <v>0.35154199253051766</v>
      </c>
      <c r="P41" s="16">
        <f t="shared" si="101"/>
        <v>0.1552017687464684</v>
      </c>
      <c r="Q41" s="16">
        <f t="shared" si="101"/>
        <v>0.1010438479418545</v>
      </c>
      <c r="R41" s="16"/>
      <c r="S41" s="4"/>
      <c r="T41" s="4"/>
      <c r="U41" s="16">
        <f t="shared" ref="U41:AZ41" si="102">U12/T12-1</f>
        <v>0.1041373334777429</v>
      </c>
      <c r="V41" s="16">
        <f t="shared" si="102"/>
        <v>0.13591642552356653</v>
      </c>
      <c r="W41" s="16">
        <f t="shared" si="102"/>
        <v>1.525030008376449E-2</v>
      </c>
      <c r="X41" s="16">
        <f t="shared" si="102"/>
        <v>0.15699133260183551</v>
      </c>
      <c r="Y41" s="16">
        <f t="shared" si="102"/>
        <v>7.381785567252841E-2</v>
      </c>
      <c r="Z41" s="16">
        <f t="shared" si="102"/>
        <v>5.5755999041522619E-2</v>
      </c>
      <c r="AA41" s="16">
        <f t="shared" si="102"/>
        <v>3.9705853743944752E-2</v>
      </c>
      <c r="AB41" s="16">
        <f t="shared" si="102"/>
        <v>6.6817603472793863E-2</v>
      </c>
      <c r="AC41" s="16">
        <f t="shared" si="102"/>
        <v>-8.1849805606548642E-5</v>
      </c>
      <c r="AD41" s="16">
        <f t="shared" si="102"/>
        <v>-5.3031321807157861E-2</v>
      </c>
      <c r="AE41" s="16">
        <f t="shared" si="102"/>
        <v>0.14959156834052645</v>
      </c>
      <c r="AF41" s="16">
        <f t="shared" si="102"/>
        <v>5.9283845984456685E-2</v>
      </c>
      <c r="AG41" s="16">
        <f t="shared" si="102"/>
        <v>8.8537573455967022E-2</v>
      </c>
      <c r="AH41" s="16">
        <f t="shared" si="102"/>
        <v>0.10493318241735716</v>
      </c>
      <c r="AI41" s="16">
        <f t="shared" si="102"/>
        <v>-3.9512345236639823E-2</v>
      </c>
      <c r="AJ41" s="16">
        <f t="shared" si="102"/>
        <v>-0.22635224100700468</v>
      </c>
      <c r="AK41" s="16">
        <f t="shared" si="102"/>
        <v>-0.27941635322883518</v>
      </c>
      <c r="AL41" s="16">
        <f t="shared" si="102"/>
        <v>4.047457840621016E-2</v>
      </c>
      <c r="AM41" s="16">
        <f t="shared" si="102"/>
        <v>0.15326992486323299</v>
      </c>
      <c r="AN41" s="16">
        <f t="shared" si="102"/>
        <v>0.39844503493750616</v>
      </c>
      <c r="AO41" s="16">
        <f t="shared" si="102"/>
        <v>0.18650302143152042</v>
      </c>
      <c r="AP41" s="16">
        <f t="shared" si="102"/>
        <v>0.19495761103378451</v>
      </c>
      <c r="AQ41" s="16">
        <f t="shared" si="102"/>
        <v>8.5850430178689763E-2</v>
      </c>
      <c r="AR41" s="16">
        <f t="shared" si="102"/>
        <v>0.16339472914330289</v>
      </c>
      <c r="AS41" s="16">
        <f t="shared" si="102"/>
        <v>0.2128766427162545</v>
      </c>
      <c r="AT41" s="16">
        <f t="shared" si="102"/>
        <v>8.4672882260074411E-2</v>
      </c>
      <c r="AU41" s="16">
        <f t="shared" si="102"/>
        <v>-3.8732864097484221E-2</v>
      </c>
      <c r="AV41" s="16">
        <f t="shared" si="102"/>
        <v>4.0960516340708519E-2</v>
      </c>
      <c r="AW41" s="16">
        <f t="shared" si="102"/>
        <v>-4.8770587216973027E-3</v>
      </c>
      <c r="AX41" s="16">
        <f t="shared" si="102"/>
        <v>-5.5364262776291362E-2</v>
      </c>
      <c r="AY41" s="16">
        <f t="shared" si="102"/>
        <v>-5.2411212104535032E-3</v>
      </c>
      <c r="AZ41" s="16">
        <f t="shared" si="102"/>
        <v>-9.3886054023687993E-2</v>
      </c>
      <c r="BA41" s="16">
        <f t="shared" ref="BA41:CE41" si="103">BA12/AZ12-1</f>
        <v>7.4550104386584826E-2</v>
      </c>
      <c r="BB41" s="16">
        <f t="shared" si="103"/>
        <v>7.3333683009664252E-2</v>
      </c>
      <c r="BC41" s="16">
        <f t="shared" si="103"/>
        <v>-8.4296945152009251E-3</v>
      </c>
      <c r="BD41" s="16">
        <f t="shared" si="103"/>
        <v>3.0208570765594578E-2</v>
      </c>
      <c r="BE41" s="16">
        <f t="shared" si="103"/>
        <v>0.16173070330003281</v>
      </c>
      <c r="BF41" s="16">
        <f t="shared" si="103"/>
        <v>6.4946785603373858E-2</v>
      </c>
      <c r="BG41" s="16">
        <f t="shared" si="103"/>
        <v>1.8563391355343573E-2</v>
      </c>
      <c r="BH41" s="16">
        <f t="shared" si="103"/>
        <v>-0.35737718401913299</v>
      </c>
      <c r="BI41" s="16">
        <f t="shared" si="103"/>
        <v>-0.26758067295148558</v>
      </c>
      <c r="BJ41" s="16">
        <f t="shared" si="103"/>
        <v>-1.8940717838419219E-2</v>
      </c>
      <c r="BK41" s="16">
        <f t="shared" si="103"/>
        <v>-8.1658239815842415E-2</v>
      </c>
      <c r="BL41" s="16">
        <f t="shared" si="103"/>
        <v>-0.29464798609401466</v>
      </c>
      <c r="BM41" s="16">
        <f t="shared" si="103"/>
        <v>-0.24377693751817864</v>
      </c>
      <c r="BN41" s="16">
        <f t="shared" si="103"/>
        <v>0.2299752444090124</v>
      </c>
      <c r="BO41" s="16">
        <f t="shared" si="103"/>
        <v>0.25649291578540412</v>
      </c>
      <c r="BP41" s="16">
        <f t="shared" si="103"/>
        <v>0.34897306298275543</v>
      </c>
      <c r="BQ41" s="16">
        <f t="shared" si="103"/>
        <v>0.33775438667109459</v>
      </c>
      <c r="BR41" s="16">
        <f t="shared" si="103"/>
        <v>0.18101100774805046</v>
      </c>
      <c r="BS41" s="16">
        <f t="shared" si="103"/>
        <v>-9.2781513336546384E-2</v>
      </c>
      <c r="BT41" s="16">
        <f t="shared" si="103"/>
        <v>5.9152840554516972E-2</v>
      </c>
      <c r="BU41" s="16">
        <f t="shared" si="103"/>
        <v>0.17839052413415724</v>
      </c>
      <c r="BV41" s="16">
        <f t="shared" si="103"/>
        <v>7.9029289800848668E-2</v>
      </c>
      <c r="BW41" s="16">
        <f t="shared" si="103"/>
        <v>3.3394330473139444E-2</v>
      </c>
      <c r="BX41" s="16">
        <f t="shared" si="103"/>
        <v>8.0913214983358017E-3</v>
      </c>
      <c r="BY41" s="16">
        <f t="shared" si="103"/>
        <v>4.7901425108556328E-3</v>
      </c>
      <c r="BZ41" s="16">
        <f t="shared" si="103"/>
        <v>3.8089096998818128E-2</v>
      </c>
      <c r="CA41" s="16">
        <f t="shared" si="103"/>
        <v>6.1073080393134749E-2</v>
      </c>
      <c r="CB41" s="16">
        <f t="shared" si="103"/>
        <v>2.8831530315765352E-2</v>
      </c>
      <c r="CC41" s="16">
        <f t="shared" si="103"/>
        <v>1.6270855190556599E-3</v>
      </c>
      <c r="CD41" s="16">
        <f t="shared" si="103"/>
        <v>3.6600176114693905E-3</v>
      </c>
      <c r="CE41" s="16">
        <f t="shared" si="103"/>
        <v>5.0759858043432082E-3</v>
      </c>
      <c r="CF41" s="4"/>
      <c r="CG41" s="4"/>
      <c r="CH41" s="4"/>
      <c r="CI41" s="4"/>
      <c r="CJ41" s="4"/>
      <c r="CK41" s="4"/>
      <c r="CL41" s="4"/>
      <c r="CM41" s="4"/>
      <c r="CN41" s="240">
        <f t="shared" si="16"/>
        <v>34</v>
      </c>
    </row>
    <row r="42" spans="1:92" outlineLevel="1">
      <c r="A42" s="144"/>
      <c r="B42" s="45" t="s">
        <v>119</v>
      </c>
      <c r="C42" s="6"/>
      <c r="D42" s="6">
        <f t="shared" ref="D42:Q42" si="104">D10/C10-1</f>
        <v>0.16084752267264513</v>
      </c>
      <c r="E42" s="6">
        <f t="shared" si="104"/>
        <v>0.29800043151147348</v>
      </c>
      <c r="F42" s="6">
        <f t="shared" si="104"/>
        <v>-0.31193900202683134</v>
      </c>
      <c r="G42" s="6">
        <f t="shared" si="104"/>
        <v>0.90893416561462592</v>
      </c>
      <c r="H42" s="6">
        <f t="shared" si="104"/>
        <v>0.71844896017994886</v>
      </c>
      <c r="I42" s="6">
        <f t="shared" si="104"/>
        <v>6.5460540577137571E-2</v>
      </c>
      <c r="J42" s="6">
        <f t="shared" si="104"/>
        <v>-3.5831918908147409E-2</v>
      </c>
      <c r="K42" s="6">
        <f t="shared" si="104"/>
        <v>0.26057504862024872</v>
      </c>
      <c r="L42" s="6">
        <f t="shared" si="104"/>
        <v>-0.46098776540881103</v>
      </c>
      <c r="M42" s="6">
        <f t="shared" si="104"/>
        <v>-0.42171526589539809</v>
      </c>
      <c r="N42" s="6">
        <f t="shared" si="104"/>
        <v>1.2634325701018456</v>
      </c>
      <c r="O42" s="6">
        <f t="shared" si="104"/>
        <v>0.35347934034542861</v>
      </c>
      <c r="P42" s="6">
        <f t="shared" si="104"/>
        <v>0.15140663090976658</v>
      </c>
      <c r="Q42" s="6">
        <f t="shared" si="104"/>
        <v>8.9603660789402184E-2</v>
      </c>
      <c r="R42" s="6"/>
      <c r="S42" s="6"/>
      <c r="T42" s="6"/>
      <c r="U42" s="6">
        <f t="shared" ref="U42:BS42" si="105">U10/T10-1</f>
        <v>0.10263218656199502</v>
      </c>
      <c r="V42" s="6">
        <f t="shared" si="105"/>
        <v>0.15224700147744863</v>
      </c>
      <c r="W42" s="6">
        <f t="shared" si="105"/>
        <v>1.1408840336813109E-2</v>
      </c>
      <c r="X42" s="6">
        <f t="shared" si="105"/>
        <v>0.14559375499121541</v>
      </c>
      <c r="Y42" s="6">
        <f t="shared" si="105"/>
        <v>4.1921907268148706E-2</v>
      </c>
      <c r="Z42" s="6">
        <f t="shared" si="105"/>
        <v>6.9890944368246721E-2</v>
      </c>
      <c r="AA42" s="6">
        <f t="shared" si="105"/>
        <v>3.8294679079801996E-2</v>
      </c>
      <c r="AB42" s="6">
        <f t="shared" si="105"/>
        <v>7.1362965639774734E-2</v>
      </c>
      <c r="AC42" s="6">
        <f t="shared" si="105"/>
        <v>-1.4813045036435102E-2</v>
      </c>
      <c r="AD42" s="6">
        <f t="shared" si="105"/>
        <v>-3.8374025492336039E-2</v>
      </c>
      <c r="AE42" s="6">
        <f t="shared" si="105"/>
        <v>0.16748381162892478</v>
      </c>
      <c r="AF42" s="6">
        <f t="shared" si="105"/>
        <v>7.5172015069981279E-2</v>
      </c>
      <c r="AG42" s="6">
        <f t="shared" si="105"/>
        <v>9.4858507011126747E-2</v>
      </c>
      <c r="AH42" s="6">
        <f t="shared" si="105"/>
        <v>9.8108849118110575E-2</v>
      </c>
      <c r="AI42" s="6">
        <f t="shared" si="105"/>
        <v>-7.5920810765646718E-2</v>
      </c>
      <c r="AJ42" s="6">
        <f t="shared" si="105"/>
        <v>-0.19645241071191122</v>
      </c>
      <c r="AK42" s="6">
        <f t="shared" si="105"/>
        <v>-0.27199015084823175</v>
      </c>
      <c r="AL42" s="6">
        <f t="shared" si="105"/>
        <v>5.7634084028112431E-2</v>
      </c>
      <c r="AM42" s="6">
        <f t="shared" si="105"/>
        <v>0.16823410071695055</v>
      </c>
      <c r="AN42" s="6">
        <f t="shared" si="105"/>
        <v>0.40845205156884679</v>
      </c>
      <c r="AO42" s="6">
        <f t="shared" si="105"/>
        <v>0.17834098734084636</v>
      </c>
      <c r="AP42" s="6">
        <f t="shared" si="105"/>
        <v>0.18848708421640681</v>
      </c>
      <c r="AQ42" s="6">
        <f t="shared" si="105"/>
        <v>9.9959335793082804E-2</v>
      </c>
      <c r="AR42" s="6">
        <f t="shared" si="105"/>
        <v>0.18504424388572893</v>
      </c>
      <c r="AS42" s="6">
        <f t="shared" si="105"/>
        <v>0.22133244801117335</v>
      </c>
      <c r="AT42" s="6">
        <f t="shared" si="105"/>
        <v>8.6585148663342215E-2</v>
      </c>
      <c r="AU42" s="6">
        <f t="shared" si="105"/>
        <v>-4.2518088788725095E-2</v>
      </c>
      <c r="AV42" s="6">
        <f t="shared" si="105"/>
        <v>3.9531950357006185E-2</v>
      </c>
      <c r="AW42" s="6">
        <f t="shared" si="105"/>
        <v>2.6434333432279189E-4</v>
      </c>
      <c r="AX42" s="6">
        <f t="shared" si="105"/>
        <v>-5.5425946023225703E-2</v>
      </c>
      <c r="AY42" s="6">
        <f t="shared" si="105"/>
        <v>-2.8918304071036127E-3</v>
      </c>
      <c r="AZ42" s="6">
        <f t="shared" si="105"/>
        <v>-9.3800526684989505E-2</v>
      </c>
      <c r="BA42" s="6">
        <f t="shared" si="105"/>
        <v>7.6188228247434653E-2</v>
      </c>
      <c r="BB42" s="6">
        <f t="shared" si="105"/>
        <v>8.0508454590477063E-2</v>
      </c>
      <c r="BC42" s="6">
        <f t="shared" si="105"/>
        <v>-1.0138202580712741E-2</v>
      </c>
      <c r="BD42" s="6">
        <f t="shared" si="105"/>
        <v>2.9650094923520998E-2</v>
      </c>
      <c r="BE42" s="6">
        <f t="shared" si="105"/>
        <v>0.16579651797760042</v>
      </c>
      <c r="BF42" s="6">
        <f t="shared" si="105"/>
        <v>5.9729018795279698E-2</v>
      </c>
      <c r="BG42" s="6">
        <f t="shared" si="105"/>
        <v>2.6484292122834097E-2</v>
      </c>
      <c r="BH42" s="6">
        <f t="shared" si="105"/>
        <v>-0.36153107042201194</v>
      </c>
      <c r="BI42" s="6">
        <f t="shared" si="105"/>
        <v>-0.27053396915573691</v>
      </c>
      <c r="BJ42" s="6">
        <f t="shared" si="105"/>
        <v>-1.6170786712399243E-2</v>
      </c>
      <c r="BK42" s="6">
        <f t="shared" si="105"/>
        <v>-7.8490193332497959E-2</v>
      </c>
      <c r="BL42" s="6">
        <f t="shared" si="105"/>
        <v>-0.29824673662656764</v>
      </c>
      <c r="BM42" s="6">
        <f t="shared" si="105"/>
        <v>-0.25220548007659338</v>
      </c>
      <c r="BN42" s="6">
        <f t="shared" si="105"/>
        <v>0.24473962977358088</v>
      </c>
      <c r="BO42" s="6">
        <f t="shared" si="105"/>
        <v>0.28349180498496906</v>
      </c>
      <c r="BP42" s="6">
        <f t="shared" si="105"/>
        <v>0.36522701470181373</v>
      </c>
      <c r="BQ42" s="6">
        <f t="shared" si="105"/>
        <v>0.34683680528864635</v>
      </c>
      <c r="BR42" s="6">
        <f t="shared" si="105"/>
        <v>0.18226699389304257</v>
      </c>
      <c r="BS42" s="6">
        <f t="shared" si="105"/>
        <v>-9.8189893333391898E-2</v>
      </c>
      <c r="BT42" s="138">
        <f>BT70</f>
        <v>5.9516462474583642E-2</v>
      </c>
      <c r="BU42" s="138">
        <f t="shared" ref="BU42:CE42" si="106">BU70</f>
        <v>0.18344537934874405</v>
      </c>
      <c r="BV42" s="138">
        <f t="shared" si="106"/>
        <v>8.0043325490623207E-2</v>
      </c>
      <c r="BW42" s="138">
        <f t="shared" si="106"/>
        <v>3.2830405481229619E-2</v>
      </c>
      <c r="BX42" s="138">
        <f t="shared" si="106"/>
        <v>6.6444525298805512E-3</v>
      </c>
      <c r="BY42" s="138">
        <f t="shared" si="106"/>
        <v>3.16207815437064E-3</v>
      </c>
      <c r="BZ42" s="138">
        <f t="shared" si="106"/>
        <v>3.5755511263751316E-2</v>
      </c>
      <c r="CA42" s="138">
        <f t="shared" si="106"/>
        <v>5.9514812604509748E-2</v>
      </c>
      <c r="CB42" s="138">
        <f t="shared" si="106"/>
        <v>2.5873753945893974E-2</v>
      </c>
      <c r="CC42" s="138">
        <f t="shared" si="106"/>
        <v>-2.7567273997212149E-3</v>
      </c>
      <c r="CD42" s="138">
        <f t="shared" si="106"/>
        <v>1.3821739767334584E-3</v>
      </c>
      <c r="CE42" s="138">
        <f t="shared" si="106"/>
        <v>2.7605324173975987E-3</v>
      </c>
      <c r="CF42" s="4"/>
      <c r="CG42" s="4"/>
      <c r="CH42" s="4"/>
      <c r="CI42" s="4"/>
      <c r="CJ42" s="4"/>
      <c r="CK42" s="4"/>
      <c r="CL42" s="4"/>
      <c r="CM42" s="4"/>
      <c r="CN42" s="240">
        <f t="shared" si="16"/>
        <v>35</v>
      </c>
    </row>
    <row r="43" spans="1:92" outlineLevel="1">
      <c r="A43" s="144"/>
      <c r="B43" s="45" t="s">
        <v>120</v>
      </c>
      <c r="C43" s="6"/>
      <c r="D43" s="6">
        <f t="shared" ref="D43:Q43" si="107">D11/C11-1</f>
        <v>0.13750246208390782</v>
      </c>
      <c r="E43" s="6">
        <f t="shared" si="107"/>
        <v>0.13404962684628829</v>
      </c>
      <c r="F43" s="6">
        <f t="shared" si="107"/>
        <v>-0.43065999923655396</v>
      </c>
      <c r="G43" s="6">
        <f t="shared" si="107"/>
        <v>0.56286959436808615</v>
      </c>
      <c r="H43" s="6">
        <f t="shared" si="107"/>
        <v>0.25279062384707141</v>
      </c>
      <c r="I43" s="6">
        <f t="shared" si="107"/>
        <v>3.4202199789061138E-2</v>
      </c>
      <c r="J43" s="6">
        <f t="shared" si="107"/>
        <v>-0.12748331214240294</v>
      </c>
      <c r="K43" s="6">
        <f t="shared" si="107"/>
        <v>0.19125359563438771</v>
      </c>
      <c r="L43" s="6">
        <f t="shared" si="107"/>
        <v>-0.43584826320752323</v>
      </c>
      <c r="M43" s="6">
        <f t="shared" si="107"/>
        <v>-0.44300766824398341</v>
      </c>
      <c r="N43" s="6">
        <f t="shared" si="107"/>
        <v>0.15320356853203587</v>
      </c>
      <c r="O43" s="6">
        <f t="shared" si="107"/>
        <v>0.29914166641026085</v>
      </c>
      <c r="P43" s="6">
        <f t="shared" si="107"/>
        <v>0.26214395681679803</v>
      </c>
      <c r="Q43" s="6">
        <f t="shared" si="107"/>
        <v>0.39512993240978678</v>
      </c>
      <c r="R43" s="6"/>
      <c r="S43" s="6"/>
      <c r="T43" s="6"/>
      <c r="U43" s="6">
        <f t="shared" ref="U43:BS43" si="108">U11/T11-1</f>
        <v>0.1136189481017067</v>
      </c>
      <c r="V43" s="6">
        <f t="shared" si="108"/>
        <v>4.8104591517577733E-2</v>
      </c>
      <c r="W43" s="6">
        <f t="shared" si="108"/>
        <v>3.7958818263204908E-2</v>
      </c>
      <c r="X43" s="6">
        <f t="shared" si="108"/>
        <v>0.22264389626818493</v>
      </c>
      <c r="Y43" s="6">
        <f t="shared" si="108"/>
        <v>0.24596717302356197</v>
      </c>
      <c r="Z43" s="6">
        <f t="shared" si="108"/>
        <v>-8.0398595855507571E-3</v>
      </c>
      <c r="AA43" s="6">
        <f t="shared" si="108"/>
        <v>4.6575342465753344E-2</v>
      </c>
      <c r="AB43" s="6">
        <f t="shared" si="108"/>
        <v>4.4866201279813778E-2</v>
      </c>
      <c r="AC43" s="6">
        <f t="shared" si="108"/>
        <v>7.2865195907857228E-2</v>
      </c>
      <c r="AD43" s="6">
        <f t="shared" si="108"/>
        <v>-0.11968085106382986</v>
      </c>
      <c r="AE43" s="6">
        <f t="shared" si="108"/>
        <v>6.0717706874954036E-2</v>
      </c>
      <c r="AF43" s="6">
        <f t="shared" si="108"/>
        <v>-2.7579020493226802E-2</v>
      </c>
      <c r="AG43" s="6">
        <f t="shared" si="108"/>
        <v>5.0328618374053447E-2</v>
      </c>
      <c r="AH43" s="6">
        <f t="shared" si="108"/>
        <v>0.14793402482570994</v>
      </c>
      <c r="AI43" s="6">
        <f t="shared" si="108"/>
        <v>0.17994371204266035</v>
      </c>
      <c r="AJ43" s="6">
        <f t="shared" si="108"/>
        <v>-0.36749604559491833</v>
      </c>
      <c r="AK43" s="6">
        <f t="shared" si="108"/>
        <v>-0.32395204826929191</v>
      </c>
      <c r="AL43" s="6">
        <f t="shared" si="108"/>
        <v>-7.0342316951441441E-2</v>
      </c>
      <c r="AM43" s="6">
        <f t="shared" si="108"/>
        <v>4.3327227941640789E-2</v>
      </c>
      <c r="AN43" s="6">
        <f t="shared" si="108"/>
        <v>0.31612083055875062</v>
      </c>
      <c r="AO43" s="6">
        <f t="shared" si="108"/>
        <v>0.25835978105882895</v>
      </c>
      <c r="AP43" s="6">
        <f t="shared" si="108"/>
        <v>0.24830031435046429</v>
      </c>
      <c r="AQ43" s="6">
        <f t="shared" si="108"/>
        <v>-2.4889461509179811E-2</v>
      </c>
      <c r="AR43" s="6">
        <f t="shared" si="108"/>
        <v>-2.8287438815651211E-2</v>
      </c>
      <c r="AS43" s="6">
        <f t="shared" si="108"/>
        <v>0.12157359621743558</v>
      </c>
      <c r="AT43" s="6">
        <f t="shared" si="108"/>
        <v>6.2188300774253857E-2</v>
      </c>
      <c r="AU43" s="6">
        <f t="shared" si="108"/>
        <v>6.7963683527885177E-3</v>
      </c>
      <c r="AV43" s="6">
        <f t="shared" si="108"/>
        <v>5.7301865402452856E-2</v>
      </c>
      <c r="AW43" s="6">
        <f t="shared" si="108"/>
        <v>-6.2701042986645916E-2</v>
      </c>
      <c r="AX43" s="6">
        <f t="shared" si="108"/>
        <v>-5.4623924290876924E-2</v>
      </c>
      <c r="AY43" s="6">
        <f t="shared" si="108"/>
        <v>-3.3414003630163447E-2</v>
      </c>
      <c r="AZ43" s="6">
        <f t="shared" si="108"/>
        <v>-9.4944091956639221E-2</v>
      </c>
      <c r="BA43" s="6">
        <f t="shared" si="108"/>
        <v>5.4259666771455661E-2</v>
      </c>
      <c r="BB43" s="6">
        <f t="shared" si="108"/>
        <v>-1.7384303435114434E-2</v>
      </c>
      <c r="BC43" s="6">
        <f t="shared" si="108"/>
        <v>1.532485661396521E-2</v>
      </c>
      <c r="BD43" s="6">
        <f t="shared" si="108"/>
        <v>3.7778707633451036E-2</v>
      </c>
      <c r="BE43" s="6">
        <f t="shared" si="108"/>
        <v>0.10705028512182468</v>
      </c>
      <c r="BF43" s="6">
        <f t="shared" si="108"/>
        <v>0.13884336221025539</v>
      </c>
      <c r="BG43" s="6">
        <f t="shared" si="108"/>
        <v>-8.5823282163742798E-2</v>
      </c>
      <c r="BH43" s="6">
        <f t="shared" si="108"/>
        <v>-0.29590944301456801</v>
      </c>
      <c r="BI43" s="6">
        <f t="shared" si="108"/>
        <v>-0.22795187564325503</v>
      </c>
      <c r="BJ43" s="6">
        <f t="shared" si="108"/>
        <v>-5.4059023627838654E-2</v>
      </c>
      <c r="BK43" s="6">
        <f t="shared" si="108"/>
        <v>-0.12343279230245885</v>
      </c>
      <c r="BL43" s="6">
        <f t="shared" si="108"/>
        <v>-0.24476105998447728</v>
      </c>
      <c r="BM43" s="6">
        <f t="shared" si="108"/>
        <v>-0.13521250825809283</v>
      </c>
      <c r="BN43" s="6">
        <f t="shared" si="108"/>
        <v>6.5529241999830345E-2</v>
      </c>
      <c r="BO43" s="6">
        <f t="shared" si="108"/>
        <v>-9.4798056241536033E-2</v>
      </c>
      <c r="BP43" s="6">
        <f t="shared" si="108"/>
        <v>4.9106749977998687E-2</v>
      </c>
      <c r="BQ43" s="6">
        <f t="shared" si="108"/>
        <v>0.11970472275815802</v>
      </c>
      <c r="BR43" s="6">
        <f t="shared" si="108"/>
        <v>0.1447407851363498</v>
      </c>
      <c r="BS43" s="6">
        <f t="shared" si="108"/>
        <v>6.8520942408377028E-2</v>
      </c>
      <c r="BT43" s="138">
        <v>0.05</v>
      </c>
      <c r="BU43" s="138">
        <v>0.05</v>
      </c>
      <c r="BV43" s="138">
        <v>0.05</v>
      </c>
      <c r="BW43" s="138">
        <v>0.05</v>
      </c>
      <c r="BX43" s="138">
        <v>0.05</v>
      </c>
      <c r="BY43" s="138">
        <v>0.05</v>
      </c>
      <c r="BZ43" s="138">
        <v>0.1</v>
      </c>
      <c r="CA43" s="138">
        <v>0.1</v>
      </c>
      <c r="CB43" s="138">
        <v>0.1</v>
      </c>
      <c r="CC43" s="138">
        <v>0.1</v>
      </c>
      <c r="CD43" s="138">
        <v>0.05</v>
      </c>
      <c r="CE43" s="138">
        <v>0.05</v>
      </c>
      <c r="CF43" s="4"/>
      <c r="CG43" s="4"/>
      <c r="CH43" s="4"/>
      <c r="CI43" s="4"/>
      <c r="CJ43" s="4"/>
      <c r="CK43" s="4"/>
      <c r="CL43" s="4"/>
      <c r="CM43" s="4"/>
      <c r="CN43" s="240">
        <f t="shared" si="16"/>
        <v>36</v>
      </c>
    </row>
    <row r="44" spans="1:92" outlineLevel="1">
      <c r="A44" s="145"/>
      <c r="B44" s="46" t="s">
        <v>181</v>
      </c>
      <c r="C44" s="71">
        <f t="shared" ref="C44:P44" si="109">C18/C12</f>
        <v>0.36629401806814949</v>
      </c>
      <c r="D44" s="71">
        <f t="shared" si="109"/>
        <v>0.31040702610449339</v>
      </c>
      <c r="E44" s="71">
        <f t="shared" si="109"/>
        <v>0.29214677237829501</v>
      </c>
      <c r="F44" s="71">
        <f t="shared" si="109"/>
        <v>0.16395826918856946</v>
      </c>
      <c r="G44" s="71">
        <f t="shared" si="109"/>
        <v>0.33605652763995097</v>
      </c>
      <c r="H44" s="71">
        <f t="shared" si="109"/>
        <v>0.36387280188566334</v>
      </c>
      <c r="I44" s="71">
        <f t="shared" si="109"/>
        <v>0.34106948863843761</v>
      </c>
      <c r="J44" s="71">
        <f t="shared" si="109"/>
        <v>0.2674804954528337</v>
      </c>
      <c r="K44" s="71">
        <f t="shared" si="109"/>
        <v>0.2764830177636558</v>
      </c>
      <c r="L44" s="71">
        <f t="shared" si="109"/>
        <v>9.6647518673249763E-2</v>
      </c>
      <c r="M44" s="71">
        <f t="shared" si="109"/>
        <v>-3.7866919807839509E-2</v>
      </c>
      <c r="N44" s="71">
        <f t="shared" si="109"/>
        <v>0.24148538107742662</v>
      </c>
      <c r="O44" s="71">
        <f t="shared" si="109"/>
        <v>0.28536148103433367</v>
      </c>
      <c r="P44" s="71">
        <f t="shared" si="109"/>
        <v>0.29792992800285795</v>
      </c>
      <c r="Q44" s="71">
        <f>Q18/Q12</f>
        <v>0.29734454218064171</v>
      </c>
      <c r="R44" s="71"/>
      <c r="S44" s="201"/>
      <c r="T44" s="71">
        <f t="shared" ref="T44:AY44" si="110">T18/T12</f>
        <v>0.26014296545001625</v>
      </c>
      <c r="U44" s="71">
        <f t="shared" si="110"/>
        <v>0.2791995683947226</v>
      </c>
      <c r="V44" s="71">
        <f t="shared" si="110"/>
        <v>0.30807160559926083</v>
      </c>
      <c r="W44" s="71">
        <f t="shared" si="110"/>
        <v>0.32105097518861581</v>
      </c>
      <c r="X44" s="71">
        <f t="shared" si="110"/>
        <v>0.36162735987766864</v>
      </c>
      <c r="Y44" s="71">
        <f t="shared" si="110"/>
        <v>0.36954780405983639</v>
      </c>
      <c r="Z44" s="71">
        <f t="shared" si="110"/>
        <v>0.36779954477365134</v>
      </c>
      <c r="AA44" s="71">
        <f t="shared" si="110"/>
        <v>0.36584088017363969</v>
      </c>
      <c r="AB44" s="71">
        <f t="shared" si="110"/>
        <v>0.33733228097868989</v>
      </c>
      <c r="AC44" s="71">
        <f t="shared" si="110"/>
        <v>0.32604030848208804</v>
      </c>
      <c r="AD44" s="71">
        <f t="shared" si="110"/>
        <v>0.27292372855193536</v>
      </c>
      <c r="AE44" s="71">
        <f t="shared" si="110"/>
        <v>0.30391698757713942</v>
      </c>
      <c r="AF44" s="71">
        <f t="shared" si="110"/>
        <v>0.25980215690549469</v>
      </c>
      <c r="AG44" s="71">
        <f t="shared" si="110"/>
        <v>0.3051111142163781</v>
      </c>
      <c r="AH44" s="71">
        <f t="shared" si="110"/>
        <v>0.30638192035140821</v>
      </c>
      <c r="AI44" s="71">
        <f t="shared" si="110"/>
        <v>0.29310844261863378</v>
      </c>
      <c r="AJ44" s="71">
        <f t="shared" si="110"/>
        <v>0.21951994372301739</v>
      </c>
      <c r="AK44" s="71">
        <f t="shared" si="110"/>
        <v>9.8930860193043507E-2</v>
      </c>
      <c r="AL44" s="71">
        <f t="shared" si="110"/>
        <v>0.14281282394691244</v>
      </c>
      <c r="AM44" s="71">
        <f t="shared" si="110"/>
        <v>0.17222714299773648</v>
      </c>
      <c r="AN44" s="71">
        <f t="shared" si="110"/>
        <v>0.26129283489096572</v>
      </c>
      <c r="AO44" s="71">
        <f t="shared" si="110"/>
        <v>0.33191509553334175</v>
      </c>
      <c r="AP44" s="71">
        <f t="shared" si="110"/>
        <v>0.35266710787557909</v>
      </c>
      <c r="AQ44" s="71">
        <f t="shared" si="110"/>
        <v>0.37251328684967572</v>
      </c>
      <c r="AR44" s="71">
        <f t="shared" si="110"/>
        <v>0.378383334075508</v>
      </c>
      <c r="AS44" s="71">
        <f t="shared" si="110"/>
        <v>0.35436657315200559</v>
      </c>
      <c r="AT44" s="71">
        <f t="shared" si="110"/>
        <v>0.36857048991010183</v>
      </c>
      <c r="AU44" s="71">
        <f t="shared" si="110"/>
        <v>0.35662887183034986</v>
      </c>
      <c r="AV44" s="71">
        <f t="shared" si="110"/>
        <v>0.36579134307153222</v>
      </c>
      <c r="AW44" s="71">
        <f t="shared" si="110"/>
        <v>0.35134951390305252</v>
      </c>
      <c r="AX44" s="71">
        <f t="shared" si="110"/>
        <v>0.33445169320389995</v>
      </c>
      <c r="AY44" s="71">
        <f t="shared" si="110"/>
        <v>0.31034468083295386</v>
      </c>
      <c r="AZ44" s="71">
        <f t="shared" ref="AZ44:CE44" si="111">AZ18/AZ12</f>
        <v>0.2646182316043596</v>
      </c>
      <c r="BA44" s="71">
        <f t="shared" si="111"/>
        <v>0.26745212712483007</v>
      </c>
      <c r="BB44" s="71">
        <f t="shared" si="111"/>
        <v>0.28570963163863899</v>
      </c>
      <c r="BC44" s="71">
        <f t="shared" si="111"/>
        <v>0.25162583345140777</v>
      </c>
      <c r="BD44" s="71">
        <f t="shared" si="111"/>
        <v>0.24510855265780598</v>
      </c>
      <c r="BE44" s="71">
        <f t="shared" si="111"/>
        <v>0.276157239405591</v>
      </c>
      <c r="BF44" s="71">
        <f t="shared" si="111"/>
        <v>0.27641118507968632</v>
      </c>
      <c r="BG44" s="71">
        <f t="shared" si="111"/>
        <v>0.3017513278899599</v>
      </c>
      <c r="BH44" s="71">
        <f t="shared" si="111"/>
        <v>0.17522337361852955</v>
      </c>
      <c r="BI44" s="71">
        <f t="shared" si="111"/>
        <v>5.3162387417663673E-2</v>
      </c>
      <c r="BJ44" s="71">
        <f t="shared" si="111"/>
        <v>7.2244830846384625E-2</v>
      </c>
      <c r="BK44" s="71">
        <f t="shared" si="111"/>
        <v>5.2408555463545344E-2</v>
      </c>
      <c r="BL44" s="71">
        <f t="shared" si="111"/>
        <v>-7.248737407123404E-2</v>
      </c>
      <c r="BM44" s="71">
        <f t="shared" si="111"/>
        <v>-0.1430579448663617</v>
      </c>
      <c r="BN44" s="71">
        <f t="shared" si="111"/>
        <v>-3.1782311068659003E-2</v>
      </c>
      <c r="BO44" s="71">
        <f t="shared" si="111"/>
        <v>5.4978121874957639E-2</v>
      </c>
      <c r="BP44" s="71">
        <f t="shared" si="111"/>
        <v>0.15000721188518679</v>
      </c>
      <c r="BQ44" s="71">
        <f t="shared" si="111"/>
        <v>0.26204458263333419</v>
      </c>
      <c r="BR44" s="71">
        <f t="shared" si="111"/>
        <v>0.28968426684557719</v>
      </c>
      <c r="BS44" s="71">
        <f t="shared" si="111"/>
        <v>0.23299141818726468</v>
      </c>
      <c r="BT44" s="71">
        <f t="shared" si="111"/>
        <v>0.25626893732127404</v>
      </c>
      <c r="BU44" s="71">
        <f t="shared" si="111"/>
        <v>0.28734307573200724</v>
      </c>
      <c r="BV44" s="71">
        <f t="shared" si="111"/>
        <v>0.29307458039316714</v>
      </c>
      <c r="BW44" s="71">
        <f t="shared" si="111"/>
        <v>0.29826130864552336</v>
      </c>
      <c r="BX44" s="71">
        <f t="shared" si="111"/>
        <v>0.29794710187643714</v>
      </c>
      <c r="BY44" s="71">
        <f t="shared" si="111"/>
        <v>0.29776802498516369</v>
      </c>
      <c r="BZ44" s="71">
        <f t="shared" si="111"/>
        <v>0.29782012597726593</v>
      </c>
      <c r="CA44" s="71">
        <f t="shared" si="111"/>
        <v>0.29816487855140472</v>
      </c>
      <c r="CB44" s="71">
        <f t="shared" si="111"/>
        <v>0.29798722917263332</v>
      </c>
      <c r="CC44" s="71">
        <f t="shared" si="111"/>
        <v>0.29746021028695818</v>
      </c>
      <c r="CD44" s="71">
        <f t="shared" si="111"/>
        <v>0.29713001838266295</v>
      </c>
      <c r="CE44" s="71">
        <f t="shared" si="111"/>
        <v>0.29680724387110036</v>
      </c>
      <c r="CF44" s="4"/>
      <c r="CG44" s="4"/>
      <c r="CH44" s="4"/>
      <c r="CI44" s="4"/>
      <c r="CJ44" s="4"/>
      <c r="CK44" s="4"/>
      <c r="CL44" s="4"/>
      <c r="CM44" s="4"/>
      <c r="CN44" s="240">
        <f t="shared" si="16"/>
        <v>37</v>
      </c>
    </row>
    <row r="45" spans="1:92" outlineLevel="1">
      <c r="A45" s="144"/>
      <c r="B45" s="45" t="s">
        <v>179</v>
      </c>
      <c r="C45" s="67">
        <f t="shared" ref="C45:P45" si="112">C15/C10</f>
        <v>0.30928922014179233</v>
      </c>
      <c r="D45" s="67">
        <f t="shared" si="112"/>
        <v>0.30610867129265529</v>
      </c>
      <c r="E45" s="67">
        <f t="shared" si="112"/>
        <v>0.27263965297214987</v>
      </c>
      <c r="F45" s="67">
        <f t="shared" si="112"/>
        <v>0.1586886893907514</v>
      </c>
      <c r="G45" s="67">
        <f t="shared" si="112"/>
        <v>0.33028485466400909</v>
      </c>
      <c r="H45" s="67">
        <f t="shared" si="112"/>
        <v>0.35842351167869207</v>
      </c>
      <c r="I45" s="67">
        <f t="shared" si="112"/>
        <v>0.33667109806774187</v>
      </c>
      <c r="J45" s="67">
        <f t="shared" si="112"/>
        <v>0.26436002802746317</v>
      </c>
      <c r="K45" s="67">
        <f t="shared" si="112"/>
        <v>0.26996175572368547</v>
      </c>
      <c r="L45" s="67">
        <f t="shared" si="112"/>
        <v>8.9165850558116141E-2</v>
      </c>
      <c r="M45" s="67">
        <f t="shared" si="112"/>
        <v>-1.8572685513511294E-2</v>
      </c>
      <c r="N45" s="67">
        <f t="shared" si="112"/>
        <v>0.25805749143075934</v>
      </c>
      <c r="O45" s="67">
        <f t="shared" si="112"/>
        <v>0.29782343694535979</v>
      </c>
      <c r="P45" s="67">
        <f t="shared" si="112"/>
        <v>0.30999999999999994</v>
      </c>
      <c r="Q45" s="67">
        <f>Q15/Q10</f>
        <v>0.31</v>
      </c>
      <c r="R45" s="67"/>
      <c r="S45" s="108"/>
      <c r="T45" s="67">
        <f t="shared" ref="T45:BR45" si="113">T15/T10</f>
        <v>0.18969188537417583</v>
      </c>
      <c r="U45" s="67">
        <f t="shared" si="113"/>
        <v>0.20160774322642186</v>
      </c>
      <c r="V45" s="67">
        <f t="shared" si="113"/>
        <v>0.25150939967287927</v>
      </c>
      <c r="W45" s="67">
        <f t="shared" si="113"/>
        <v>0.2697153010701166</v>
      </c>
      <c r="X45" s="67">
        <f t="shared" si="113"/>
        <v>0.31577800820836344</v>
      </c>
      <c r="Y45" s="67">
        <f t="shared" si="113"/>
        <v>0.30980497106345967</v>
      </c>
      <c r="Z45" s="67">
        <f t="shared" si="113"/>
        <v>0.31369744154960955</v>
      </c>
      <c r="AA45" s="67">
        <f t="shared" si="113"/>
        <v>0.2989731080796218</v>
      </c>
      <c r="AB45" s="67">
        <f t="shared" si="113"/>
        <v>0.32542320476153674</v>
      </c>
      <c r="AC45" s="67">
        <f t="shared" si="113"/>
        <v>0.32375409239723535</v>
      </c>
      <c r="AD45" s="67">
        <f t="shared" si="113"/>
        <v>0.27044407687343774</v>
      </c>
      <c r="AE45" s="67">
        <f t="shared" si="113"/>
        <v>0.30347715042662282</v>
      </c>
      <c r="AF45" s="67">
        <f t="shared" si="113"/>
        <v>0.24932784182567025</v>
      </c>
      <c r="AG45" s="67">
        <f t="shared" si="113"/>
        <v>0.29627490770924636</v>
      </c>
      <c r="AH45" s="67">
        <f t="shared" si="113"/>
        <v>0.28761144587195647</v>
      </c>
      <c r="AI45" s="67">
        <f t="shared" si="113"/>
        <v>0.25412865994734463</v>
      </c>
      <c r="AJ45" s="67">
        <f t="shared" si="113"/>
        <v>0.18369197572131138</v>
      </c>
      <c r="AK45" s="67">
        <f t="shared" si="113"/>
        <v>0.12396919635956979</v>
      </c>
      <c r="AL45" s="67">
        <f t="shared" si="113"/>
        <v>0.14200608634355175</v>
      </c>
      <c r="AM45" s="67">
        <f t="shared" si="113"/>
        <v>0.17327220815918057</v>
      </c>
      <c r="AN45" s="67">
        <f t="shared" si="113"/>
        <v>0.26329785844526993</v>
      </c>
      <c r="AO45" s="67">
        <f t="shared" si="113"/>
        <v>0.32336901098706206</v>
      </c>
      <c r="AP45" s="67">
        <f t="shared" si="113"/>
        <v>0.34170991124757044</v>
      </c>
      <c r="AQ45" s="67">
        <f t="shared" si="113"/>
        <v>0.36867417574777078</v>
      </c>
      <c r="AR45" s="67">
        <f t="shared" si="113"/>
        <v>0.37988620557409519</v>
      </c>
      <c r="AS45" s="67">
        <f t="shared" si="113"/>
        <v>0.34532122905027929</v>
      </c>
      <c r="AT45" s="67">
        <f t="shared" si="113"/>
        <v>0.36107702427294397</v>
      </c>
      <c r="AU45" s="67">
        <f t="shared" si="113"/>
        <v>0.35135482127170747</v>
      </c>
      <c r="AV45" s="67">
        <f t="shared" si="113"/>
        <v>0.3654199917230202</v>
      </c>
      <c r="AW45" s="67">
        <f t="shared" si="113"/>
        <v>0.34097127000734334</v>
      </c>
      <c r="AX45" s="67">
        <f t="shared" si="113"/>
        <v>0.33239079384299264</v>
      </c>
      <c r="AY45" s="67">
        <f t="shared" si="113"/>
        <v>0.30588208236065267</v>
      </c>
      <c r="AZ45" s="67">
        <f t="shared" si="113"/>
        <v>0.26212973749463847</v>
      </c>
      <c r="BA45" s="67">
        <f t="shared" si="113"/>
        <v>0.2612645331698229</v>
      </c>
      <c r="BB45" s="67">
        <f t="shared" si="113"/>
        <v>0.28666340730910933</v>
      </c>
      <c r="BC45" s="67">
        <f t="shared" si="113"/>
        <v>0.24666003708742448</v>
      </c>
      <c r="BD45" s="67">
        <f t="shared" si="113"/>
        <v>0.24035805297984883</v>
      </c>
      <c r="BE45" s="67">
        <f t="shared" si="113"/>
        <v>0.27225234757307232</v>
      </c>
      <c r="BF45" s="67">
        <f t="shared" si="113"/>
        <v>0.26358448834129533</v>
      </c>
      <c r="BG45" s="67">
        <f t="shared" si="113"/>
        <v>0.29741281048047319</v>
      </c>
      <c r="BH45" s="67">
        <f t="shared" si="113"/>
        <v>0.16804860179902828</v>
      </c>
      <c r="BI45" s="67">
        <f t="shared" si="113"/>
        <v>4.3954808814891645E-2</v>
      </c>
      <c r="BJ45" s="67">
        <f t="shared" si="113"/>
        <v>6.0756377466408142E-2</v>
      </c>
      <c r="BK45" s="67">
        <f t="shared" si="113"/>
        <v>5.058628743281296E-2</v>
      </c>
      <c r="BL45" s="67">
        <f t="shared" si="113"/>
        <v>-5.4971733381964073E-2</v>
      </c>
      <c r="BM45" s="67">
        <f t="shared" si="113"/>
        <v>-0.12255271801672035</v>
      </c>
      <c r="BN45" s="67">
        <f t="shared" si="113"/>
        <v>-1.8208423385640313E-2</v>
      </c>
      <c r="BO45" s="67">
        <f t="shared" si="113"/>
        <v>7.6695574191209495E-2</v>
      </c>
      <c r="BP45" s="67">
        <f t="shared" si="113"/>
        <v>0.17015842179190629</v>
      </c>
      <c r="BQ45" s="67">
        <f t="shared" si="113"/>
        <v>0.27927266500978049</v>
      </c>
      <c r="BR45" s="67">
        <f t="shared" si="113"/>
        <v>0.30649150024466826</v>
      </c>
      <c r="BS45" s="67">
        <f>BS15/BS10</f>
        <v>0.24566393817583684</v>
      </c>
      <c r="BT45" s="137">
        <v>0.27</v>
      </c>
      <c r="BU45" s="137">
        <v>0.3</v>
      </c>
      <c r="BV45" s="137">
        <v>0.30499999999999999</v>
      </c>
      <c r="BW45" s="137">
        <v>0.31</v>
      </c>
      <c r="BX45" s="137">
        <v>0.31</v>
      </c>
      <c r="BY45" s="137">
        <v>0.31</v>
      </c>
      <c r="BZ45" s="137">
        <v>0.31</v>
      </c>
      <c r="CA45" s="137">
        <v>0.31</v>
      </c>
      <c r="CB45" s="137">
        <v>0.31</v>
      </c>
      <c r="CC45" s="137">
        <v>0.31</v>
      </c>
      <c r="CD45" s="137">
        <v>0.31</v>
      </c>
      <c r="CE45" s="137">
        <v>0.31</v>
      </c>
      <c r="CF45" s="4"/>
      <c r="CG45" s="4"/>
      <c r="CH45" s="4"/>
      <c r="CI45" s="4"/>
      <c r="CJ45" s="4"/>
      <c r="CK45" s="4"/>
      <c r="CL45" s="4"/>
      <c r="CM45" s="4"/>
      <c r="CN45" s="240">
        <f t="shared" si="16"/>
        <v>38</v>
      </c>
    </row>
    <row r="46" spans="1:92" outlineLevel="1">
      <c r="A46" s="144"/>
      <c r="B46" s="45" t="s">
        <v>180</v>
      </c>
      <c r="C46" s="67">
        <f t="shared" ref="C46:P46" si="114">C16/C11</f>
        <v>0.30483553279495768</v>
      </c>
      <c r="D46" s="67">
        <f t="shared" si="114"/>
        <v>0.41610534882512862</v>
      </c>
      <c r="E46" s="67">
        <f t="shared" si="114"/>
        <v>0.46809176623277465</v>
      </c>
      <c r="F46" s="67">
        <f t="shared" si="114"/>
        <v>0.35466309084813957</v>
      </c>
      <c r="G46" s="67">
        <f t="shared" si="114"/>
        <v>0.49528532573723089</v>
      </c>
      <c r="H46" s="67">
        <f t="shared" si="114"/>
        <v>0.54197542701384793</v>
      </c>
      <c r="I46" s="67">
        <f t="shared" si="114"/>
        <v>0.50738371477007849</v>
      </c>
      <c r="J46" s="67">
        <f t="shared" si="114"/>
        <v>0.43747201287218135</v>
      </c>
      <c r="K46" s="67">
        <f t="shared" si="114"/>
        <v>0.47203037794031438</v>
      </c>
      <c r="L46" s="67">
        <f t="shared" si="114"/>
        <v>0.34257512959219399</v>
      </c>
      <c r="M46" s="67">
        <f t="shared" si="114"/>
        <v>-8.4144363341443467E-3</v>
      </c>
      <c r="N46" s="67">
        <f t="shared" si="114"/>
        <v>9.3923623320908645E-2</v>
      </c>
      <c r="O46" s="67">
        <f t="shared" si="114"/>
        <v>0.17780473304138514</v>
      </c>
      <c r="P46" s="67">
        <f t="shared" si="114"/>
        <v>0.20602390794324663</v>
      </c>
      <c r="Q46" s="67">
        <f>Q16/Q11</f>
        <v>0.22000000000000008</v>
      </c>
      <c r="R46" s="67"/>
      <c r="S46" s="108"/>
      <c r="T46" s="67">
        <f t="shared" ref="T46:BR46" si="115">T16/T11</f>
        <v>0.15123650296064087</v>
      </c>
      <c r="U46" s="67">
        <f t="shared" si="115"/>
        <v>0.2071187288877768</v>
      </c>
      <c r="V46" s="67">
        <f t="shared" si="115"/>
        <v>0.19427036705461057</v>
      </c>
      <c r="W46" s="67">
        <f t="shared" si="115"/>
        <v>0.18705077338853432</v>
      </c>
      <c r="X46" s="67">
        <f t="shared" si="115"/>
        <v>0.24413300098763108</v>
      </c>
      <c r="Y46" s="67">
        <f t="shared" si="115"/>
        <v>0.31559279809761071</v>
      </c>
      <c r="Z46" s="67">
        <f t="shared" si="115"/>
        <v>0.31263318112633176</v>
      </c>
      <c r="AA46" s="67">
        <f t="shared" si="115"/>
        <v>0.33395142524723676</v>
      </c>
      <c r="AB46" s="67">
        <f t="shared" si="115"/>
        <v>0.47122277124364959</v>
      </c>
      <c r="AC46" s="67">
        <f t="shared" si="115"/>
        <v>0.42102361183186304</v>
      </c>
      <c r="AD46" s="67">
        <f t="shared" si="115"/>
        <v>0.37664873627588236</v>
      </c>
      <c r="AE46" s="67">
        <f t="shared" si="115"/>
        <v>0.39301840916985081</v>
      </c>
      <c r="AF46" s="67">
        <f t="shared" si="115"/>
        <v>0.40891555936562368</v>
      </c>
      <c r="AG46" s="67">
        <f t="shared" si="115"/>
        <v>0.43482400952219014</v>
      </c>
      <c r="AH46" s="67">
        <f t="shared" si="115"/>
        <v>0.49420826544215662</v>
      </c>
      <c r="AI46" s="67">
        <f t="shared" si="115"/>
        <v>0.51211428858369523</v>
      </c>
      <c r="AJ46" s="67">
        <f t="shared" si="115"/>
        <v>0.55323118450301678</v>
      </c>
      <c r="AK46" s="67">
        <f t="shared" si="115"/>
        <v>0.10146203980975864</v>
      </c>
      <c r="AL46" s="67">
        <f t="shared" si="115"/>
        <v>0.33310174951051597</v>
      </c>
      <c r="AM46" s="67">
        <f t="shared" si="115"/>
        <v>0.33355529995762478</v>
      </c>
      <c r="AN46" s="67">
        <f t="shared" si="115"/>
        <v>0.39869371234073869</v>
      </c>
      <c r="AO46" s="67">
        <f t="shared" si="115"/>
        <v>0.48932670516850646</v>
      </c>
      <c r="AP46" s="67">
        <f t="shared" si="115"/>
        <v>0.54727533600773037</v>
      </c>
      <c r="AQ46" s="67">
        <f t="shared" si="115"/>
        <v>0.50992462688808138</v>
      </c>
      <c r="AR46" s="67">
        <f t="shared" si="115"/>
        <v>0.51324206557681018</v>
      </c>
      <c r="AS46" s="67">
        <f t="shared" si="115"/>
        <v>0.55514837571983577</v>
      </c>
      <c r="AT46" s="67">
        <f t="shared" si="115"/>
        <v>0.54474708171206232</v>
      </c>
      <c r="AU46" s="67">
        <f t="shared" si="115"/>
        <v>0.55086055859012684</v>
      </c>
      <c r="AV46" s="67">
        <f t="shared" si="115"/>
        <v>0.49639341066380732</v>
      </c>
      <c r="AW46" s="67">
        <f t="shared" si="115"/>
        <v>0.55500090996542129</v>
      </c>
      <c r="AX46" s="67">
        <f t="shared" si="115"/>
        <v>0.48767944557505077</v>
      </c>
      <c r="AY46" s="67">
        <f t="shared" si="115"/>
        <v>0.48849119412752168</v>
      </c>
      <c r="AZ46" s="67">
        <f t="shared" si="115"/>
        <v>0.44407419050613023</v>
      </c>
      <c r="BA46" s="67">
        <f t="shared" si="115"/>
        <v>0.44775763358778631</v>
      </c>
      <c r="BB46" s="67">
        <f t="shared" si="115"/>
        <v>0.42199496252238033</v>
      </c>
      <c r="BC46" s="67">
        <f t="shared" si="115"/>
        <v>0.43612887799629391</v>
      </c>
      <c r="BD46" s="67">
        <f t="shared" si="115"/>
        <v>0.44484764702494095</v>
      </c>
      <c r="BE46" s="67">
        <f t="shared" si="115"/>
        <v>0.43892921251853584</v>
      </c>
      <c r="BF46" s="67">
        <f t="shared" si="115"/>
        <v>0.51624177631578949</v>
      </c>
      <c r="BG46" s="67">
        <f t="shared" si="115"/>
        <v>0.47904745246008146</v>
      </c>
      <c r="BH46" s="67">
        <f t="shared" si="115"/>
        <v>0.42847002874685031</v>
      </c>
      <c r="BI46" s="67">
        <f t="shared" si="115"/>
        <v>0.31465477613312492</v>
      </c>
      <c r="BJ46" s="67">
        <f t="shared" si="115"/>
        <v>0.30848478958110609</v>
      </c>
      <c r="BK46" s="67">
        <f t="shared" si="115"/>
        <v>0.28096241268433314</v>
      </c>
      <c r="BL46" s="67">
        <f t="shared" si="115"/>
        <v>1.9305586141084925E-2</v>
      </c>
      <c r="BM46" s="67">
        <f t="shared" si="115"/>
        <v>-5.1778287072404741E-2</v>
      </c>
      <c r="BN46" s="67">
        <f t="shared" si="115"/>
        <v>5.2895722138134212E-2</v>
      </c>
      <c r="BO46" s="67">
        <f t="shared" si="115"/>
        <v>-6.4419607498019671E-2</v>
      </c>
      <c r="BP46" s="67">
        <f t="shared" si="115"/>
        <v>-1.4176663031624905E-2</v>
      </c>
      <c r="BQ46" s="67">
        <f t="shared" si="115"/>
        <v>7.9412646089301833E-2</v>
      </c>
      <c r="BR46" s="67">
        <f t="shared" si="115"/>
        <v>0.13651832460732985</v>
      </c>
      <c r="BS46" s="67">
        <f>BS16/BS11</f>
        <v>0.14485208550254181</v>
      </c>
      <c r="BT46" s="137">
        <v>0.17</v>
      </c>
      <c r="BU46" s="137">
        <f>+BT46+0.5%</f>
        <v>0.17500000000000002</v>
      </c>
      <c r="BV46" s="137">
        <f>+BU46+0.5%</f>
        <v>0.18000000000000002</v>
      </c>
      <c r="BW46" s="137">
        <f>+BV46+0.5%</f>
        <v>0.18500000000000003</v>
      </c>
      <c r="BX46" s="137">
        <f>+BW46+0.5%</f>
        <v>0.19000000000000003</v>
      </c>
      <c r="BY46" s="137">
        <f>+BX46+0.01</f>
        <v>0.20000000000000004</v>
      </c>
      <c r="BZ46" s="137">
        <f>+BY46+0.01</f>
        <v>0.21000000000000005</v>
      </c>
      <c r="CA46" s="137">
        <f>+BZ46+0.01</f>
        <v>0.22000000000000006</v>
      </c>
      <c r="CB46" s="137">
        <f>CA46</f>
        <v>0.22000000000000006</v>
      </c>
      <c r="CC46" s="137">
        <f>CB46</f>
        <v>0.22000000000000006</v>
      </c>
      <c r="CD46" s="137">
        <f>CC46</f>
        <v>0.22000000000000006</v>
      </c>
      <c r="CE46" s="137">
        <f>CD46</f>
        <v>0.22000000000000006</v>
      </c>
      <c r="CF46" s="4"/>
      <c r="CG46" s="4"/>
      <c r="CH46" s="4"/>
      <c r="CI46" s="4"/>
      <c r="CJ46" s="4"/>
      <c r="CK46" s="4"/>
      <c r="CL46" s="4"/>
      <c r="CM46" s="4"/>
      <c r="CN46" s="240">
        <f t="shared" si="16"/>
        <v>39</v>
      </c>
    </row>
    <row r="47" spans="1:92" outlineLevel="1">
      <c r="A47" s="144"/>
      <c r="B47" s="40" t="s">
        <v>47</v>
      </c>
      <c r="C47" s="16">
        <f t="shared" ref="C47:P47" si="116">C25/C12</f>
        <v>0.28800261468581873</v>
      </c>
      <c r="D47" s="16">
        <f t="shared" si="116"/>
        <v>0.19666746833645796</v>
      </c>
      <c r="E47" s="16">
        <f t="shared" si="116"/>
        <v>0.15713410956045598</v>
      </c>
      <c r="F47" s="16">
        <f t="shared" si="116"/>
        <v>-5.8168314726390315E-2</v>
      </c>
      <c r="G47" s="16">
        <f t="shared" si="116"/>
        <v>0.21442031259120892</v>
      </c>
      <c r="H47" s="16">
        <f t="shared" si="116"/>
        <v>0.26693252348471719</v>
      </c>
      <c r="I47" s="16">
        <f t="shared" si="116"/>
        <v>0.23063274830169098</v>
      </c>
      <c r="J47" s="16">
        <f t="shared" si="116"/>
        <v>0.15298720540384603</v>
      </c>
      <c r="K47" s="16">
        <f t="shared" si="116"/>
        <v>0.17773581305486022</v>
      </c>
      <c r="L47" s="16">
        <f t="shared" si="116"/>
        <v>-0.11776015951386248</v>
      </c>
      <c r="M47" s="16">
        <f t="shared" si="116"/>
        <v>-0.33589949710140549</v>
      </c>
      <c r="N47" s="16">
        <f t="shared" si="116"/>
        <v>0.13896893670932101</v>
      </c>
      <c r="O47" s="16">
        <f t="shared" si="116"/>
        <v>0.20582208935382448</v>
      </c>
      <c r="P47" s="16">
        <f t="shared" si="116"/>
        <v>0.22072586565593155</v>
      </c>
      <c r="Q47" s="16">
        <f>Q25/Q12</f>
        <v>0.20819981862352496</v>
      </c>
      <c r="R47" s="16"/>
      <c r="S47" s="11"/>
      <c r="T47" s="16">
        <f t="shared" ref="T47:AY47" si="117">T25/T12</f>
        <v>0.15415357955160838</v>
      </c>
      <c r="U47" s="16">
        <f t="shared" si="117"/>
        <v>0.1805287164647604</v>
      </c>
      <c r="V47" s="16">
        <f t="shared" si="117"/>
        <v>0.22032624934154285</v>
      </c>
      <c r="W47" s="16">
        <f t="shared" si="117"/>
        <v>0.23239514489610177</v>
      </c>
      <c r="X47" s="16">
        <f t="shared" si="117"/>
        <v>0.29051490913368228</v>
      </c>
      <c r="Y47" s="16">
        <f t="shared" si="117"/>
        <v>0.30363194468216209</v>
      </c>
      <c r="Z47" s="16">
        <f t="shared" si="117"/>
        <v>0.30234940891906437</v>
      </c>
      <c r="AA47" s="16">
        <f t="shared" si="117"/>
        <v>0.2950627448045306</v>
      </c>
      <c r="AB47" s="16">
        <f t="shared" si="117"/>
        <v>0.25715454997222953</v>
      </c>
      <c r="AC47" s="16">
        <f t="shared" si="117"/>
        <v>0.22630400336781051</v>
      </c>
      <c r="AD47" s="16">
        <f t="shared" si="117"/>
        <v>0.15227740011484248</v>
      </c>
      <c r="AE47" s="16">
        <f t="shared" si="117"/>
        <v>0.18628920075836922</v>
      </c>
      <c r="AF47" s="16">
        <f t="shared" si="117"/>
        <v>0.12899349480547795</v>
      </c>
      <c r="AG47" s="16">
        <f t="shared" si="117"/>
        <v>0.17606863882173748</v>
      </c>
      <c r="AH47" s="16">
        <f t="shared" si="117"/>
        <v>0.18646218441342735</v>
      </c>
      <c r="AI47" s="16">
        <f t="shared" si="117"/>
        <v>0.16106195467073964</v>
      </c>
      <c r="AJ47" s="16">
        <f t="shared" si="117"/>
        <v>4.7636877308235612E-2</v>
      </c>
      <c r="AK47" s="16">
        <f t="shared" si="117"/>
        <v>-0.15350580232722918</v>
      </c>
      <c r="AL47" s="16">
        <f t="shared" si="117"/>
        <v>-0.11279595033255398</v>
      </c>
      <c r="AM47" s="16">
        <f t="shared" si="117"/>
        <v>-4.6215923629564018E-2</v>
      </c>
      <c r="AN47" s="16">
        <f t="shared" si="117"/>
        <v>0.10588146980445144</v>
      </c>
      <c r="AO47" s="16">
        <f t="shared" si="117"/>
        <v>0.20597004302163735</v>
      </c>
      <c r="AP47" s="16">
        <f t="shared" si="117"/>
        <v>0.24616148246194575</v>
      </c>
      <c r="AQ47" s="16">
        <f t="shared" si="117"/>
        <v>0.27365424935394217</v>
      </c>
      <c r="AR47" s="16">
        <f t="shared" si="117"/>
        <v>0.27851456801506702</v>
      </c>
      <c r="AS47" s="16">
        <f t="shared" si="117"/>
        <v>0.25757997879182515</v>
      </c>
      <c r="AT47" s="16">
        <f t="shared" si="117"/>
        <v>0.27603213635051316</v>
      </c>
      <c r="AU47" s="16">
        <f t="shared" si="117"/>
        <v>0.25513585842057074</v>
      </c>
      <c r="AV47" s="16">
        <f t="shared" si="117"/>
        <v>0.26317611733594404</v>
      </c>
      <c r="AW47" s="16">
        <f t="shared" si="117"/>
        <v>0.23966519097951233</v>
      </c>
      <c r="AX47" s="16">
        <f t="shared" si="117"/>
        <v>0.2166894572179722</v>
      </c>
      <c r="AY47" s="16">
        <f t="shared" si="117"/>
        <v>0.19003834515748752</v>
      </c>
      <c r="AZ47" s="16">
        <f t="shared" ref="AZ47:CE47" si="118">AZ25/AZ12</f>
        <v>0.13437336345553647</v>
      </c>
      <c r="BA47" s="16">
        <f t="shared" si="118"/>
        <v>0.1482911754806957</v>
      </c>
      <c r="BB47" s="16">
        <f t="shared" si="118"/>
        <v>0.1747817747561192</v>
      </c>
      <c r="BC47" s="16">
        <f t="shared" si="118"/>
        <v>0.13245280616697569</v>
      </c>
      <c r="BD47" s="16">
        <f t="shared" si="118"/>
        <v>0.13002399878810106</v>
      </c>
      <c r="BE47" s="16">
        <f t="shared" si="118"/>
        <v>0.17677680150849903</v>
      </c>
      <c r="BF47" s="16">
        <f t="shared" si="118"/>
        <v>0.17184428791462322</v>
      </c>
      <c r="BG47" s="16">
        <f t="shared" si="118"/>
        <v>0.19779312439299848</v>
      </c>
      <c r="BH47" s="16">
        <f t="shared" si="118"/>
        <v>1.518694464272528E-2</v>
      </c>
      <c r="BI47" s="16">
        <f t="shared" si="118"/>
        <v>-0.17655934937491596</v>
      </c>
      <c r="BJ47" s="16">
        <f t="shared" si="118"/>
        <v>-0.17633014072155767</v>
      </c>
      <c r="BK47" s="16">
        <f t="shared" si="118"/>
        <v>-0.2141290481412681</v>
      </c>
      <c r="BL47" s="16">
        <f t="shared" si="118"/>
        <v>-0.38650942647875408</v>
      </c>
      <c r="BM47" s="16">
        <f t="shared" si="118"/>
        <v>-0.52603532916544271</v>
      </c>
      <c r="BN47" s="16">
        <f t="shared" si="118"/>
        <v>-0.32076254804302839</v>
      </c>
      <c r="BO47" s="16">
        <f t="shared" si="118"/>
        <v>-0.14577573451223322</v>
      </c>
      <c r="BP47" s="16">
        <f>BP25/BP12</f>
        <v>5.2797708297693206E-3</v>
      </c>
      <c r="BQ47" s="16">
        <f>BQ25/BQ12</f>
        <v>0.16800481432260975</v>
      </c>
      <c r="BR47" s="16">
        <f>BR25/BR12</f>
        <v>0.20670319894522074</v>
      </c>
      <c r="BS47" s="16">
        <f>BS25/BS12</f>
        <v>0.14108153775225313</v>
      </c>
      <c r="BT47" s="16">
        <f t="shared" si="118"/>
        <v>0.16963083655769012</v>
      </c>
      <c r="BU47" s="16">
        <f t="shared" si="118"/>
        <v>0.20626333998620489</v>
      </c>
      <c r="BV47" s="16">
        <f t="shared" si="118"/>
        <v>0.21144680154611245</v>
      </c>
      <c r="BW47" s="16">
        <f t="shared" si="118"/>
        <v>0.21912542561737833</v>
      </c>
      <c r="BX47" s="16">
        <f t="shared" si="118"/>
        <v>0.21923579085338565</v>
      </c>
      <c r="BY47" s="16">
        <f t="shared" si="118"/>
        <v>0.21924027965551721</v>
      </c>
      <c r="BZ47" s="16">
        <f t="shared" si="118"/>
        <v>0.22200483204691066</v>
      </c>
      <c r="CA47" s="16">
        <f t="shared" si="118"/>
        <v>0.21468567299815644</v>
      </c>
      <c r="CB47" s="16">
        <f t="shared" si="118"/>
        <v>0.20560685550284297</v>
      </c>
      <c r="CC47" s="16">
        <f t="shared" si="118"/>
        <v>0.20594892874007326</v>
      </c>
      <c r="CD47" s="16">
        <f t="shared" si="118"/>
        <v>0.20660759062871081</v>
      </c>
      <c r="CE47" s="16">
        <f t="shared" si="118"/>
        <v>0.207338079984177</v>
      </c>
      <c r="CF47" s="11"/>
      <c r="CG47" s="11"/>
      <c r="CH47" s="11"/>
      <c r="CI47" s="11"/>
      <c r="CJ47" s="11"/>
      <c r="CK47" s="11"/>
      <c r="CL47" s="11"/>
      <c r="CM47" s="11"/>
      <c r="CN47" s="240">
        <f t="shared" si="16"/>
        <v>40</v>
      </c>
    </row>
    <row r="48" spans="1:92" outlineLevel="1">
      <c r="A48" s="144"/>
      <c r="B48" s="53" t="s">
        <v>127</v>
      </c>
      <c r="C48" s="6">
        <f t="shared" ref="C48:P48" si="119">C21/C10</f>
        <v>0.30928922014179233</v>
      </c>
      <c r="D48" s="6">
        <f t="shared" si="119"/>
        <v>0.20269207480460191</v>
      </c>
      <c r="E48" s="6">
        <f t="shared" si="119"/>
        <v>0.14832464691310362</v>
      </c>
      <c r="F48" s="6">
        <f t="shared" si="119"/>
        <v>-3.9601549227723999E-2</v>
      </c>
      <c r="G48" s="6">
        <f t="shared" si="119"/>
        <v>0.22161327491521512</v>
      </c>
      <c r="H48" s="6">
        <f t="shared" si="119"/>
        <v>0.26800147048954359</v>
      </c>
      <c r="I48" s="6">
        <f t="shared" si="119"/>
        <v>0.23424051638364227</v>
      </c>
      <c r="J48" s="6">
        <f t="shared" si="119"/>
        <v>0.15970450913783174</v>
      </c>
      <c r="K48" s="6">
        <f t="shared" si="119"/>
        <v>0.17886342175057798</v>
      </c>
      <c r="L48" s="6">
        <f t="shared" si="119"/>
        <v>-0.11314795544600366</v>
      </c>
      <c r="M48" s="6">
        <f t="shared" si="119"/>
        <v>-0.29986434273909962</v>
      </c>
      <c r="N48" s="6">
        <f t="shared" si="119"/>
        <v>0.16347114540179714</v>
      </c>
      <c r="O48" s="6">
        <f t="shared" si="119"/>
        <v>0.22430753867335376</v>
      </c>
      <c r="P48" s="6">
        <f t="shared" si="119"/>
        <v>0.23840737693640504</v>
      </c>
      <c r="Q48" s="6">
        <f>Q21/Q10</f>
        <v>0.22646666406997767</v>
      </c>
      <c r="R48" s="6"/>
      <c r="S48" s="16"/>
      <c r="T48" s="6">
        <f t="shared" ref="T48:AY48" si="120">T21/T10</f>
        <v>0.18969188537417583</v>
      </c>
      <c r="U48" s="6">
        <f t="shared" si="120"/>
        <v>0.20160774322642186</v>
      </c>
      <c r="V48" s="6">
        <f t="shared" si="120"/>
        <v>0.25150939967287927</v>
      </c>
      <c r="W48" s="6">
        <f t="shared" si="120"/>
        <v>0.2697153010701166</v>
      </c>
      <c r="X48" s="6">
        <f t="shared" si="120"/>
        <v>0.31577800820836344</v>
      </c>
      <c r="Y48" s="6">
        <f t="shared" si="120"/>
        <v>0.30980497106345967</v>
      </c>
      <c r="Z48" s="6">
        <f t="shared" si="120"/>
        <v>0.31369744154960955</v>
      </c>
      <c r="AA48" s="6">
        <f t="shared" si="120"/>
        <v>0.2989731080796218</v>
      </c>
      <c r="AB48" s="6">
        <f t="shared" si="120"/>
        <v>0.24795688195239871</v>
      </c>
      <c r="AC48" s="6">
        <f t="shared" si="120"/>
        <v>0.22415281136099399</v>
      </c>
      <c r="AD48" s="6">
        <f t="shared" si="120"/>
        <v>0.1524859255742885</v>
      </c>
      <c r="AE48" s="6">
        <f t="shared" si="120"/>
        <v>0.1856555632500842</v>
      </c>
      <c r="AF48" s="6">
        <f t="shared" si="120"/>
        <v>0.12224119694382236</v>
      </c>
      <c r="AG48" s="6">
        <f t="shared" si="120"/>
        <v>0.17248116405086245</v>
      </c>
      <c r="AH48" s="6">
        <f t="shared" si="120"/>
        <v>0.17027258161229125</v>
      </c>
      <c r="AI48" s="6">
        <f t="shared" si="120"/>
        <v>0.1242454059516528</v>
      </c>
      <c r="AJ48" s="6">
        <f t="shared" si="120"/>
        <v>4.0700560633840574E-2</v>
      </c>
      <c r="AK48" s="6">
        <f t="shared" si="120"/>
        <v>-0.13830725449371289</v>
      </c>
      <c r="AL48" s="6">
        <f t="shared" si="120"/>
        <v>-8.2010900400598316E-2</v>
      </c>
      <c r="AM48" s="6">
        <f t="shared" si="120"/>
        <v>-1.2686171778418793E-2</v>
      </c>
      <c r="AN48" s="6">
        <f t="shared" si="120"/>
        <v>0.13039503038092401</v>
      </c>
      <c r="AO48" s="6">
        <f t="shared" si="120"/>
        <v>0.20547756919011431</v>
      </c>
      <c r="AP48" s="6">
        <f t="shared" si="120"/>
        <v>0.24333237579696249</v>
      </c>
      <c r="AQ48" s="6">
        <f t="shared" si="120"/>
        <v>0.27342687464175847</v>
      </c>
      <c r="AR48" s="6">
        <f t="shared" si="120"/>
        <v>0.28596287370993867</v>
      </c>
      <c r="AS48" s="6">
        <f t="shared" si="120"/>
        <v>0.25662001799707546</v>
      </c>
      <c r="AT48" s="6">
        <f t="shared" si="120"/>
        <v>0.27578420695083944</v>
      </c>
      <c r="AU48" s="6">
        <f t="shared" si="120"/>
        <v>0.25667725296754285</v>
      </c>
      <c r="AV48" s="6">
        <f t="shared" si="120"/>
        <v>0.26766062649370237</v>
      </c>
      <c r="AW48" s="6">
        <f t="shared" si="120"/>
        <v>0.24341536641950598</v>
      </c>
      <c r="AX48" s="6">
        <f t="shared" si="120"/>
        <v>0.2263654209551067</v>
      </c>
      <c r="AY48" s="6">
        <f t="shared" si="120"/>
        <v>0.19692268770340043</v>
      </c>
      <c r="AZ48" s="6">
        <f t="shared" ref="AZ48:CE48" si="121">AZ21/AZ10</f>
        <v>0.14847555017499509</v>
      </c>
      <c r="BA48" s="6">
        <f t="shared" si="121"/>
        <v>0.15593943824729384</v>
      </c>
      <c r="BB48" s="6">
        <f t="shared" si="121"/>
        <v>0.18810349042272706</v>
      </c>
      <c r="BC48" s="6">
        <f t="shared" si="121"/>
        <v>0.1442903667509696</v>
      </c>
      <c r="BD48" s="6">
        <f t="shared" si="121"/>
        <v>0.13897252500160609</v>
      </c>
      <c r="BE48" s="6">
        <f t="shared" si="121"/>
        <v>0.18317131772693204</v>
      </c>
      <c r="BF48" s="6">
        <f t="shared" si="121"/>
        <v>0.17827625895290064</v>
      </c>
      <c r="BG48" s="6">
        <f t="shared" si="121"/>
        <v>0.20693125651187885</v>
      </c>
      <c r="BH48" s="6">
        <f t="shared" si="121"/>
        <v>1.5504122001729733E-2</v>
      </c>
      <c r="BI48" s="6">
        <f t="shared" si="121"/>
        <v>-0.17857842106408128</v>
      </c>
      <c r="BJ48" s="6">
        <f t="shared" si="121"/>
        <v>-0.16303907188607902</v>
      </c>
      <c r="BK48" s="6">
        <f t="shared" si="121"/>
        <v>-0.18136917711799333</v>
      </c>
      <c r="BL48" s="6">
        <f t="shared" si="121"/>
        <v>-0.36053615391629434</v>
      </c>
      <c r="BM48" s="6">
        <f t="shared" si="121"/>
        <v>-0.50062110854538655</v>
      </c>
      <c r="BN48" s="6">
        <f t="shared" si="121"/>
        <v>-0.29772057968175059</v>
      </c>
      <c r="BO48" s="6">
        <f t="shared" si="121"/>
        <v>-0.12508944159821403</v>
      </c>
      <c r="BP48" s="6">
        <f t="shared" ref="BP48:BR50" si="122">BP21/BP10</f>
        <v>3.2163047959804056E-2</v>
      </c>
      <c r="BQ48" s="6">
        <f t="shared" si="122"/>
        <v>0.18393771629888289</v>
      </c>
      <c r="BR48" s="6">
        <f t="shared" si="122"/>
        <v>0.22897662814146438</v>
      </c>
      <c r="BS48" s="6">
        <f>BS21/BS10</f>
        <v>0.1630792365416622</v>
      </c>
      <c r="BT48" s="6">
        <f t="shared" si="121"/>
        <v>0.1921830121106059</v>
      </c>
      <c r="BU48" s="6">
        <f t="shared" si="121"/>
        <v>0.22726412370113744</v>
      </c>
      <c r="BV48" s="6">
        <f t="shared" si="121"/>
        <v>0.23166831654127767</v>
      </c>
      <c r="BW48" s="6">
        <f t="shared" si="121"/>
        <v>0.2388645533326946</v>
      </c>
      <c r="BX48" s="6">
        <f t="shared" si="121"/>
        <v>0.2391393376011296</v>
      </c>
      <c r="BY48" s="6">
        <f t="shared" si="121"/>
        <v>0.2391851612992516</v>
      </c>
      <c r="BZ48" s="6">
        <f t="shared" si="121"/>
        <v>0.24147302299351767</v>
      </c>
      <c r="CA48" s="6">
        <f t="shared" si="121"/>
        <v>0.23414028669378506</v>
      </c>
      <c r="CB48" s="6">
        <f t="shared" si="121"/>
        <v>0.22557319265462145</v>
      </c>
      <c r="CC48" s="6">
        <f t="shared" si="121"/>
        <v>0.2260131531659415</v>
      </c>
      <c r="CD48" s="6">
        <f t="shared" si="121"/>
        <v>0.22674399381151045</v>
      </c>
      <c r="CE48" s="6">
        <f t="shared" si="121"/>
        <v>0.22753397755698387</v>
      </c>
      <c r="CF48" s="11"/>
      <c r="CG48" s="11"/>
      <c r="CH48" s="11"/>
      <c r="CI48" s="11"/>
      <c r="CJ48" s="11"/>
      <c r="CK48" s="11"/>
      <c r="CL48" s="11"/>
      <c r="CM48" s="11"/>
      <c r="CN48" s="240">
        <f t="shared" si="16"/>
        <v>41</v>
      </c>
    </row>
    <row r="49" spans="1:99" outlineLevel="1">
      <c r="A49" s="144"/>
      <c r="B49" s="53" t="s">
        <v>128</v>
      </c>
      <c r="C49" s="6">
        <f t="shared" ref="C49:P49" si="123">C22/C11</f>
        <v>0.30483553279495768</v>
      </c>
      <c r="D49" s="6">
        <f t="shared" si="123"/>
        <v>0.25934615850807774</v>
      </c>
      <c r="E49" s="6">
        <f t="shared" si="123"/>
        <v>0.27877237851662401</v>
      </c>
      <c r="F49" s="6">
        <f t="shared" si="123"/>
        <v>-2.1937646664431786E-2</v>
      </c>
      <c r="G49" s="6">
        <f t="shared" si="123"/>
        <v>0.26671585829379413</v>
      </c>
      <c r="H49" s="6">
        <f t="shared" si="123"/>
        <v>0.35388387414905415</v>
      </c>
      <c r="I49" s="6">
        <f t="shared" si="123"/>
        <v>0.30403687221869041</v>
      </c>
      <c r="J49" s="6">
        <f t="shared" si="123"/>
        <v>0.19902547872219312</v>
      </c>
      <c r="K49" s="6">
        <f t="shared" si="123"/>
        <v>0.27084023548000707</v>
      </c>
      <c r="L49" s="6">
        <f t="shared" si="123"/>
        <v>-2.6686392537296582E-2</v>
      </c>
      <c r="M49" s="6">
        <f t="shared" si="123"/>
        <v>-0.52759529602595301</v>
      </c>
      <c r="N49" s="6">
        <f t="shared" si="123"/>
        <v>-0.21499402208312818</v>
      </c>
      <c r="O49" s="6">
        <f t="shared" si="123"/>
        <v>-6.4571945138576975E-2</v>
      </c>
      <c r="P49" s="6">
        <f t="shared" si="123"/>
        <v>-9.3026854639974999E-3</v>
      </c>
      <c r="Q49" s="6">
        <f>Q22/Q11</f>
        <v>2.3780069521435299E-2</v>
      </c>
      <c r="R49" s="6"/>
      <c r="S49" s="16"/>
      <c r="T49" s="6">
        <f t="shared" ref="T49:AY49" si="124">T22/T11</f>
        <v>0.15123650296064087</v>
      </c>
      <c r="U49" s="6">
        <f t="shared" si="124"/>
        <v>0.2071187288877768</v>
      </c>
      <c r="V49" s="6">
        <f t="shared" si="124"/>
        <v>0.19427036705461057</v>
      </c>
      <c r="W49" s="6">
        <f t="shared" si="124"/>
        <v>0.18705077338853432</v>
      </c>
      <c r="X49" s="6">
        <f t="shared" si="124"/>
        <v>0.24413300098763108</v>
      </c>
      <c r="Y49" s="6">
        <f t="shared" si="124"/>
        <v>0.31559279809761071</v>
      </c>
      <c r="Z49" s="6">
        <f t="shared" si="124"/>
        <v>0.31263318112633176</v>
      </c>
      <c r="AA49" s="6">
        <f t="shared" si="124"/>
        <v>0.33395142524723676</v>
      </c>
      <c r="AB49" s="6">
        <f t="shared" si="124"/>
        <v>0.33199944324587655</v>
      </c>
      <c r="AC49" s="6">
        <f t="shared" si="124"/>
        <v>0.27555786196159837</v>
      </c>
      <c r="AD49" s="6">
        <f t="shared" si="124"/>
        <v>0.2036327462972515</v>
      </c>
      <c r="AE49" s="6">
        <f t="shared" si="124"/>
        <v>0.22198680097255993</v>
      </c>
      <c r="AF49" s="6">
        <f t="shared" si="124"/>
        <v>0.2092441777396771</v>
      </c>
      <c r="AG49" s="6">
        <f t="shared" si="124"/>
        <v>0.23002890664852915</v>
      </c>
      <c r="AH49" s="6">
        <f t="shared" si="124"/>
        <v>0.30611761220559913</v>
      </c>
      <c r="AI49" s="6">
        <f t="shared" si="124"/>
        <v>0.34045544703607927</v>
      </c>
      <c r="AJ49" s="6">
        <f t="shared" si="124"/>
        <v>0.14711019371228962</v>
      </c>
      <c r="AK49" s="6">
        <f t="shared" si="124"/>
        <v>-9.4885796488755808E-2</v>
      </c>
      <c r="AL49" s="6">
        <f t="shared" si="124"/>
        <v>-0.11179182719636203</v>
      </c>
      <c r="AM49" s="6">
        <f t="shared" si="124"/>
        <v>-0.11840910466735276</v>
      </c>
      <c r="AN49" s="6">
        <f t="shared" si="124"/>
        <v>8.7852444689756684E-2</v>
      </c>
      <c r="AO49" s="6">
        <f t="shared" si="124"/>
        <v>0.24267124789823818</v>
      </c>
      <c r="AP49" s="6">
        <f t="shared" si="124"/>
        <v>0.35181985886211237</v>
      </c>
      <c r="AQ49" s="6">
        <f t="shared" si="124"/>
        <v>0.3159664874928681</v>
      </c>
      <c r="AR49" s="6">
        <f t="shared" si="124"/>
        <v>0.30702432089990422</v>
      </c>
      <c r="AS49" s="6">
        <f t="shared" si="124"/>
        <v>0.36243903783098669</v>
      </c>
      <c r="AT49" s="6">
        <f t="shared" si="124"/>
        <v>0.36630350194552536</v>
      </c>
      <c r="AU49" s="6">
        <f t="shared" si="124"/>
        <v>0.37261671647943939</v>
      </c>
      <c r="AV49" s="6">
        <f t="shared" si="124"/>
        <v>0.3407983234233356</v>
      </c>
      <c r="AW49" s="6">
        <f t="shared" si="124"/>
        <v>0.32610560798689647</v>
      </c>
      <c r="AX49" s="6">
        <f t="shared" si="124"/>
        <v>0.27512238050712279</v>
      </c>
      <c r="AY49" s="6">
        <f t="shared" si="124"/>
        <v>0.26687910774746071</v>
      </c>
      <c r="AZ49" s="6">
        <f t="shared" ref="AZ49:CE49" si="125">AZ22/AZ11</f>
        <v>0.19673058786545111</v>
      </c>
      <c r="BA49" s="6">
        <f t="shared" si="125"/>
        <v>0.21114623091603055</v>
      </c>
      <c r="BB49" s="6">
        <f t="shared" si="125"/>
        <v>0.18274512184019664</v>
      </c>
      <c r="BC49" s="6">
        <f t="shared" si="125"/>
        <v>0.20509295235818042</v>
      </c>
      <c r="BD49" s="6">
        <f t="shared" si="125"/>
        <v>0.21476297448303669</v>
      </c>
      <c r="BE49" s="6">
        <f t="shared" si="125"/>
        <v>0.23408517391191236</v>
      </c>
      <c r="BF49" s="6">
        <f t="shared" si="125"/>
        <v>0.33659996345029236</v>
      </c>
      <c r="BG49" s="6">
        <f t="shared" si="125"/>
        <v>0.28286563882155979</v>
      </c>
      <c r="BH49" s="6">
        <f t="shared" si="125"/>
        <v>0.13865919011960109</v>
      </c>
      <c r="BI49" s="6">
        <f t="shared" si="125"/>
        <v>-6.7022156844718211E-2</v>
      </c>
      <c r="BJ49" s="6">
        <f t="shared" si="125"/>
        <v>-8.9901836913208286E-2</v>
      </c>
      <c r="BK49" s="6">
        <f t="shared" si="125"/>
        <v>-0.16420889233839672</v>
      </c>
      <c r="BL49" s="6">
        <f t="shared" si="125"/>
        <v>-0.487117375027527</v>
      </c>
      <c r="BM49" s="6">
        <f t="shared" si="125"/>
        <v>-0.60801290213054915</v>
      </c>
      <c r="BN49" s="6">
        <f t="shared" si="125"/>
        <v>-0.44140842826415994</v>
      </c>
      <c r="BO49" s="6">
        <f t="shared" si="125"/>
        <v>-0.58796092581184545</v>
      </c>
      <c r="BP49" s="6">
        <f t="shared" si="122"/>
        <v>-0.43796661353913263</v>
      </c>
      <c r="BQ49" s="6">
        <f t="shared" si="122"/>
        <v>-0.25014983518130057</v>
      </c>
      <c r="BR49" s="6">
        <f t="shared" si="122"/>
        <v>-0.13494764397905759</v>
      </c>
      <c r="BS49" s="6">
        <f>BS22/BS11</f>
        <v>-9.8364672015679541E-2</v>
      </c>
      <c r="BT49" s="6">
        <f t="shared" si="125"/>
        <v>-6.1252649110151221E-2</v>
      </c>
      <c r="BU49" s="6">
        <f t="shared" si="125"/>
        <v>-6.8623902070064316E-2</v>
      </c>
      <c r="BV49" s="6">
        <f t="shared" si="125"/>
        <v>-7.2647353241493962E-2</v>
      </c>
      <c r="BW49" s="6">
        <f t="shared" si="125"/>
        <v>-5.6073168606364923E-2</v>
      </c>
      <c r="BX49" s="6">
        <f t="shared" si="125"/>
        <v>-4.0226243084343576E-2</v>
      </c>
      <c r="BY49" s="6">
        <f t="shared" si="125"/>
        <v>-1.981417573410417E-2</v>
      </c>
      <c r="BZ49" s="6">
        <f t="shared" si="125"/>
        <v>9.7107834729827543E-3</v>
      </c>
      <c r="CA49" s="6">
        <f t="shared" si="125"/>
        <v>6.4392002359205521E-3</v>
      </c>
      <c r="CB49" s="6">
        <f t="shared" si="125"/>
        <v>-1.662354367665103E-3</v>
      </c>
      <c r="CC49" s="6">
        <f t="shared" si="125"/>
        <v>2.0091490102949965E-2</v>
      </c>
      <c r="CD49" s="6">
        <f t="shared" si="125"/>
        <v>3.1006818394468762E-2</v>
      </c>
      <c r="CE49" s="6">
        <f t="shared" si="125"/>
        <v>4.1222218604989709E-2</v>
      </c>
      <c r="CF49" s="11"/>
      <c r="CG49" s="11"/>
      <c r="CH49" s="11"/>
      <c r="CI49" s="11"/>
      <c r="CJ49" s="11"/>
      <c r="CK49" s="11"/>
      <c r="CL49" s="11"/>
      <c r="CM49" s="11"/>
      <c r="CN49" s="240">
        <f t="shared" si="16"/>
        <v>42</v>
      </c>
    </row>
    <row r="50" spans="1:99" outlineLevel="1">
      <c r="A50" s="144"/>
      <c r="B50" s="53" t="s">
        <v>129</v>
      </c>
      <c r="C50" s="6">
        <f t="shared" ref="C50:P50" si="126">C23/C12</f>
        <v>-2.052863583795652E-2</v>
      </c>
      <c r="D50" s="6">
        <f t="shared" si="126"/>
        <v>-1.5505066456493966E-2</v>
      </c>
      <c r="E50" s="6">
        <f t="shared" si="126"/>
        <v>-1.0674168193692652E-2</v>
      </c>
      <c r="F50" s="6">
        <f t="shared" si="126"/>
        <v>-2.0807569110490028E-2</v>
      </c>
      <c r="G50" s="6">
        <f t="shared" si="126"/>
        <v>-1.1987588290234079E-2</v>
      </c>
      <c r="H50" s="6">
        <f t="shared" si="126"/>
        <v>-9.3009809231246795E-3</v>
      </c>
      <c r="I50" s="6">
        <f t="shared" si="126"/>
        <v>-9.0764993524498159E-3</v>
      </c>
      <c r="J50" s="6">
        <f t="shared" si="126"/>
        <v>-9.5004590411224554E-3</v>
      </c>
      <c r="K50" s="6">
        <f t="shared" si="126"/>
        <v>-7.3038012537792844E-3</v>
      </c>
      <c r="L50" s="6">
        <f t="shared" si="126"/>
        <v>-1.0669863273832129E-2</v>
      </c>
      <c r="M50" s="6">
        <f t="shared" si="126"/>
        <v>-2.0627621835621023E-2</v>
      </c>
      <c r="N50" s="6">
        <f t="shared" si="126"/>
        <v>-1.1008464626037549E-2</v>
      </c>
      <c r="O50" s="6">
        <f t="shared" si="126"/>
        <v>-8.5851067721393684E-3</v>
      </c>
      <c r="P50" s="6">
        <f t="shared" si="126"/>
        <v>-8.4062058922440147E-3</v>
      </c>
      <c r="Q50" s="6">
        <f>Q23/Q12</f>
        <v>-8.650287857336408E-3</v>
      </c>
      <c r="R50" s="6"/>
      <c r="S50" s="11"/>
      <c r="T50" s="6">
        <f t="shared" ref="T50:AY50" si="127">T23/T12</f>
        <v>-2.7737463446333804E-2</v>
      </c>
      <c r="U50" s="6">
        <f t="shared" si="127"/>
        <v>-2.0638579626269065E-2</v>
      </c>
      <c r="V50" s="6">
        <f t="shared" si="127"/>
        <v>-2.2884085629657772E-2</v>
      </c>
      <c r="W50" s="6">
        <f t="shared" si="127"/>
        <v>-2.4717820476834487E-2</v>
      </c>
      <c r="X50" s="6">
        <f t="shared" si="127"/>
        <v>-2.1650591072163734E-2</v>
      </c>
      <c r="Y50" s="6">
        <f t="shared" si="127"/>
        <v>-2.0703111628384625E-2</v>
      </c>
      <c r="Z50" s="6">
        <f t="shared" si="127"/>
        <v>-2.0757543334046651E-2</v>
      </c>
      <c r="AA50" s="6">
        <f t="shared" si="127"/>
        <v>-1.9197664845445699E-2</v>
      </c>
      <c r="AB50" s="6">
        <f t="shared" si="127"/>
        <v>-1.3978777514689117E-2</v>
      </c>
      <c r="AC50" s="6">
        <f t="shared" si="127"/>
        <v>-1.6687033344832222E-2</v>
      </c>
      <c r="AD50" s="6">
        <f t="shared" si="127"/>
        <v>-1.6843561104216451E-2</v>
      </c>
      <c r="AE50" s="6">
        <f t="shared" si="127"/>
        <v>-1.4657149455660648E-2</v>
      </c>
      <c r="AF50" s="6">
        <f t="shared" si="127"/>
        <v>-1.3339958524948408E-2</v>
      </c>
      <c r="AG50" s="6">
        <f t="shared" si="127"/>
        <v>-1.1155671692541305E-2</v>
      </c>
      <c r="AH50" s="6">
        <f t="shared" si="127"/>
        <v>-1.1563252212109588E-2</v>
      </c>
      <c r="AI50" s="6">
        <f t="shared" si="127"/>
        <v>-6.9872368813749764E-3</v>
      </c>
      <c r="AJ50" s="6">
        <f t="shared" si="127"/>
        <v>-1.8040403696580831E-2</v>
      </c>
      <c r="AK50" s="6">
        <f t="shared" si="127"/>
        <v>-2.3476987513580756E-2</v>
      </c>
      <c r="AL50" s="6">
        <f t="shared" si="127"/>
        <v>-2.3494427167275782E-2</v>
      </c>
      <c r="AM50" s="6">
        <f t="shared" si="127"/>
        <v>-1.9453465866220515E-2</v>
      </c>
      <c r="AN50" s="6">
        <f t="shared" si="127"/>
        <v>-1.6120556994332468E-2</v>
      </c>
      <c r="AO50" s="6">
        <f t="shared" si="127"/>
        <v>-9.5928761229912684E-3</v>
      </c>
      <c r="AP50" s="6">
        <f t="shared" si="127"/>
        <v>-1.242554599602912E-2</v>
      </c>
      <c r="AQ50" s="6">
        <f t="shared" si="127"/>
        <v>-1.0745282558876589E-2</v>
      </c>
      <c r="AR50" s="6">
        <f t="shared" si="127"/>
        <v>-1.2929555402463846E-2</v>
      </c>
      <c r="AS50" s="6">
        <f t="shared" si="127"/>
        <v>-7.5027698049150273E-3</v>
      </c>
      <c r="AT50" s="6">
        <f t="shared" si="127"/>
        <v>-6.7000507730444912E-3</v>
      </c>
      <c r="AU50" s="6">
        <f t="shared" si="127"/>
        <v>-1.0862045395230144E-2</v>
      </c>
      <c r="AV50" s="6">
        <f t="shared" si="127"/>
        <v>-1.0456525329465114E-2</v>
      </c>
      <c r="AW50" s="6">
        <f t="shared" si="127"/>
        <v>-6.3026638352669234E-3</v>
      </c>
      <c r="AX50" s="6">
        <f t="shared" si="127"/>
        <v>-1.0145676075001376E-2</v>
      </c>
      <c r="AY50" s="6">
        <f t="shared" si="127"/>
        <v>-9.4777653412548776E-3</v>
      </c>
      <c r="AZ50" s="6">
        <f t="shared" ref="AZ50:CE50" si="128">AZ23/AZ12</f>
        <v>-1.1507182595503745E-2</v>
      </c>
      <c r="BA50" s="6">
        <f t="shared" si="128"/>
        <v>-7.8546045816341257E-3</v>
      </c>
      <c r="BB50" s="6">
        <f t="shared" si="128"/>
        <v>-1.0380333970650817E-2</v>
      </c>
      <c r="BC50" s="6">
        <f t="shared" si="128"/>
        <v>-8.4048453635768138E-3</v>
      </c>
      <c r="BD50" s="6">
        <f t="shared" si="128"/>
        <v>-9.7450228427003027E-3</v>
      </c>
      <c r="BE50" s="6">
        <f t="shared" si="128"/>
        <v>-7.3417508677472536E-3</v>
      </c>
      <c r="BF50" s="6">
        <f t="shared" si="128"/>
        <v>-5.2184364346430714E-3</v>
      </c>
      <c r="BG50" s="6">
        <f t="shared" si="128"/>
        <v>-7.3789239583300376E-3</v>
      </c>
      <c r="BH50" s="6">
        <f t="shared" si="128"/>
        <v>-1.1216678563516873E-2</v>
      </c>
      <c r="BI50" s="6">
        <f t="shared" si="128"/>
        <v>-1.191020298427208E-2</v>
      </c>
      <c r="BJ50" s="6">
        <f t="shared" si="128"/>
        <v>-5.4603252901440106E-3</v>
      </c>
      <c r="BK50" s="6">
        <f t="shared" si="128"/>
        <v>-1.4137254463120042E-2</v>
      </c>
      <c r="BL50" s="6">
        <f t="shared" si="128"/>
        <v>-2.3496126285729394E-2</v>
      </c>
      <c r="BM50" s="6">
        <f t="shared" si="128"/>
        <v>-2.7161219038028501E-2</v>
      </c>
      <c r="BN50" s="6">
        <f t="shared" si="128"/>
        <v>-1.9313865957108094E-2</v>
      </c>
      <c r="BO50" s="6">
        <f t="shared" si="128"/>
        <v>-1.4991153726068681E-2</v>
      </c>
      <c r="BP50" s="6">
        <f t="shared" si="122"/>
        <v>-1.3172592152798045E-2</v>
      </c>
      <c r="BQ50" s="6">
        <f t="shared" si="122"/>
        <v>-1.0829718412276522E-2</v>
      </c>
      <c r="BR50" s="6">
        <f t="shared" si="122"/>
        <v>-1.1535056337699232E-2</v>
      </c>
      <c r="BS50" s="6">
        <f>BS23/BS12</f>
        <v>-9.0849732856852009E-3</v>
      </c>
      <c r="BT50" s="6">
        <f t="shared" si="128"/>
        <v>-1.0192374712118639E-2</v>
      </c>
      <c r="BU50" s="6">
        <f t="shared" si="128"/>
        <v>-8.6718620927556788E-3</v>
      </c>
      <c r="BV50" s="6">
        <f t="shared" si="128"/>
        <v>-8.05600175893415E-3</v>
      </c>
      <c r="BW50" s="6">
        <f t="shared" si="128"/>
        <v>-7.7961042093058113E-3</v>
      </c>
      <c r="BX50" s="6">
        <f t="shared" si="128"/>
        <v>-8.1094772225829524E-3</v>
      </c>
      <c r="BY50" s="6">
        <f t="shared" si="128"/>
        <v>-8.4635954443787187E-3</v>
      </c>
      <c r="BZ50" s="6">
        <f t="shared" si="128"/>
        <v>-8.5502639352693244E-3</v>
      </c>
      <c r="CA50" s="6">
        <f t="shared" si="128"/>
        <v>-8.4864422683709421E-3</v>
      </c>
      <c r="CB50" s="6">
        <f t="shared" si="128"/>
        <v>-8.4422851855035837E-3</v>
      </c>
      <c r="CC50" s="6">
        <f t="shared" si="128"/>
        <v>-8.5896325583987767E-3</v>
      </c>
      <c r="CD50" s="6">
        <f t="shared" si="128"/>
        <v>-8.7222171554892647E-3</v>
      </c>
      <c r="CE50" s="6">
        <f t="shared" si="128"/>
        <v>-8.8447132659862718E-3</v>
      </c>
      <c r="CF50" s="11"/>
      <c r="CG50" s="11"/>
      <c r="CH50" s="11"/>
      <c r="CI50" s="11"/>
      <c r="CJ50" s="11"/>
      <c r="CK50" s="11"/>
      <c r="CL50" s="11"/>
      <c r="CM50" s="11"/>
      <c r="CN50" s="240">
        <f t="shared" si="16"/>
        <v>43</v>
      </c>
    </row>
    <row r="51" spans="1:99" outlineLevel="1">
      <c r="A51" s="145"/>
      <c r="B51" s="46" t="s">
        <v>250</v>
      </c>
      <c r="C51" s="133"/>
      <c r="D51" s="133">
        <f t="shared" ref="D51:Q51" si="129">IF(ISERROR((D18-C18)/(D12-C12)),"NM",IF(ABS((D18-C18)/(D12-C12))&gt;2,"NM",(D18-C18)/(D12-C12)))</f>
        <v>-4.5845976323774844E-2</v>
      </c>
      <c r="E51" s="133">
        <f t="shared" si="129"/>
        <v>0.22465743155324466</v>
      </c>
      <c r="F51" s="133">
        <f t="shared" si="129"/>
        <v>0.55279578297834087</v>
      </c>
      <c r="G51" s="133">
        <f t="shared" si="129"/>
        <v>0.53500642058046777</v>
      </c>
      <c r="H51" s="133">
        <f t="shared" si="129"/>
        <v>0.40545496936965431</v>
      </c>
      <c r="I51" s="133">
        <f t="shared" si="129"/>
        <v>-2.1082141369253977E-2</v>
      </c>
      <c r="J51" s="133">
        <f t="shared" si="129"/>
        <v>1.9809418919242439</v>
      </c>
      <c r="K51" s="133">
        <f t="shared" si="129"/>
        <v>0.31169472436775636</v>
      </c>
      <c r="L51" s="133">
        <f t="shared" si="129"/>
        <v>0.48819036991429554</v>
      </c>
      <c r="M51" s="133">
        <f t="shared" si="129"/>
        <v>0.27997853668021516</v>
      </c>
      <c r="N51" s="133">
        <f t="shared" si="129"/>
        <v>0.47656746931900962</v>
      </c>
      <c r="O51" s="133">
        <f t="shared" si="129"/>
        <v>0.41017189028607659</v>
      </c>
      <c r="P51" s="133">
        <f t="shared" si="129"/>
        <v>0.37891126648911949</v>
      </c>
      <c r="Q51" s="133">
        <f t="shared" si="129"/>
        <v>0.2915511580791863</v>
      </c>
      <c r="R51" s="71"/>
      <c r="S51" s="201"/>
      <c r="T51" s="133">
        <f t="shared" ref="T51:AY51" si="130">IF(ISERROR((T18-S18)/(T12-S12)),"NM",IF(ABS((T18-S18)/(T12-S12))&gt;2,"NM",(T18-S18)/(T12-S12)))</f>
        <v>0.26014296545001625</v>
      </c>
      <c r="U51" s="133">
        <f t="shared" si="130"/>
        <v>0.46219448777951067</v>
      </c>
      <c r="V51" s="133">
        <f t="shared" si="130"/>
        <v>0.52049653579676747</v>
      </c>
      <c r="W51" s="133">
        <f t="shared" si="130"/>
        <v>1.1721404303510685</v>
      </c>
      <c r="X51" s="133">
        <f t="shared" si="130"/>
        <v>0.62008993877661611</v>
      </c>
      <c r="Y51" s="133">
        <f t="shared" si="130"/>
        <v>0.47684493576337073</v>
      </c>
      <c r="Z51" s="133">
        <f t="shared" si="130"/>
        <v>0.33644400785854617</v>
      </c>
      <c r="AA51" s="133">
        <f t="shared" si="130"/>
        <v>0.316511513963743</v>
      </c>
      <c r="AB51" s="133">
        <f t="shared" si="130"/>
        <v>-8.9330719686361817E-2</v>
      </c>
      <c r="AC51" s="133" t="str">
        <f t="shared" si="130"/>
        <v>NM</v>
      </c>
      <c r="AD51" s="133">
        <f t="shared" si="130"/>
        <v>1.2745314222712218</v>
      </c>
      <c r="AE51" s="133">
        <f t="shared" si="130"/>
        <v>0.51110285619943885</v>
      </c>
      <c r="AF51" s="133">
        <f t="shared" si="130"/>
        <v>-0.4843268708099292</v>
      </c>
      <c r="AG51" s="133">
        <f t="shared" si="130"/>
        <v>0.81685946626961392</v>
      </c>
      <c r="AH51" s="133">
        <f t="shared" si="130"/>
        <v>0.31849254261363696</v>
      </c>
      <c r="AI51" s="133">
        <f t="shared" si="130"/>
        <v>0.62904086205057308</v>
      </c>
      <c r="AJ51" s="133">
        <f t="shared" si="130"/>
        <v>0.54462606402574987</v>
      </c>
      <c r="AK51" s="133">
        <f t="shared" si="130"/>
        <v>0.53050575599455851</v>
      </c>
      <c r="AL51" s="133">
        <f t="shared" si="130"/>
        <v>1.2269986383972007</v>
      </c>
      <c r="AM51" s="133">
        <f t="shared" si="130"/>
        <v>0.36413902053712505</v>
      </c>
      <c r="AN51" s="133">
        <f t="shared" si="130"/>
        <v>0.48482603039733879</v>
      </c>
      <c r="AO51" s="133">
        <f t="shared" si="130"/>
        <v>0.71058059971825305</v>
      </c>
      <c r="AP51" s="133">
        <f t="shared" si="130"/>
        <v>0.45911082265130632</v>
      </c>
      <c r="AQ51" s="133">
        <f t="shared" si="130"/>
        <v>0.60368485969780994</v>
      </c>
      <c r="AR51" s="133">
        <f t="shared" si="130"/>
        <v>0.41430889456702219</v>
      </c>
      <c r="AS51" s="133">
        <f t="shared" si="130"/>
        <v>0.24154648816262228</v>
      </c>
      <c r="AT51" s="133">
        <f t="shared" si="130"/>
        <v>0.5363209712799063</v>
      </c>
      <c r="AU51" s="133">
        <f t="shared" si="130"/>
        <v>0.66493599958875482</v>
      </c>
      <c r="AV51" s="133">
        <f t="shared" si="130"/>
        <v>0.58948166877370678</v>
      </c>
      <c r="AW51" s="133" t="str">
        <f t="shared" si="130"/>
        <v>NM</v>
      </c>
      <c r="AX51" s="133">
        <f t="shared" si="130"/>
        <v>0.63966339208321266</v>
      </c>
      <c r="AY51" s="133" t="str">
        <f t="shared" si="130"/>
        <v>NM</v>
      </c>
      <c r="AZ51" s="133">
        <f t="shared" ref="AZ51:CE51" si="131">IF(ISERROR((AZ18-AY18)/(AZ12-AY12)),"NM",IF(ABS((AZ18-AY18)/(AZ12-AY12))&gt;2,"NM",(AZ18-AY18)/(AZ12-AY12)))</f>
        <v>0.75166020715758941</v>
      </c>
      <c r="BA51" s="133">
        <f t="shared" si="131"/>
        <v>0.305465427626398</v>
      </c>
      <c r="BB51" s="133">
        <f t="shared" si="131"/>
        <v>0.5346744151393239</v>
      </c>
      <c r="BC51" s="133" t="str">
        <f t="shared" si="131"/>
        <v>NM</v>
      </c>
      <c r="BD51" s="133">
        <f t="shared" si="131"/>
        <v>2.9365780708313628E-2</v>
      </c>
      <c r="BE51" s="133">
        <f t="shared" si="131"/>
        <v>0.46813492894908726</v>
      </c>
      <c r="BF51" s="133">
        <f t="shared" si="131"/>
        <v>0.2803212427020324</v>
      </c>
      <c r="BG51" s="133">
        <f t="shared" si="131"/>
        <v>1.6668113174795933</v>
      </c>
      <c r="BH51" s="133">
        <f t="shared" si="131"/>
        <v>0.52926935061256275</v>
      </c>
      <c r="BI51" s="133">
        <f t="shared" si="131"/>
        <v>0.50932756876092333</v>
      </c>
      <c r="BJ51" s="133">
        <f t="shared" si="131"/>
        <v>-0.93523775727465519</v>
      </c>
      <c r="BK51" s="133">
        <f t="shared" si="131"/>
        <v>0.29532678916016342</v>
      </c>
      <c r="BL51" s="133">
        <f t="shared" si="131"/>
        <v>0.35139446266030328</v>
      </c>
      <c r="BM51" s="133">
        <f t="shared" si="131"/>
        <v>0.14643035338525276</v>
      </c>
      <c r="BN51" s="133">
        <f t="shared" si="131"/>
        <v>0.45207687161710119</v>
      </c>
      <c r="BO51" s="133">
        <f t="shared" si="131"/>
        <v>0.39323476603196483</v>
      </c>
      <c r="BP51" s="133">
        <f t="shared" si="131"/>
        <v>0.42231788594694109</v>
      </c>
      <c r="BQ51" s="133">
        <f t="shared" si="131"/>
        <v>0.59375713817520914</v>
      </c>
      <c r="BR51" s="133">
        <f t="shared" si="131"/>
        <v>0.44238041806923517</v>
      </c>
      <c r="BS51" s="133">
        <f t="shared" si="131"/>
        <v>0.84402745995423367</v>
      </c>
      <c r="BT51" s="133">
        <f t="shared" si="131"/>
        <v>0.6497837527688276</v>
      </c>
      <c r="BU51" s="133">
        <f t="shared" si="131"/>
        <v>0.46153471826210124</v>
      </c>
      <c r="BV51" s="133">
        <f t="shared" si="131"/>
        <v>0.36559838360085267</v>
      </c>
      <c r="BW51" s="133">
        <f t="shared" si="131"/>
        <v>0.45357893828113316</v>
      </c>
      <c r="BX51" s="133">
        <f t="shared" si="131"/>
        <v>0.25911453674466844</v>
      </c>
      <c r="BY51" s="133">
        <f t="shared" si="131"/>
        <v>0.26038356494714848</v>
      </c>
      <c r="BZ51" s="133">
        <f t="shared" si="131"/>
        <v>0.29918799752601555</v>
      </c>
      <c r="CA51" s="133">
        <f t="shared" si="131"/>
        <v>0.30380979726059026</v>
      </c>
      <c r="CB51" s="133">
        <f t="shared" si="131"/>
        <v>0.29182559373997391</v>
      </c>
      <c r="CC51" s="133">
        <f t="shared" si="131"/>
        <v>-2.6443407256765975E-2</v>
      </c>
      <c r="CD51" s="133">
        <f t="shared" si="131"/>
        <v>0.20691408519684473</v>
      </c>
      <c r="CE51" s="133">
        <f t="shared" si="131"/>
        <v>0.23321870678606862</v>
      </c>
      <c r="CF51" s="4"/>
      <c r="CG51" s="4"/>
      <c r="CH51" s="4"/>
      <c r="CI51" s="4"/>
      <c r="CJ51" s="4"/>
      <c r="CK51" s="4"/>
      <c r="CL51" s="4"/>
      <c r="CM51" s="4"/>
      <c r="CN51" s="240">
        <f t="shared" si="16"/>
        <v>44</v>
      </c>
    </row>
    <row r="52" spans="1:99" outlineLevel="1">
      <c r="A52" s="144"/>
      <c r="B52" s="45" t="s">
        <v>301</v>
      </c>
      <c r="C52" s="134"/>
      <c r="D52" s="134">
        <f t="shared" ref="D52:Q52" si="132">IF(ISERROR((D15-C15)/(D10-C10)),"NM",IF(ABS((D15-C15)/(D10-C10))&gt;2,"NM",(D15-C15)/(D10-C10)))</f>
        <v>0.28633498254514467</v>
      </c>
      <c r="E52" s="134">
        <f t="shared" si="132"/>
        <v>0.1603276735875937</v>
      </c>
      <c r="F52" s="134">
        <f t="shared" si="132"/>
        <v>0.52398755500550065</v>
      </c>
      <c r="G52" s="134">
        <f t="shared" si="132"/>
        <v>0.51907318693802307</v>
      </c>
      <c r="H52" s="134">
        <f t="shared" si="132"/>
        <v>0.39758935166770842</v>
      </c>
      <c r="I52" s="134">
        <f t="shared" si="132"/>
        <v>4.3729926874849848E-3</v>
      </c>
      <c r="J52" s="134" t="str">
        <f t="shared" si="132"/>
        <v>NM</v>
      </c>
      <c r="K52" s="134">
        <f t="shared" si="132"/>
        <v>0.29145931554717419</v>
      </c>
      <c r="L52" s="134">
        <f t="shared" si="132"/>
        <v>0.48135826591481601</v>
      </c>
      <c r="M52" s="134">
        <f t="shared" si="132"/>
        <v>0.23690427912250647</v>
      </c>
      <c r="N52" s="134">
        <f t="shared" si="132"/>
        <v>0.47700877026471511</v>
      </c>
      <c r="O52" s="134">
        <f t="shared" si="132"/>
        <v>0.4103220782400398</v>
      </c>
      <c r="P52" s="134">
        <f t="shared" si="132"/>
        <v>0.39042291794932654</v>
      </c>
      <c r="Q52" s="134">
        <f t="shared" si="132"/>
        <v>0.31000000000000089</v>
      </c>
      <c r="R52" s="67"/>
      <c r="S52" s="108"/>
      <c r="T52" s="67"/>
      <c r="U52" s="134">
        <f t="shared" ref="U52:AZ52" si="133">IF(ISERROR((U15-T15)/(U10-T10)),"NM",IF(ABS((U15-T15)/(U10-T10))&gt;2,"NM",(U15-T15)/(U10-T10)))</f>
        <v>0.31771028621422281</v>
      </c>
      <c r="V52" s="134">
        <f t="shared" si="133"/>
        <v>0.5792771452586537</v>
      </c>
      <c r="W52" s="134">
        <f t="shared" si="133"/>
        <v>1.8654867256637218</v>
      </c>
      <c r="X52" s="134">
        <f t="shared" si="133"/>
        <v>0.63215632499142971</v>
      </c>
      <c r="Y52" s="134">
        <f t="shared" si="133"/>
        <v>0.16732488048222793</v>
      </c>
      <c r="Z52" s="134">
        <f t="shared" si="133"/>
        <v>0.36939092975948351</v>
      </c>
      <c r="AA52" s="134">
        <f t="shared" si="133"/>
        <v>-8.5527658705857698E-2</v>
      </c>
      <c r="AB52" s="134">
        <f t="shared" si="133"/>
        <v>0.69606498575799236</v>
      </c>
      <c r="AC52" s="134">
        <f t="shared" si="133"/>
        <v>0.43643263757116335</v>
      </c>
      <c r="AD52" s="134">
        <f t="shared" si="133"/>
        <v>1.6596654275092868</v>
      </c>
      <c r="AE52" s="134">
        <f t="shared" si="133"/>
        <v>0.5007085916740478</v>
      </c>
      <c r="AF52" s="134">
        <f t="shared" si="133"/>
        <v>-0.47101081812035189</v>
      </c>
      <c r="AG52" s="134">
        <f t="shared" si="133"/>
        <v>0.79119167756805553</v>
      </c>
      <c r="AH52" s="134">
        <f t="shared" si="133"/>
        <v>0.19930685443943258</v>
      </c>
      <c r="AI52" s="134">
        <f t="shared" si="133"/>
        <v>0.69515116203793603</v>
      </c>
      <c r="AJ52" s="134">
        <f t="shared" si="133"/>
        <v>0.54223521767381444</v>
      </c>
      <c r="AK52" s="134">
        <f t="shared" si="133"/>
        <v>0.34354618903922896</v>
      </c>
      <c r="AL52" s="134">
        <f t="shared" si="133"/>
        <v>0.45496135037072055</v>
      </c>
      <c r="AM52" s="134">
        <f t="shared" si="133"/>
        <v>0.35912110373019951</v>
      </c>
      <c r="AN52" s="134">
        <f t="shared" si="133"/>
        <v>0.48370475795845563</v>
      </c>
      <c r="AO52" s="134">
        <f t="shared" si="133"/>
        <v>0.66020213856745247</v>
      </c>
      <c r="AP52" s="134">
        <f t="shared" si="133"/>
        <v>0.43901578414998499</v>
      </c>
      <c r="AQ52" s="134">
        <f t="shared" si="133"/>
        <v>0.63842651339852086</v>
      </c>
      <c r="AR52" s="134">
        <f t="shared" si="133"/>
        <v>0.44047728147510079</v>
      </c>
      <c r="AS52" s="134">
        <f t="shared" si="133"/>
        <v>0.18915354177981206</v>
      </c>
      <c r="AT52" s="134">
        <f t="shared" si="133"/>
        <v>0.54304581991393597</v>
      </c>
      <c r="AU52" s="134">
        <f t="shared" si="133"/>
        <v>0.58001521683997181</v>
      </c>
      <c r="AV52" s="134">
        <f t="shared" si="133"/>
        <v>0.72121246652612525</v>
      </c>
      <c r="AW52" s="134" t="str">
        <f t="shared" si="133"/>
        <v>NM</v>
      </c>
      <c r="AX52" s="134">
        <f t="shared" si="133"/>
        <v>0.48720053151991188</v>
      </c>
      <c r="AY52" s="134" t="str">
        <f t="shared" si="133"/>
        <v>NM</v>
      </c>
      <c r="AZ52" s="134">
        <f t="shared" si="133"/>
        <v>0.72857002746174948</v>
      </c>
      <c r="BA52" s="134">
        <f t="shared" ref="BA52:CE52" si="134">IF(ISERROR((BA15-AZ15)/(BA10-AZ10)),"NM",IF(ABS((BA15-AZ15)/(BA10-AZ10))&gt;2,"NM",(BA15-AZ15)/(BA10-AZ10)))</f>
        <v>0.2499083913521439</v>
      </c>
      <c r="BB52" s="134">
        <f t="shared" si="134"/>
        <v>0.60214423809244799</v>
      </c>
      <c r="BC52" s="134" t="str">
        <f t="shared" si="134"/>
        <v>NM</v>
      </c>
      <c r="BD52" s="134">
        <f t="shared" si="134"/>
        <v>2.7812895069531877E-2</v>
      </c>
      <c r="BE52" s="134">
        <f t="shared" si="134"/>
        <v>0.46462245873265956</v>
      </c>
      <c r="BF52" s="134">
        <f t="shared" si="134"/>
        <v>0.11846475581252419</v>
      </c>
      <c r="BG52" s="134">
        <f t="shared" si="134"/>
        <v>1.574710386805418</v>
      </c>
      <c r="BH52" s="134">
        <f t="shared" si="134"/>
        <v>0.52587181331564636</v>
      </c>
      <c r="BI52" s="134">
        <f t="shared" si="134"/>
        <v>0.50265429624487945</v>
      </c>
      <c r="BJ52" s="134">
        <f t="shared" si="134"/>
        <v>-0.9782511210762328</v>
      </c>
      <c r="BK52" s="134">
        <f t="shared" si="134"/>
        <v>0.18015776129213859</v>
      </c>
      <c r="BL52" s="134">
        <f t="shared" si="134"/>
        <v>0.29895676893370543</v>
      </c>
      <c r="BM52" s="134">
        <f t="shared" si="134"/>
        <v>0.14540729861032642</v>
      </c>
      <c r="BN52" s="134">
        <f t="shared" si="134"/>
        <v>0.40813975213302572</v>
      </c>
      <c r="BO52" s="134">
        <f t="shared" si="134"/>
        <v>0.41146362006781478</v>
      </c>
      <c r="BP52" s="134">
        <f t="shared" si="134"/>
        <v>0.42606185674729624</v>
      </c>
      <c r="BQ52" s="134">
        <f t="shared" si="134"/>
        <v>0.59387088974854929</v>
      </c>
      <c r="BR52" s="134">
        <f t="shared" si="134"/>
        <v>0.45582646569025115</v>
      </c>
      <c r="BS52" s="134">
        <f t="shared" si="134"/>
        <v>0.86515297114890277</v>
      </c>
      <c r="BT52" s="134">
        <f t="shared" si="134"/>
        <v>0.67889630889194452</v>
      </c>
      <c r="BU52" s="134">
        <f t="shared" si="134"/>
        <v>0.46353641670618273</v>
      </c>
      <c r="BV52" s="134">
        <f t="shared" si="134"/>
        <v>0.36746617028156514</v>
      </c>
      <c r="BW52" s="134">
        <f t="shared" si="134"/>
        <v>0.46229784483955583</v>
      </c>
      <c r="BX52" s="134">
        <f t="shared" si="134"/>
        <v>0.31000000000000388</v>
      </c>
      <c r="BY52" s="134">
        <f t="shared" si="134"/>
        <v>0.31000000000000122</v>
      </c>
      <c r="BZ52" s="134">
        <f t="shared" si="134"/>
        <v>0.30999999999999922</v>
      </c>
      <c r="CA52" s="134">
        <f t="shared" si="134"/>
        <v>0.30999999999999983</v>
      </c>
      <c r="CB52" s="134">
        <f t="shared" si="134"/>
        <v>0.31000000000000139</v>
      </c>
      <c r="CC52" s="134">
        <f t="shared" si="134"/>
        <v>0.31000000000000444</v>
      </c>
      <c r="CD52" s="134">
        <f t="shared" si="134"/>
        <v>0.30999999999998862</v>
      </c>
      <c r="CE52" s="134">
        <f t="shared" si="134"/>
        <v>0.31000000000000444</v>
      </c>
      <c r="CF52" s="4"/>
      <c r="CG52" s="4"/>
      <c r="CH52" s="4"/>
      <c r="CI52" s="4"/>
      <c r="CJ52" s="4"/>
      <c r="CK52" s="4"/>
      <c r="CL52" s="4"/>
      <c r="CM52" s="4"/>
      <c r="CN52" s="240">
        <f t="shared" si="16"/>
        <v>45</v>
      </c>
    </row>
    <row r="53" spans="1:99" outlineLevel="1">
      <c r="A53" s="144"/>
      <c r="B53" s="45" t="s">
        <v>302</v>
      </c>
      <c r="C53" s="134"/>
      <c r="D53" s="134">
        <f t="shared" ref="D53:Q53" si="135">IF(ISERROR((D16-C16)/(D11-C11)),"NM",IF(ABS((D16-C16)/(D11-C11))&gt;2,"NM",(D16-C16)/(D11-C11)))</f>
        <v>1.2253258845437616</v>
      </c>
      <c r="E53" s="134">
        <f t="shared" si="135"/>
        <v>0.85590647807272391</v>
      </c>
      <c r="F53" s="134">
        <f t="shared" si="135"/>
        <v>0.61804644566566169</v>
      </c>
      <c r="G53" s="134">
        <f t="shared" si="135"/>
        <v>0.74511625690870931</v>
      </c>
      <c r="H53" s="134">
        <f t="shared" si="135"/>
        <v>0.72667413365916544</v>
      </c>
      <c r="I53" s="134">
        <f t="shared" si="135"/>
        <v>-0.50400480576692241</v>
      </c>
      <c r="J53" s="134">
        <f t="shared" si="135"/>
        <v>0.98587086385122968</v>
      </c>
      <c r="K53" s="134">
        <f t="shared" si="135"/>
        <v>0.65272431445692236</v>
      </c>
      <c r="L53" s="134">
        <f t="shared" si="135"/>
        <v>0.63959420544080425</v>
      </c>
      <c r="M53" s="134">
        <f t="shared" si="135"/>
        <v>0.78387335253779289</v>
      </c>
      <c r="N53" s="134">
        <f t="shared" si="135"/>
        <v>0.76191106405505504</v>
      </c>
      <c r="O53" s="134">
        <f t="shared" si="135"/>
        <v>0.45821070499126704</v>
      </c>
      <c r="P53" s="134">
        <f t="shared" si="135"/>
        <v>0.31367153501245554</v>
      </c>
      <c r="Q53" s="134">
        <f t="shared" si="135"/>
        <v>0.25537087654057794</v>
      </c>
      <c r="R53" s="67"/>
      <c r="S53" s="108"/>
      <c r="T53" s="67"/>
      <c r="U53" s="134">
        <f t="shared" ref="U53:AZ53" si="136">IF(ISERROR((U16-T16)/(U11-T11)),"NM",IF(ABS((U16-T16)/(U11-T11))&gt;2,"NM",(U16-T16)/(U11-T11)))</f>
        <v>0.69895769466584912</v>
      </c>
      <c r="V53" s="134">
        <f t="shared" si="136"/>
        <v>-7.282184655396641E-2</v>
      </c>
      <c r="W53" s="134">
        <f t="shared" si="136"/>
        <v>-3.144654088049972E-3</v>
      </c>
      <c r="X53" s="134">
        <f t="shared" si="136"/>
        <v>0.50051652892561926</v>
      </c>
      <c r="Y53" s="134">
        <f t="shared" si="136"/>
        <v>0.60611854684512478</v>
      </c>
      <c r="Z53" s="134">
        <f t="shared" si="136"/>
        <v>0.68075117370893479</v>
      </c>
      <c r="AA53" s="134">
        <f t="shared" si="136"/>
        <v>0.79166666666666752</v>
      </c>
      <c r="AB53" s="134" t="str">
        <f t="shared" si="136"/>
        <v>NM</v>
      </c>
      <c r="AC53" s="134">
        <f t="shared" si="136"/>
        <v>-0.26790830945558719</v>
      </c>
      <c r="AD53" s="134">
        <f t="shared" si="136"/>
        <v>0.74742547425474304</v>
      </c>
      <c r="AE53" s="134">
        <f t="shared" si="136"/>
        <v>0.66262135922330467</v>
      </c>
      <c r="AF53" s="134">
        <f t="shared" si="136"/>
        <v>-0.16750629722921345</v>
      </c>
      <c r="AG53" s="134">
        <f t="shared" si="136"/>
        <v>0.9496096522356271</v>
      </c>
      <c r="AH53" s="134">
        <f t="shared" si="136"/>
        <v>0.895632183908045</v>
      </c>
      <c r="AI53" s="134">
        <f t="shared" si="136"/>
        <v>0.6116233124794207</v>
      </c>
      <c r="AJ53" s="134">
        <f t="shared" si="136"/>
        <v>0.44134727061556323</v>
      </c>
      <c r="AK53" s="134">
        <f t="shared" si="136"/>
        <v>1.4960176448964584</v>
      </c>
      <c r="AL53" s="134" t="str">
        <f t="shared" si="136"/>
        <v>NM</v>
      </c>
      <c r="AM53" s="134">
        <f t="shared" si="136"/>
        <v>0.34402332361516741</v>
      </c>
      <c r="AN53" s="134">
        <f t="shared" si="136"/>
        <v>0.60474913826120169</v>
      </c>
      <c r="AO53" s="134">
        <f t="shared" si="136"/>
        <v>0.84012818230372088</v>
      </c>
      <c r="AP53" s="134">
        <f t="shared" si="136"/>
        <v>0.78065655822169866</v>
      </c>
      <c r="AQ53" s="134" t="str">
        <f t="shared" si="136"/>
        <v>NM</v>
      </c>
      <c r="AR53" s="134">
        <f t="shared" si="136"/>
        <v>0.39596602972398887</v>
      </c>
      <c r="AS53" s="134">
        <f t="shared" si="136"/>
        <v>0.89984748347737709</v>
      </c>
      <c r="AT53" s="134">
        <f t="shared" si="136"/>
        <v>0.37749224634470585</v>
      </c>
      <c r="AU53" s="134">
        <f t="shared" si="136"/>
        <v>1.4503816793893203</v>
      </c>
      <c r="AV53" s="134">
        <f t="shared" si="136"/>
        <v>-0.45413669064748358</v>
      </c>
      <c r="AW53" s="134">
        <f t="shared" si="136"/>
        <v>-0.37971239797901429</v>
      </c>
      <c r="AX53" s="134">
        <f t="shared" si="136"/>
        <v>1.7201332698714926</v>
      </c>
      <c r="AY53" s="134">
        <f t="shared" si="136"/>
        <v>0.46419753086419041</v>
      </c>
      <c r="AZ53" s="134">
        <f t="shared" si="136"/>
        <v>0.91189691339526613</v>
      </c>
      <c r="BA53" s="134">
        <f t="shared" ref="BA53:CE53" si="137">IF(ISERROR((BA16-AZ16)/(BA11-AZ11)),"NM",IF(ABS((BA16-AZ16)/(BA11-AZ11))&gt;2,"NM",(BA16-AZ16)/(BA11-AZ11)))</f>
        <v>0.51564310544611769</v>
      </c>
      <c r="BB53" s="134">
        <f t="shared" si="137"/>
        <v>1.9039451114922885</v>
      </c>
      <c r="BC53" s="134">
        <f t="shared" si="137"/>
        <v>1.3584158415841705</v>
      </c>
      <c r="BD53" s="134">
        <f t="shared" si="137"/>
        <v>0.67563291139240289</v>
      </c>
      <c r="BE53" s="134">
        <f t="shared" si="137"/>
        <v>0.38364272262577365</v>
      </c>
      <c r="BF53" s="134">
        <f t="shared" si="137"/>
        <v>1.0730747611017419</v>
      </c>
      <c r="BG53" s="134">
        <f t="shared" si="137"/>
        <v>0.91243013042320897</v>
      </c>
      <c r="BH53" s="134">
        <f t="shared" si="137"/>
        <v>0.59939199459550752</v>
      </c>
      <c r="BI53" s="134">
        <f t="shared" si="137"/>
        <v>0.81394986766308597</v>
      </c>
      <c r="BJ53" s="134">
        <f t="shared" si="137"/>
        <v>0.42261904761904684</v>
      </c>
      <c r="BK53" s="134">
        <f t="shared" si="137"/>
        <v>0.50393700787401563</v>
      </c>
      <c r="BL53" s="134">
        <f t="shared" si="137"/>
        <v>1.0883352208380521</v>
      </c>
      <c r="BM53" s="134">
        <f t="shared" si="137"/>
        <v>0.47394136807817633</v>
      </c>
      <c r="BN53" s="134">
        <f t="shared" si="137"/>
        <v>1.6502590673575113</v>
      </c>
      <c r="BO53" s="134">
        <f t="shared" si="137"/>
        <v>1.1731092436974746</v>
      </c>
      <c r="BP53" s="134">
        <f t="shared" si="137"/>
        <v>1.0089605734766975</v>
      </c>
      <c r="BQ53" s="134">
        <f t="shared" si="137"/>
        <v>0.86124737210932045</v>
      </c>
      <c r="BR53" s="134">
        <f t="shared" si="137"/>
        <v>0.53105590062111785</v>
      </c>
      <c r="BS53" s="134">
        <f t="shared" si="137"/>
        <v>0.26647564469914015</v>
      </c>
      <c r="BT53" s="134">
        <f t="shared" si="137"/>
        <v>0.67295828994916407</v>
      </c>
      <c r="BU53" s="134">
        <f t="shared" si="137"/>
        <v>0.27500000000000041</v>
      </c>
      <c r="BV53" s="134">
        <f t="shared" si="137"/>
        <v>0.27999999999999992</v>
      </c>
      <c r="BW53" s="134">
        <f t="shared" si="137"/>
        <v>0.28499999999999986</v>
      </c>
      <c r="BX53" s="134">
        <f t="shared" si="137"/>
        <v>0.2900000000000002</v>
      </c>
      <c r="BY53" s="134">
        <f t="shared" si="137"/>
        <v>0.4</v>
      </c>
      <c r="BZ53" s="134">
        <f t="shared" si="137"/>
        <v>0.30999999999999994</v>
      </c>
      <c r="CA53" s="134">
        <f t="shared" si="137"/>
        <v>0.32000000000000034</v>
      </c>
      <c r="CB53" s="134">
        <f t="shared" si="137"/>
        <v>0.21999999999999981</v>
      </c>
      <c r="CC53" s="134">
        <f t="shared" si="137"/>
        <v>0.22000000000000017</v>
      </c>
      <c r="CD53" s="134">
        <f t="shared" si="137"/>
        <v>0.21999999999999995</v>
      </c>
      <c r="CE53" s="134">
        <f t="shared" si="137"/>
        <v>0.22000000000000025</v>
      </c>
      <c r="CF53" s="4"/>
      <c r="CG53" s="4"/>
      <c r="CH53" s="4"/>
      <c r="CI53" s="4"/>
      <c r="CJ53" s="4"/>
      <c r="CK53" s="4"/>
      <c r="CL53" s="4"/>
      <c r="CM53" s="4"/>
      <c r="CN53" s="240">
        <f t="shared" si="16"/>
        <v>46</v>
      </c>
    </row>
    <row r="54" spans="1:99" outlineLevel="1">
      <c r="A54" s="144"/>
      <c r="B54" s="40" t="s">
        <v>182</v>
      </c>
      <c r="C54" s="68" t="str">
        <f t="shared" ref="C54:Q54" si="138">IF(ISERROR((C25-B25)/(C12-B12)),"NM",IF(ABS((C25-B25)/(C12-B12))&gt;2,"NM",(C25-B25)/(C12-B12)))</f>
        <v>NM</v>
      </c>
      <c r="D54" s="68">
        <f t="shared" si="138"/>
        <v>-0.38555066455831505</v>
      </c>
      <c r="E54" s="68">
        <f t="shared" si="138"/>
        <v>1.102002131180016E-2</v>
      </c>
      <c r="F54" s="68">
        <f t="shared" si="138"/>
        <v>0.59491411692273655</v>
      </c>
      <c r="G54" s="68">
        <f t="shared" si="138"/>
        <v>0.52953958636909781</v>
      </c>
      <c r="H54" s="68">
        <f t="shared" si="138"/>
        <v>0.34543230850409651</v>
      </c>
      <c r="I54" s="68">
        <f t="shared" si="138"/>
        <v>-0.34586342174697843</v>
      </c>
      <c r="J54" s="68">
        <f t="shared" si="138"/>
        <v>1.9609021476285076</v>
      </c>
      <c r="K54" s="68">
        <f t="shared" si="138"/>
        <v>0.2745354300266431</v>
      </c>
      <c r="L54" s="68">
        <f t="shared" si="138"/>
        <v>0.52560189199989193</v>
      </c>
      <c r="M54" s="68">
        <f t="shared" si="138"/>
        <v>0.17954403532847479</v>
      </c>
      <c r="N54" s="68">
        <f t="shared" si="138"/>
        <v>0.53858283896275116</v>
      </c>
      <c r="O54" s="68">
        <f t="shared" si="138"/>
        <v>0.39599326111988281</v>
      </c>
      <c r="P54" s="68">
        <f t="shared" si="138"/>
        <v>0.31675425774502747</v>
      </c>
      <c r="Q54" s="68">
        <f t="shared" si="138"/>
        <v>8.423336952694388E-2</v>
      </c>
      <c r="R54" s="68"/>
      <c r="S54" s="4"/>
      <c r="T54" s="68">
        <f t="shared" ref="T54:AY54" si="139">IF(ISERROR((T25-S25)/(T12-S12)),"NM",IF(ABS((T25-S25)/(T12-S12))&gt;2,"NM",(T25-S25)/(T12-S12)))</f>
        <v>0.15415357955160838</v>
      </c>
      <c r="U54" s="68">
        <f t="shared" si="139"/>
        <v>0.43380135205408171</v>
      </c>
      <c r="V54" s="68">
        <f t="shared" si="139"/>
        <v>0.5131351039260974</v>
      </c>
      <c r="W54" s="68">
        <f t="shared" si="139"/>
        <v>1.0237825594563934</v>
      </c>
      <c r="X54" s="68">
        <f t="shared" si="139"/>
        <v>0.66072492821151874</v>
      </c>
      <c r="Y54" s="68">
        <f t="shared" si="139"/>
        <v>0.48132656109949279</v>
      </c>
      <c r="Z54" s="68">
        <f t="shared" si="139"/>
        <v>0.27934675834970496</v>
      </c>
      <c r="AA54" s="68">
        <f t="shared" si="139"/>
        <v>0.11154662747019449</v>
      </c>
      <c r="AB54" s="68">
        <f t="shared" si="139"/>
        <v>-0.31018388873331487</v>
      </c>
      <c r="AC54" s="68" t="str">
        <f t="shared" si="139"/>
        <v>NM</v>
      </c>
      <c r="AD54" s="68">
        <f t="shared" si="139"/>
        <v>1.548180815876512</v>
      </c>
      <c r="AE54" s="68">
        <f t="shared" si="139"/>
        <v>0.41365362390622412</v>
      </c>
      <c r="AF54" s="68">
        <f t="shared" si="139"/>
        <v>-0.83747055626019118</v>
      </c>
      <c r="AG54" s="68">
        <f t="shared" si="139"/>
        <v>0.70776543351277077</v>
      </c>
      <c r="AH54" s="68">
        <f t="shared" si="139"/>
        <v>0.28551136363636354</v>
      </c>
      <c r="AI54" s="68">
        <f t="shared" si="139"/>
        <v>0.80390483303104632</v>
      </c>
      <c r="AJ54" s="68">
        <f t="shared" si="139"/>
        <v>0.54873674209373147</v>
      </c>
      <c r="AK54" s="68">
        <f t="shared" si="139"/>
        <v>0.56636143991228938</v>
      </c>
      <c r="AL54" s="68">
        <f t="shared" si="139"/>
        <v>0.89301692277767075</v>
      </c>
      <c r="AM54" s="68">
        <f t="shared" si="139"/>
        <v>0.38818127962085308</v>
      </c>
      <c r="AN54" s="68">
        <f t="shared" si="139"/>
        <v>0.4876088853760146</v>
      </c>
      <c r="AO54" s="68">
        <f t="shared" si="139"/>
        <v>0.74262930167035623</v>
      </c>
      <c r="AP54" s="68">
        <f t="shared" si="139"/>
        <v>0.45231624208989141</v>
      </c>
      <c r="AQ54" s="68">
        <f t="shared" si="139"/>
        <v>0.59389454209065651</v>
      </c>
      <c r="AR54" s="68">
        <f t="shared" si="139"/>
        <v>0.30826043978588885</v>
      </c>
      <c r="AS54" s="68">
        <f t="shared" si="139"/>
        <v>0.15923856868632177</v>
      </c>
      <c r="AT54" s="68">
        <f t="shared" si="139"/>
        <v>0.49395500688670041</v>
      </c>
      <c r="AU54" s="68">
        <f t="shared" si="139"/>
        <v>0.79463321852670632</v>
      </c>
      <c r="AV54" s="68">
        <f t="shared" si="139"/>
        <v>0.45946902654867516</v>
      </c>
      <c r="AW54" s="68" t="str">
        <f t="shared" si="139"/>
        <v>NM</v>
      </c>
      <c r="AX54" s="68">
        <f t="shared" si="139"/>
        <v>0.63168159491476461</v>
      </c>
      <c r="AY54" s="68" t="str">
        <f t="shared" si="139"/>
        <v>NM</v>
      </c>
      <c r="AZ54" s="68">
        <f t="shared" ref="AZ54:CE54" si="140">IF(ISERROR((AZ25-AY25)/(AZ12-AY12)),"NM",IF(ABS((AZ25-AY25)/(AZ12-AY12))&gt;2,"NM",(AZ25-AY25)/(AZ12-AY12)))</f>
        <v>0.72727272727272763</v>
      </c>
      <c r="BA54" s="68">
        <f t="shared" si="140"/>
        <v>0.33498188691132541</v>
      </c>
      <c r="BB54" s="68">
        <f t="shared" si="140"/>
        <v>0.5360154969453137</v>
      </c>
      <c r="BC54" s="68" t="str">
        <f t="shared" si="140"/>
        <v>NM</v>
      </c>
      <c r="BD54" s="68">
        <f t="shared" si="140"/>
        <v>4.9622731289512445E-2</v>
      </c>
      <c r="BE54" s="68">
        <f t="shared" si="140"/>
        <v>0.46585489098953647</v>
      </c>
      <c r="BF54" s="68">
        <f t="shared" si="140"/>
        <v>9.5897286872903068E-2</v>
      </c>
      <c r="BG54" s="68">
        <f t="shared" si="140"/>
        <v>1.5956431175143142</v>
      </c>
      <c r="BH54" s="68">
        <f t="shared" si="140"/>
        <v>0.5261489979463212</v>
      </c>
      <c r="BI54" s="68">
        <f t="shared" si="140"/>
        <v>0.54003311562873679</v>
      </c>
      <c r="BJ54" s="68">
        <f t="shared" si="140"/>
        <v>-0.18843151171043043</v>
      </c>
      <c r="BK54" s="68">
        <f t="shared" si="140"/>
        <v>0.24876248007383206</v>
      </c>
      <c r="BL54" s="68">
        <f t="shared" si="140"/>
        <v>0.19852894633565848</v>
      </c>
      <c r="BM54" s="68">
        <f t="shared" si="140"/>
        <v>4.6315378441113129E-2</v>
      </c>
      <c r="BN54" s="68">
        <f t="shared" si="140"/>
        <v>0.57182387642157795</v>
      </c>
      <c r="BO54" s="68">
        <f t="shared" si="140"/>
        <v>0.53645290714428218</v>
      </c>
      <c r="BP54" s="68">
        <f t="shared" si="140"/>
        <v>0.43813697777547272</v>
      </c>
      <c r="BQ54" s="68">
        <f t="shared" si="140"/>
        <v>0.64978995143557994</v>
      </c>
      <c r="BR54" s="68">
        <f t="shared" si="140"/>
        <v>0.42049342697640962</v>
      </c>
      <c r="BS54" s="68">
        <f t="shared" si="140"/>
        <v>0.84835240274599577</v>
      </c>
      <c r="BT54" s="68">
        <f t="shared" si="140"/>
        <v>0.6522669794344651</v>
      </c>
      <c r="BU54" s="68">
        <f t="shared" si="140"/>
        <v>0.41161339210537223</v>
      </c>
      <c r="BV54" s="68">
        <f t="shared" si="140"/>
        <v>0.27703592138977701</v>
      </c>
      <c r="BW54" s="68">
        <f t="shared" si="140"/>
        <v>0.44906338102696952</v>
      </c>
      <c r="BX54" s="68">
        <f t="shared" si="140"/>
        <v>0.23287574274876027</v>
      </c>
      <c r="BY54" s="68">
        <f t="shared" si="140"/>
        <v>0.22017737121832248</v>
      </c>
      <c r="BZ54" s="68">
        <f t="shared" si="140"/>
        <v>0.29458603268496281</v>
      </c>
      <c r="CA54" s="68">
        <f t="shared" si="140"/>
        <v>9.4843035265788883E-2</v>
      </c>
      <c r="CB54" s="68">
        <f t="shared" si="140"/>
        <v>-0.10928511852286643</v>
      </c>
      <c r="CC54" s="68">
        <f t="shared" si="140"/>
        <v>0.41618571913867392</v>
      </c>
      <c r="CD54" s="68">
        <f t="shared" si="140"/>
        <v>0.38656898933168488</v>
      </c>
      <c r="CE54" s="68">
        <f t="shared" si="140"/>
        <v>0.3512489149674326</v>
      </c>
      <c r="CF54" s="4"/>
      <c r="CG54" s="4"/>
      <c r="CH54" s="4"/>
      <c r="CI54" s="4"/>
      <c r="CJ54" s="4"/>
      <c r="CK54" s="4"/>
      <c r="CL54" s="4"/>
      <c r="CM54" s="4"/>
      <c r="CN54" s="240">
        <f t="shared" si="16"/>
        <v>47</v>
      </c>
    </row>
    <row r="55" spans="1:99" outlineLevel="1">
      <c r="A55" s="144"/>
      <c r="B55" s="53" t="s">
        <v>119</v>
      </c>
      <c r="C55" s="6"/>
      <c r="D55" s="129">
        <f t="shared" ref="D55:Q55" si="141">IF(ISERROR((D21-C21)/(D10-C10)),"NM",IF(ABS((D21-C21)/(D10-C10))&gt;2,"NM",(D21-C21)/(D10-C10)))</f>
        <v>-0.46002963558279131</v>
      </c>
      <c r="E55" s="129">
        <f t="shared" si="141"/>
        <v>-3.4116122101034818E-2</v>
      </c>
      <c r="F55" s="129">
        <f t="shared" si="141"/>
        <v>0.56284378437843796</v>
      </c>
      <c r="G55" s="129">
        <f t="shared" si="141"/>
        <v>0.50899913191653534</v>
      </c>
      <c r="H55" s="129">
        <f t="shared" si="141"/>
        <v>0.33256861185294628</v>
      </c>
      <c r="I55" s="129">
        <f t="shared" si="141"/>
        <v>-0.28150459980766057</v>
      </c>
      <c r="J55" s="129" t="str">
        <f t="shared" si="141"/>
        <v>NM</v>
      </c>
      <c r="K55" s="129">
        <f t="shared" si="141"/>
        <v>0.25238892894780646</v>
      </c>
      <c r="L55" s="129">
        <f t="shared" si="141"/>
        <v>0.52029917505999035</v>
      </c>
      <c r="M55" s="129">
        <f t="shared" si="141"/>
        <v>0.14289028910154369</v>
      </c>
      <c r="N55" s="129">
        <f t="shared" si="141"/>
        <v>0.5301986614603289</v>
      </c>
      <c r="O55" s="129">
        <f t="shared" si="141"/>
        <v>0.39641489072427089</v>
      </c>
      <c r="P55" s="129">
        <f t="shared" si="141"/>
        <v>0.33153300940262342</v>
      </c>
      <c r="Q55" s="129">
        <f t="shared" si="141"/>
        <v>9.3205224065958922E-2</v>
      </c>
      <c r="R55" s="129"/>
      <c r="S55" s="16"/>
      <c r="T55" s="6"/>
      <c r="U55" s="129">
        <f t="shared" ref="U55:AZ55" si="142">IF(ISERROR((U21-T21)/(U10-T10)),"NM",IF(ABS((U21-T21)/(U10-T10))&gt;2,"NM",(U21-T21)/(U10-T10)))</f>
        <v>0.31771028621422281</v>
      </c>
      <c r="V55" s="129">
        <f t="shared" si="142"/>
        <v>0.5792771452586537</v>
      </c>
      <c r="W55" s="129">
        <f t="shared" si="142"/>
        <v>1.8654867256637218</v>
      </c>
      <c r="X55" s="129">
        <f t="shared" si="142"/>
        <v>0.63215632499142971</v>
      </c>
      <c r="Y55" s="129">
        <f t="shared" si="142"/>
        <v>0.16732488048222793</v>
      </c>
      <c r="Z55" s="129">
        <f t="shared" si="142"/>
        <v>0.36939092975948351</v>
      </c>
      <c r="AA55" s="129">
        <f t="shared" si="142"/>
        <v>-8.5527658705857698E-2</v>
      </c>
      <c r="AB55" s="129">
        <f t="shared" si="142"/>
        <v>-0.46692689102226065</v>
      </c>
      <c r="AC55" s="129">
        <f t="shared" si="142"/>
        <v>1.831119544592053</v>
      </c>
      <c r="AD55" s="129" t="str">
        <f t="shared" si="142"/>
        <v>NM</v>
      </c>
      <c r="AE55" s="129">
        <f t="shared" si="142"/>
        <v>0.38370239149689978</v>
      </c>
      <c r="AF55" s="129">
        <f t="shared" si="142"/>
        <v>-0.72134888438133915</v>
      </c>
      <c r="AG55" s="129">
        <f t="shared" si="142"/>
        <v>0.70211175481218457</v>
      </c>
      <c r="AH55" s="129">
        <f t="shared" si="142"/>
        <v>0.14776102981626144</v>
      </c>
      <c r="AI55" s="129">
        <f t="shared" si="142"/>
        <v>0.73049783129410217</v>
      </c>
      <c r="AJ55" s="129">
        <f t="shared" si="142"/>
        <v>0.46596816114359996</v>
      </c>
      <c r="AK55" s="129">
        <f t="shared" si="142"/>
        <v>0.51983354424218808</v>
      </c>
      <c r="AL55" s="129">
        <f t="shared" si="142"/>
        <v>0.89477835620760404</v>
      </c>
      <c r="AM55" s="129">
        <f t="shared" si="142"/>
        <v>0.39938681655595309</v>
      </c>
      <c r="AN55" s="129">
        <f t="shared" si="142"/>
        <v>0.48069612841623571</v>
      </c>
      <c r="AO55" s="129">
        <f t="shared" si="142"/>
        <v>0.62648308188076729</v>
      </c>
      <c r="AP55" s="129">
        <f t="shared" si="142"/>
        <v>0.44416739196913751</v>
      </c>
      <c r="AQ55" s="129">
        <f t="shared" si="142"/>
        <v>0.57449428976636474</v>
      </c>
      <c r="AR55" s="129">
        <f t="shared" si="142"/>
        <v>0.3537088289741383</v>
      </c>
      <c r="AS55" s="129">
        <f t="shared" si="142"/>
        <v>0.12404634442806532</v>
      </c>
      <c r="AT55" s="129">
        <f t="shared" si="142"/>
        <v>0.49711764865084274</v>
      </c>
      <c r="AU55" s="129">
        <f t="shared" si="142"/>
        <v>0.70606137458787821</v>
      </c>
      <c r="AV55" s="129">
        <f t="shared" si="142"/>
        <v>0.54549598313486514</v>
      </c>
      <c r="AW55" s="129" t="str">
        <f t="shared" si="142"/>
        <v>NM</v>
      </c>
      <c r="AX55" s="129">
        <f t="shared" si="142"/>
        <v>0.53398210028530124</v>
      </c>
      <c r="AY55" s="129" t="str">
        <f t="shared" si="142"/>
        <v>NM</v>
      </c>
      <c r="AZ55" s="129">
        <f t="shared" si="142"/>
        <v>0.66496665358964302</v>
      </c>
      <c r="BA55" s="129">
        <f t="shared" ref="BA55:CE55" si="143">IF(ISERROR((BA21-AZ21)/(BA10-AZ10)),"NM",IF(ABS((BA21-AZ21)/(BA10-AZ10))&gt;2,"NM",(BA21-AZ21)/(BA10-AZ10)))</f>
        <v>0.25390585962223994</v>
      </c>
      <c r="BB55" s="129">
        <f t="shared" si="143"/>
        <v>0.5876149745152025</v>
      </c>
      <c r="BC55" s="129" t="str">
        <f t="shared" si="143"/>
        <v>NM</v>
      </c>
      <c r="BD55" s="129">
        <f t="shared" si="143"/>
        <v>-4.0380754071539529E-2</v>
      </c>
      <c r="BE55" s="129">
        <f t="shared" si="143"/>
        <v>0.44975588334065236</v>
      </c>
      <c r="BF55" s="129">
        <f t="shared" si="143"/>
        <v>9.632181080083678E-2</v>
      </c>
      <c r="BG55" s="129">
        <f t="shared" si="143"/>
        <v>1.2888932521761898</v>
      </c>
      <c r="BH55" s="129">
        <f t="shared" si="143"/>
        <v>0.54499425486001485</v>
      </c>
      <c r="BI55" s="129">
        <f t="shared" si="143"/>
        <v>0.53882702591727183</v>
      </c>
      <c r="BJ55" s="129">
        <f t="shared" si="143"/>
        <v>-1.1239910313901393</v>
      </c>
      <c r="BK55" s="129">
        <f t="shared" si="143"/>
        <v>5.2164522490374544E-2</v>
      </c>
      <c r="BL55" s="129">
        <f t="shared" si="143"/>
        <v>0.24019791890152334</v>
      </c>
      <c r="BM55" s="129">
        <f t="shared" si="143"/>
        <v>5.4818664557676984E-2</v>
      </c>
      <c r="BN55" s="129">
        <f t="shared" si="143"/>
        <v>0.53132590147599201</v>
      </c>
      <c r="BO55" s="129">
        <f t="shared" si="143"/>
        <v>0.48385633760231528</v>
      </c>
      <c r="BP55" s="129">
        <f t="shared" si="143"/>
        <v>0.46272399561151456</v>
      </c>
      <c r="BQ55" s="129">
        <f t="shared" si="143"/>
        <v>0.62153449387491932</v>
      </c>
      <c r="BR55" s="129">
        <f t="shared" si="143"/>
        <v>0.47608067523520797</v>
      </c>
      <c r="BS55" s="129">
        <f t="shared" si="143"/>
        <v>0.83420117549779849</v>
      </c>
      <c r="BT55" s="129">
        <f t="shared" si="143"/>
        <v>0.6811867996151536</v>
      </c>
      <c r="BU55" s="129">
        <f t="shared" si="143"/>
        <v>0.4184987664873131</v>
      </c>
      <c r="BV55" s="129">
        <f t="shared" si="143"/>
        <v>0.2866909285222875</v>
      </c>
      <c r="BW55" s="129">
        <f t="shared" si="143"/>
        <v>0.45805882419027816</v>
      </c>
      <c r="BX55" s="129">
        <f t="shared" si="143"/>
        <v>0.28049477918179672</v>
      </c>
      <c r="BY55" s="129">
        <f t="shared" si="143"/>
        <v>0.25367680125403086</v>
      </c>
      <c r="BZ55" s="129">
        <f t="shared" si="143"/>
        <v>0.30545929010041484</v>
      </c>
      <c r="CA55" s="129">
        <f t="shared" si="143"/>
        <v>0.11093169409583123</v>
      </c>
      <c r="CB55" s="129">
        <f t="shared" si="143"/>
        <v>-0.10553817437308885</v>
      </c>
      <c r="CC55" s="129">
        <f t="shared" si="143"/>
        <v>6.6417934805015968E-2</v>
      </c>
      <c r="CD55" s="129">
        <f t="shared" si="143"/>
        <v>0.75550568218895386</v>
      </c>
      <c r="CE55" s="129">
        <f t="shared" si="143"/>
        <v>0.51370476855900837</v>
      </c>
      <c r="CF55" s="11"/>
      <c r="CG55" s="11"/>
      <c r="CH55" s="11"/>
      <c r="CI55" s="11"/>
      <c r="CJ55" s="11"/>
      <c r="CK55" s="11"/>
      <c r="CL55" s="11"/>
      <c r="CM55" s="11"/>
      <c r="CN55" s="240">
        <f t="shared" si="16"/>
        <v>48</v>
      </c>
    </row>
    <row r="56" spans="1:99" outlineLevel="1">
      <c r="A56" s="144"/>
      <c r="B56" s="53" t="s">
        <v>120</v>
      </c>
      <c r="C56" s="6"/>
      <c r="D56" s="129">
        <f t="shared" ref="D56:Q56" si="144">IF(ISERROR((D22-C22)/(D11-C11)),"NM",IF(ABS((D22-C22)/(D11-C11))&gt;2,"NM",(D22-C22)/(D11-C11)))</f>
        <v>-7.1479730697608115E-2</v>
      </c>
      <c r="E56" s="129">
        <f t="shared" si="144"/>
        <v>0.42369049925724994</v>
      </c>
      <c r="F56" s="129">
        <f t="shared" si="144"/>
        <v>0.67631625598298151</v>
      </c>
      <c r="G56" s="129">
        <f t="shared" si="144"/>
        <v>0.77954068991804815</v>
      </c>
      <c r="H56" s="129">
        <f t="shared" si="144"/>
        <v>0.69870685266266142</v>
      </c>
      <c r="I56" s="129">
        <f t="shared" si="144"/>
        <v>-1.1533840608730539</v>
      </c>
      <c r="J56" s="129">
        <f t="shared" si="144"/>
        <v>1.0227520648278023</v>
      </c>
      <c r="K56" s="129">
        <f t="shared" si="144"/>
        <v>0.64633517203063573</v>
      </c>
      <c r="L56" s="129">
        <f t="shared" si="144"/>
        <v>0.6559517022613981</v>
      </c>
      <c r="M56" s="129">
        <f t="shared" si="144"/>
        <v>0.60310500420628654</v>
      </c>
      <c r="N56" s="129">
        <f t="shared" si="144"/>
        <v>1.8254367390153512</v>
      </c>
      <c r="O56" s="129">
        <f t="shared" si="144"/>
        <v>0.43827367563246394</v>
      </c>
      <c r="P56" s="129">
        <f t="shared" si="144"/>
        <v>0.20153284302085311</v>
      </c>
      <c r="Q56" s="129">
        <f t="shared" si="144"/>
        <v>0.10750633845699868</v>
      </c>
      <c r="R56" s="129"/>
      <c r="S56" s="16"/>
      <c r="T56" s="6"/>
      <c r="U56" s="129">
        <f t="shared" ref="U56:AZ56" si="145">IF(ISERROR((U22-T22)/(U11-T11)),"NM",IF(ABS((U22-T22)/(U11-T11))&gt;2,"NM",(U22-T22)/(U11-T11)))</f>
        <v>0.69895769466584912</v>
      </c>
      <c r="V56" s="129">
        <f t="shared" si="145"/>
        <v>-7.282184655396641E-2</v>
      </c>
      <c r="W56" s="129">
        <f t="shared" si="145"/>
        <v>-3.144654088049972E-3</v>
      </c>
      <c r="X56" s="129">
        <f t="shared" si="145"/>
        <v>0.50051652892561926</v>
      </c>
      <c r="Y56" s="129">
        <f t="shared" si="145"/>
        <v>0.60611854684512478</v>
      </c>
      <c r="Z56" s="129">
        <f t="shared" si="145"/>
        <v>0.68075117370893479</v>
      </c>
      <c r="AA56" s="129">
        <f t="shared" si="145"/>
        <v>0.79166666666666752</v>
      </c>
      <c r="AB56" s="129">
        <f t="shared" si="145"/>
        <v>0.28849270664505705</v>
      </c>
      <c r="AC56" s="129">
        <f t="shared" si="145"/>
        <v>-0.49904489016236836</v>
      </c>
      <c r="AD56" s="129">
        <f t="shared" si="145"/>
        <v>0.80460704607046052</v>
      </c>
      <c r="AE56" s="129">
        <f t="shared" si="145"/>
        <v>0.52427184466019416</v>
      </c>
      <c r="AF56" s="129">
        <f t="shared" si="145"/>
        <v>0.67128463476070532</v>
      </c>
      <c r="AG56" s="129">
        <f t="shared" si="145"/>
        <v>0.64300922640170266</v>
      </c>
      <c r="AH56" s="129">
        <f t="shared" si="145"/>
        <v>0.8204597701149422</v>
      </c>
      <c r="AI56" s="129">
        <f t="shared" si="145"/>
        <v>0.53128086927889384</v>
      </c>
      <c r="AJ56" s="129">
        <f t="shared" si="145"/>
        <v>0.67322538771606211</v>
      </c>
      <c r="AK56" s="129">
        <f t="shared" si="145"/>
        <v>0.65212596495527497</v>
      </c>
      <c r="AL56" s="129">
        <f t="shared" si="145"/>
        <v>0.12854757929883145</v>
      </c>
      <c r="AM56" s="129">
        <f t="shared" si="145"/>
        <v>-0.27113702623906771</v>
      </c>
      <c r="AN56" s="129">
        <f t="shared" si="145"/>
        <v>0.74032937571811541</v>
      </c>
      <c r="AO56" s="129">
        <f t="shared" si="145"/>
        <v>0.84190849207762142</v>
      </c>
      <c r="AP56" s="129">
        <f t="shared" si="145"/>
        <v>0.79140291476519919</v>
      </c>
      <c r="AQ56" s="129">
        <f t="shared" si="145"/>
        <v>1.7564705882352916</v>
      </c>
      <c r="AR56" s="129">
        <f t="shared" si="145"/>
        <v>0.6231422505307852</v>
      </c>
      <c r="AS56" s="129">
        <f t="shared" si="145"/>
        <v>0.81825114387392006</v>
      </c>
      <c r="AT56" s="129">
        <f t="shared" si="145"/>
        <v>0.42844483828090446</v>
      </c>
      <c r="AU56" s="129">
        <f t="shared" si="145"/>
        <v>1.3015267175572469</v>
      </c>
      <c r="AV56" s="129">
        <f t="shared" si="145"/>
        <v>-0.21447841726618683</v>
      </c>
      <c r="AW56" s="129">
        <f t="shared" si="145"/>
        <v>0.56043528954527788</v>
      </c>
      <c r="AX56" s="129">
        <f t="shared" si="145"/>
        <v>1.2084721561161356</v>
      </c>
      <c r="AY56" s="129">
        <f t="shared" si="145"/>
        <v>0.51358024691357784</v>
      </c>
      <c r="AZ56" s="129">
        <f t="shared" si="145"/>
        <v>0.93557087204075551</v>
      </c>
      <c r="BA56" s="129">
        <f t="shared" ref="BA56:CE56" si="146">IF(ISERROR((BA22-AZ22)/(BA11-AZ11)),"NM",IF(ABS((BA22-AZ22)/(BA11-AZ11))&gt;2,"NM",(BA22-AZ22)/(BA11-AZ11)))</f>
        <v>0.47682502896871332</v>
      </c>
      <c r="BB56" s="129">
        <f t="shared" si="146"/>
        <v>1.8164665523156143</v>
      </c>
      <c r="BC56" s="129">
        <f t="shared" si="146"/>
        <v>1.6633663366336782</v>
      </c>
      <c r="BD56" s="129">
        <f t="shared" si="146"/>
        <v>0.47072784810126456</v>
      </c>
      <c r="BE56" s="129">
        <f t="shared" si="146"/>
        <v>0.41458165186978746</v>
      </c>
      <c r="BF56" s="129">
        <f t="shared" si="146"/>
        <v>1.0749484729248635</v>
      </c>
      <c r="BG56" s="129">
        <f t="shared" si="146"/>
        <v>0.90896992281075184</v>
      </c>
      <c r="BH56" s="129">
        <f t="shared" si="146"/>
        <v>0.62599223104205381</v>
      </c>
      <c r="BI56" s="129">
        <f t="shared" si="146"/>
        <v>0.83527946442472389</v>
      </c>
      <c r="BJ56" s="129">
        <f t="shared" si="146"/>
        <v>0.33333333333333287</v>
      </c>
      <c r="BK56" s="129">
        <f t="shared" si="146"/>
        <v>0.43779527559055137</v>
      </c>
      <c r="BL56" s="129">
        <f t="shared" si="146"/>
        <v>0.83216308040770082</v>
      </c>
      <c r="BM56" s="129">
        <f t="shared" si="146"/>
        <v>0.28610206297502744</v>
      </c>
      <c r="BN56" s="129" t="str">
        <f t="shared" si="146"/>
        <v>NM</v>
      </c>
      <c r="BO56" s="129">
        <f t="shared" si="146"/>
        <v>0.95798319327730963</v>
      </c>
      <c r="BP56" s="129" t="str">
        <f t="shared" si="146"/>
        <v>NM</v>
      </c>
      <c r="BQ56" s="129">
        <f t="shared" si="146"/>
        <v>1.3188507358093891</v>
      </c>
      <c r="BR56" s="129">
        <f t="shared" si="146"/>
        <v>0.66097308488612894</v>
      </c>
      <c r="BS56" s="129">
        <f t="shared" si="146"/>
        <v>0.43553008595988413</v>
      </c>
      <c r="BT56" s="129">
        <f t="shared" si="146"/>
        <v>0.68098780900041533</v>
      </c>
      <c r="BU56" s="129">
        <f t="shared" si="146"/>
        <v>-0.21604896126832648</v>
      </c>
      <c r="BV56" s="129">
        <f t="shared" si="146"/>
        <v>-0.15311637667008673</v>
      </c>
      <c r="BW56" s="129">
        <f t="shared" si="146"/>
        <v>0.27541052409621525</v>
      </c>
      <c r="BX56" s="129">
        <f t="shared" si="146"/>
        <v>0.27671226735608295</v>
      </c>
      <c r="BY56" s="129">
        <f t="shared" si="146"/>
        <v>0.38842717127068388</v>
      </c>
      <c r="BZ56" s="129">
        <f t="shared" si="146"/>
        <v>0.30496037554385169</v>
      </c>
      <c r="CA56" s="129">
        <f t="shared" si="146"/>
        <v>-2.6276632134701456E-2</v>
      </c>
      <c r="CB56" s="129">
        <f t="shared" si="146"/>
        <v>-8.2677900403521562E-2</v>
      </c>
      <c r="CC56" s="129">
        <f t="shared" si="146"/>
        <v>0.23762993480910069</v>
      </c>
      <c r="CD56" s="129">
        <f t="shared" si="146"/>
        <v>0.24931338422484439</v>
      </c>
      <c r="CE56" s="129">
        <f t="shared" si="146"/>
        <v>0.24553022281540848</v>
      </c>
      <c r="CF56" s="11"/>
      <c r="CG56" s="11"/>
      <c r="CH56" s="11"/>
      <c r="CI56" s="11"/>
      <c r="CJ56" s="11"/>
      <c r="CK56" s="11"/>
      <c r="CL56" s="11"/>
      <c r="CM56" s="11"/>
      <c r="CN56" s="240">
        <f t="shared" si="16"/>
        <v>49</v>
      </c>
    </row>
    <row r="57" spans="1:99" outlineLevel="1">
      <c r="A57" s="144"/>
      <c r="B57" s="53"/>
      <c r="C57" s="6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6"/>
      <c r="T57" s="6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1"/>
      <c r="CG57" s="11"/>
      <c r="CH57" s="11"/>
      <c r="CI57" s="11"/>
      <c r="CJ57" s="11"/>
      <c r="CK57" s="11"/>
      <c r="CL57" s="11"/>
      <c r="CM57" s="11"/>
      <c r="CN57" s="240">
        <f t="shared" si="16"/>
        <v>50</v>
      </c>
    </row>
    <row r="58" spans="1:99" outlineLevel="1">
      <c r="A58" s="144"/>
      <c r="B58" s="139" t="s">
        <v>305</v>
      </c>
      <c r="C58" s="6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6"/>
      <c r="T58" s="6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1"/>
      <c r="CG58" s="11"/>
      <c r="CH58" s="11"/>
      <c r="CI58" s="11"/>
      <c r="CJ58" s="11"/>
      <c r="CK58" s="11"/>
      <c r="CL58" s="11"/>
      <c r="CM58" s="11"/>
      <c r="CN58" s="240">
        <f t="shared" si="16"/>
        <v>51</v>
      </c>
    </row>
    <row r="59" spans="1:99" s="112" customFormat="1" hidden="1" outlineLevel="2">
      <c r="A59" s="144"/>
      <c r="B59" s="41" t="s">
        <v>178</v>
      </c>
      <c r="C59" s="70">
        <f t="shared" ref="C59:F62" si="147">SUMIF($T$5:$BT$5,C$5,$T59:$BT59)</f>
        <v>-46.710999999999999</v>
      </c>
      <c r="D59" s="70">
        <f t="shared" si="147"/>
        <v>-78.506</v>
      </c>
      <c r="E59" s="70">
        <f t="shared" si="147"/>
        <v>-118.40300000000001</v>
      </c>
      <c r="F59" s="70">
        <f t="shared" si="147"/>
        <v>-130.58000000000001</v>
      </c>
      <c r="G59" s="70">
        <f t="shared" ref="G59:Q62" si="148">SUMIF($T$5:$CF$5,G$5,$T59:$CF59)</f>
        <v>-133.36000000000001</v>
      </c>
      <c r="H59" s="70">
        <f t="shared" si="148"/>
        <v>-177.38200000000001</v>
      </c>
      <c r="I59" s="70">
        <f t="shared" si="148"/>
        <v>-214.80199999999999</v>
      </c>
      <c r="J59" s="70">
        <f t="shared" si="148"/>
        <v>-213.12799999999999</v>
      </c>
      <c r="K59" s="70">
        <f t="shared" si="148"/>
        <v>-230.81300000000002</v>
      </c>
      <c r="L59" s="70">
        <f t="shared" si="148"/>
        <v>-270.97699999999998</v>
      </c>
      <c r="M59" s="70">
        <f t="shared" si="148"/>
        <v>-217.25799999999998</v>
      </c>
      <c r="N59" s="70">
        <f t="shared" si="148"/>
        <v>-163.53699999999998</v>
      </c>
      <c r="O59" s="70">
        <f t="shared" si="148"/>
        <v>-171.48822321481941</v>
      </c>
      <c r="P59" s="70">
        <f t="shared" si="148"/>
        <v>-192.28704856272643</v>
      </c>
      <c r="Q59" s="70">
        <f t="shared" si="148"/>
        <v>-244.46131178354906</v>
      </c>
      <c r="R59" s="70"/>
      <c r="S59" s="70"/>
      <c r="T59" s="76">
        <f>-9.621</f>
        <v>-9.6210000000000004</v>
      </c>
      <c r="U59" s="76">
        <f>-19.547-T59</f>
        <v>-9.9260000000000002</v>
      </c>
      <c r="V59" s="76">
        <f>-29.706-U59-T59</f>
        <v>-10.159000000000001</v>
      </c>
      <c r="W59" s="76">
        <v>-10.379</v>
      </c>
      <c r="X59" s="76">
        <v>-10.705</v>
      </c>
      <c r="Y59" s="76">
        <v>-11.597</v>
      </c>
      <c r="Z59" s="76">
        <v>-11.571999999999999</v>
      </c>
      <c r="AA59" s="76">
        <v>-12.837</v>
      </c>
      <c r="AB59" s="76">
        <v>-15.263</v>
      </c>
      <c r="AC59" s="76">
        <v>-18.695</v>
      </c>
      <c r="AD59" s="76">
        <v>-20.846</v>
      </c>
      <c r="AE59" s="76">
        <v>-23.702000000000002</v>
      </c>
      <c r="AF59" s="76">
        <v>-27.326000000000001</v>
      </c>
      <c r="AG59" s="76">
        <v>-29.177</v>
      </c>
      <c r="AH59" s="76">
        <v>-30.445</v>
      </c>
      <c r="AI59" s="76">
        <v>-31.454999999999998</v>
      </c>
      <c r="AJ59" s="76">
        <v>-32.020000000000003</v>
      </c>
      <c r="AK59" s="76">
        <v>-32.375999999999998</v>
      </c>
      <c r="AL59" s="76">
        <v>-33.289000000000001</v>
      </c>
      <c r="AM59" s="76">
        <v>-32.895000000000003</v>
      </c>
      <c r="AN59" s="76">
        <v>-32.261000000000003</v>
      </c>
      <c r="AO59" s="76">
        <v>-33.384</v>
      </c>
      <c r="AP59" s="76">
        <v>-33.091000000000001</v>
      </c>
      <c r="AQ59" s="76">
        <v>-34.624000000000002</v>
      </c>
      <c r="AR59" s="76">
        <v>-39.536999999999999</v>
      </c>
      <c r="AS59" s="76">
        <v>-44.893000000000001</v>
      </c>
      <c r="AT59" s="76">
        <v>-46.475999999999999</v>
      </c>
      <c r="AU59" s="76">
        <v>-46.475999999999999</v>
      </c>
      <c r="AV59" s="76">
        <v>-51.604999999999997</v>
      </c>
      <c r="AW59" s="76">
        <v>-53.95</v>
      </c>
      <c r="AX59" s="76">
        <v>-53.95</v>
      </c>
      <c r="AY59" s="76">
        <v>-55.296999999999997</v>
      </c>
      <c r="AZ59" s="76">
        <v>-52.820999999999998</v>
      </c>
      <c r="BA59" s="76">
        <v>-52.767000000000003</v>
      </c>
      <c r="BB59" s="76">
        <v>-53.210999999999999</v>
      </c>
      <c r="BC59" s="76">
        <v>-54.329000000000001</v>
      </c>
      <c r="BD59" s="76">
        <v>-55.505000000000003</v>
      </c>
      <c r="BE59" s="76">
        <v>-56.517000000000003</v>
      </c>
      <c r="BF59" s="76">
        <v>-57.219000000000001</v>
      </c>
      <c r="BG59" s="76">
        <v>-61.572000000000003</v>
      </c>
      <c r="BH59" s="76">
        <v>-65.975999999999999</v>
      </c>
      <c r="BI59" s="76">
        <v>-69.801000000000002</v>
      </c>
      <c r="BJ59" s="76">
        <v>-69.046999999999997</v>
      </c>
      <c r="BK59" s="76">
        <v>-66.153000000000006</v>
      </c>
      <c r="BL59" s="76">
        <v>-60.636000000000003</v>
      </c>
      <c r="BM59" s="76">
        <v>-56.28</v>
      </c>
      <c r="BN59" s="76">
        <v>-51.975000000000001</v>
      </c>
      <c r="BO59" s="76">
        <v>-48.366999999999997</v>
      </c>
      <c r="BP59" s="76">
        <v>-44.662999999999997</v>
      </c>
      <c r="BQ59" s="76">
        <v>-41.262999999999998</v>
      </c>
      <c r="BR59" s="76">
        <v>-39.587000000000003</v>
      </c>
      <c r="BS59" s="76">
        <v>-38.024000000000001</v>
      </c>
      <c r="BT59" s="70">
        <f t="shared" ref="BT59:CE59" si="149">-(BT63/4)*BS264</f>
        <v>-37.961234087913972</v>
      </c>
      <c r="BU59" s="70">
        <f t="shared" si="149"/>
        <v>-41.991636472289443</v>
      </c>
      <c r="BV59" s="70">
        <f t="shared" si="149"/>
        <v>-45.724288581706638</v>
      </c>
      <c r="BW59" s="70">
        <f t="shared" si="149"/>
        <v>-45.81106407290936</v>
      </c>
      <c r="BX59" s="70">
        <f t="shared" si="149"/>
        <v>-45.937317271275063</v>
      </c>
      <c r="BY59" s="70">
        <f t="shared" si="149"/>
        <v>-46.052774288238581</v>
      </c>
      <c r="BZ59" s="70">
        <f t="shared" si="149"/>
        <v>-46.158358328394947</v>
      </c>
      <c r="CA59" s="70">
        <f t="shared" si="149"/>
        <v>-54.13859867481785</v>
      </c>
      <c r="CB59" s="70">
        <f t="shared" si="149"/>
        <v>-61.811616099263233</v>
      </c>
      <c r="CC59" s="70">
        <f t="shared" si="149"/>
        <v>-61.319996868120519</v>
      </c>
      <c r="CD59" s="70">
        <f t="shared" si="149"/>
        <v>-60.870417050386109</v>
      </c>
      <c r="CE59" s="70">
        <f t="shared" si="149"/>
        <v>-60.459281765779188</v>
      </c>
      <c r="CF59" s="11"/>
      <c r="CG59" s="11"/>
      <c r="CH59" s="11"/>
      <c r="CI59" s="11"/>
      <c r="CJ59" s="11"/>
      <c r="CK59" s="11"/>
      <c r="CL59" s="11"/>
      <c r="CM59" s="11"/>
      <c r="CN59" s="240">
        <f t="shared" si="16"/>
        <v>52</v>
      </c>
      <c r="CO59"/>
      <c r="CP59"/>
      <c r="CQ59"/>
      <c r="CR59"/>
      <c r="CS59"/>
      <c r="CT59"/>
      <c r="CU59" s="202"/>
    </row>
    <row r="60" spans="1:99" hidden="1" outlineLevel="2">
      <c r="A60" s="144"/>
      <c r="B60" s="42" t="s">
        <v>176</v>
      </c>
      <c r="C60" s="23">
        <f t="shared" si="147"/>
        <v>0</v>
      </c>
      <c r="D60" s="23">
        <f t="shared" si="147"/>
        <v>-59.436</v>
      </c>
      <c r="E60" s="23">
        <f t="shared" si="147"/>
        <v>-92.738</v>
      </c>
      <c r="F60" s="23">
        <f t="shared" si="147"/>
        <v>-101.78</v>
      </c>
      <c r="G60" s="23">
        <f t="shared" si="148"/>
        <v>-106.48</v>
      </c>
      <c r="H60" s="23">
        <f t="shared" si="148"/>
        <v>-152.25200000000001</v>
      </c>
      <c r="I60" s="23">
        <f t="shared" si="148"/>
        <v>-183.762</v>
      </c>
      <c r="J60" s="23">
        <f t="shared" si="148"/>
        <v>-181.02600000000001</v>
      </c>
      <c r="K60" s="23">
        <f t="shared" si="148"/>
        <v>-198.636</v>
      </c>
      <c r="L60" s="23">
        <f t="shared" si="148"/>
        <v>-237.77800000000002</v>
      </c>
      <c r="M60" s="23">
        <f t="shared" si="148"/>
        <v>-191.18100000000001</v>
      </c>
      <c r="N60" s="23">
        <f t="shared" si="148"/>
        <v>-145.50700000000001</v>
      </c>
      <c r="O60" s="23">
        <f t="shared" si="148"/>
        <v>-153.06938501764603</v>
      </c>
      <c r="P60" s="23">
        <f t="shared" si="148"/>
        <v>-171.63429487215802</v>
      </c>
      <c r="Q60" s="23">
        <f t="shared" si="148"/>
        <v>-218.20473705905897</v>
      </c>
      <c r="R60" s="23"/>
      <c r="S60" s="23"/>
      <c r="T60" s="23">
        <f t="shared" ref="T60:AY60" si="150">T153</f>
        <v>0</v>
      </c>
      <c r="U60" s="23">
        <f t="shared" si="150"/>
        <v>0</v>
      </c>
      <c r="V60" s="23">
        <f t="shared" si="150"/>
        <v>0</v>
      </c>
      <c r="W60" s="23">
        <f t="shared" si="150"/>
        <v>0</v>
      </c>
      <c r="X60" s="23">
        <f t="shared" si="150"/>
        <v>0</v>
      </c>
      <c r="Y60" s="23">
        <f t="shared" si="150"/>
        <v>0</v>
      </c>
      <c r="Z60" s="23">
        <f t="shared" si="150"/>
        <v>0</v>
      </c>
      <c r="AA60" s="23">
        <f t="shared" si="150"/>
        <v>0</v>
      </c>
      <c r="AB60" s="23">
        <f t="shared" si="150"/>
        <v>-11.023999999999999</v>
      </c>
      <c r="AC60" s="23">
        <f t="shared" si="150"/>
        <v>-13.964</v>
      </c>
      <c r="AD60" s="23">
        <f t="shared" si="150"/>
        <v>-15.903</v>
      </c>
      <c r="AE60" s="23">
        <f t="shared" si="150"/>
        <v>-18.545000000000002</v>
      </c>
      <c r="AF60" s="23">
        <f t="shared" si="150"/>
        <v>-21.507000000000001</v>
      </c>
      <c r="AG60" s="23">
        <f t="shared" si="150"/>
        <v>-22.937000000000001</v>
      </c>
      <c r="AH60" s="23">
        <f t="shared" si="150"/>
        <v>-23.873999999999999</v>
      </c>
      <c r="AI60" s="23">
        <f t="shared" si="150"/>
        <v>-24.420000000000005</v>
      </c>
      <c r="AJ60" s="23">
        <f t="shared" si="150"/>
        <v>-21.603000000000002</v>
      </c>
      <c r="AK60" s="23">
        <f t="shared" si="150"/>
        <v>-28.847000000000001</v>
      </c>
      <c r="AL60" s="23">
        <f t="shared" si="150"/>
        <v>-26.058999999999997</v>
      </c>
      <c r="AM60" s="23">
        <f t="shared" si="150"/>
        <v>-25.271000000000001</v>
      </c>
      <c r="AN60" s="23">
        <f t="shared" si="150"/>
        <v>-25.437999999999999</v>
      </c>
      <c r="AO60" s="23">
        <f t="shared" si="150"/>
        <v>-26.589000000000002</v>
      </c>
      <c r="AP60" s="23">
        <f t="shared" si="150"/>
        <v>-26.370000000000008</v>
      </c>
      <c r="AQ60" s="23">
        <f t="shared" si="150"/>
        <v>-28.083000000000002</v>
      </c>
      <c r="AR60" s="23">
        <f t="shared" si="150"/>
        <v>-32.817</v>
      </c>
      <c r="AS60" s="23">
        <f t="shared" si="150"/>
        <v>-37.851999999999997</v>
      </c>
      <c r="AT60" s="23">
        <f t="shared" si="150"/>
        <v>-39.549000000000014</v>
      </c>
      <c r="AU60" s="23">
        <f t="shared" si="150"/>
        <v>-42.033999999999999</v>
      </c>
      <c r="AV60" s="23">
        <f t="shared" si="150"/>
        <v>-45.118000000000002</v>
      </c>
      <c r="AW60" s="23">
        <f t="shared" si="150"/>
        <v>-45.035999999999994</v>
      </c>
      <c r="AX60" s="23">
        <f t="shared" si="150"/>
        <v>-46.232999999999997</v>
      </c>
      <c r="AY60" s="23">
        <f t="shared" si="150"/>
        <v>-47.374999999999993</v>
      </c>
      <c r="AZ60" s="23">
        <f t="shared" ref="AZ60:BQ60" si="151">AZ153</f>
        <v>-44.780999999999999</v>
      </c>
      <c r="BA60" s="23">
        <f t="shared" si="151"/>
        <v>-44.660999999999994</v>
      </c>
      <c r="BB60" s="23">
        <f t="shared" si="151"/>
        <v>-45.156999999999989</v>
      </c>
      <c r="BC60" s="23">
        <f t="shared" si="151"/>
        <v>-46.427000000000028</v>
      </c>
      <c r="BD60" s="23">
        <f t="shared" si="151"/>
        <v>-47.344000000000001</v>
      </c>
      <c r="BE60" s="23">
        <f t="shared" si="151"/>
        <v>-48.494999999999997</v>
      </c>
      <c r="BF60" s="23">
        <f t="shared" si="151"/>
        <v>-49.215000000000011</v>
      </c>
      <c r="BG60" s="23">
        <f t="shared" si="151"/>
        <v>-53.581999999999987</v>
      </c>
      <c r="BH60" s="23">
        <f t="shared" si="151"/>
        <v>-57.676000000000002</v>
      </c>
      <c r="BI60" s="23">
        <f t="shared" si="151"/>
        <v>-61.376000000000005</v>
      </c>
      <c r="BJ60" s="23">
        <f t="shared" si="151"/>
        <v>-60.725999999999985</v>
      </c>
      <c r="BK60" s="23">
        <f t="shared" si="151"/>
        <v>-58.000000000000014</v>
      </c>
      <c r="BL60" s="23">
        <f t="shared" si="151"/>
        <v>-53.618000000000002</v>
      </c>
      <c r="BM60" s="23">
        <f t="shared" si="151"/>
        <v>-49.609000000000002</v>
      </c>
      <c r="BN60" s="23">
        <f t="shared" si="151"/>
        <v>-45.652999999999984</v>
      </c>
      <c r="BO60" s="23">
        <f t="shared" si="151"/>
        <v>-42.301000000000009</v>
      </c>
      <c r="BP60" s="23">
        <f t="shared" si="151"/>
        <v>-39.494</v>
      </c>
      <c r="BQ60" s="23">
        <f t="shared" si="151"/>
        <v>-36.748000000000005</v>
      </c>
      <c r="BR60" s="23">
        <f>BR153</f>
        <v>-35.324999999999989</v>
      </c>
      <c r="BS60" s="23">
        <f>BS153</f>
        <v>-33.940000000000012</v>
      </c>
      <c r="BT60" s="23">
        <f t="shared" ref="BT60:CE60" si="152">+BS60/BS$59*BT$59</f>
        <v>-33.883975513985924</v>
      </c>
      <c r="BU60" s="23">
        <f t="shared" si="152"/>
        <v>-37.48148910870777</v>
      </c>
      <c r="BV60" s="23">
        <f t="shared" si="152"/>
        <v>-40.813232549524614</v>
      </c>
      <c r="BW60" s="23">
        <f t="shared" si="152"/>
        <v>-40.890687845427735</v>
      </c>
      <c r="BX60" s="23">
        <f t="shared" si="152"/>
        <v>-41.003380711841892</v>
      </c>
      <c r="BY60" s="23">
        <f t="shared" si="152"/>
        <v>-41.106436969882651</v>
      </c>
      <c r="BZ60" s="23">
        <f t="shared" si="152"/>
        <v>-41.20068066657177</v>
      </c>
      <c r="CA60" s="23">
        <f t="shared" si="152"/>
        <v>-48.323796523861731</v>
      </c>
      <c r="CB60" s="23">
        <f t="shared" si="152"/>
        <v>-55.172686997922234</v>
      </c>
      <c r="CC60" s="23">
        <f t="shared" si="152"/>
        <v>-54.733870547654405</v>
      </c>
      <c r="CD60" s="23">
        <f t="shared" si="152"/>
        <v>-54.332578231908933</v>
      </c>
      <c r="CE60" s="23">
        <f t="shared" si="152"/>
        <v>-53.965601281573385</v>
      </c>
      <c r="CF60" s="4"/>
      <c r="CG60" s="4"/>
      <c r="CH60" s="4"/>
      <c r="CI60" s="4"/>
      <c r="CJ60" s="4"/>
      <c r="CK60" s="4"/>
      <c r="CL60" s="4"/>
      <c r="CM60" s="4"/>
      <c r="CN60" s="240">
        <f t="shared" si="16"/>
        <v>53</v>
      </c>
    </row>
    <row r="61" spans="1:99" hidden="1" outlineLevel="2">
      <c r="A61" s="144"/>
      <c r="B61" s="42" t="s">
        <v>177</v>
      </c>
      <c r="C61" s="23">
        <f t="shared" si="147"/>
        <v>0</v>
      </c>
      <c r="D61" s="23">
        <f t="shared" si="147"/>
        <v>-18.106000000000002</v>
      </c>
      <c r="E61" s="23">
        <f t="shared" si="147"/>
        <v>-24.797999999999995</v>
      </c>
      <c r="F61" s="23">
        <f t="shared" si="147"/>
        <v>-28.085000000000001</v>
      </c>
      <c r="G61" s="23">
        <f t="shared" si="148"/>
        <v>-26.64</v>
      </c>
      <c r="H61" s="23">
        <f t="shared" si="148"/>
        <v>-27.463999999999999</v>
      </c>
      <c r="I61" s="23">
        <f t="shared" si="148"/>
        <v>-30.707000000000001</v>
      </c>
      <c r="J61" s="23">
        <f t="shared" si="148"/>
        <v>-31.417000000000002</v>
      </c>
      <c r="K61" s="23">
        <f t="shared" si="148"/>
        <v>-31.577999999999999</v>
      </c>
      <c r="L61" s="23">
        <f t="shared" si="148"/>
        <v>-32.697000000000003</v>
      </c>
      <c r="M61" s="23">
        <f t="shared" si="148"/>
        <v>-25.606000000000002</v>
      </c>
      <c r="N61" s="23">
        <f t="shared" si="148"/>
        <v>-17.57</v>
      </c>
      <c r="O61" s="23">
        <f t="shared" si="148"/>
        <v>-17.909208247055748</v>
      </c>
      <c r="P61" s="23">
        <f t="shared" si="148"/>
        <v>-20.081313639874466</v>
      </c>
      <c r="Q61" s="23">
        <f t="shared" si="148"/>
        <v>-25.530082818548113</v>
      </c>
      <c r="R61" s="23"/>
      <c r="S61" s="23"/>
      <c r="T61" s="23">
        <f t="shared" ref="T61:AY61" si="153">T177</f>
        <v>0</v>
      </c>
      <c r="U61" s="23">
        <f t="shared" si="153"/>
        <v>0</v>
      </c>
      <c r="V61" s="23">
        <f t="shared" si="153"/>
        <v>0</v>
      </c>
      <c r="W61" s="23">
        <f t="shared" si="153"/>
        <v>0</v>
      </c>
      <c r="X61" s="23">
        <f t="shared" si="153"/>
        <v>0</v>
      </c>
      <c r="Y61" s="23">
        <f t="shared" si="153"/>
        <v>0</v>
      </c>
      <c r="Z61" s="23">
        <f t="shared" si="153"/>
        <v>0</v>
      </c>
      <c r="AA61" s="23">
        <f t="shared" si="153"/>
        <v>0</v>
      </c>
      <c r="AB61" s="23">
        <f t="shared" si="153"/>
        <v>-4.0010000000000003</v>
      </c>
      <c r="AC61" s="23">
        <f t="shared" si="153"/>
        <v>-4.4850000000000003</v>
      </c>
      <c r="AD61" s="23">
        <f t="shared" si="153"/>
        <v>-4.6959999999999988</v>
      </c>
      <c r="AE61" s="23">
        <f t="shared" si="153"/>
        <v>-4.9240000000000039</v>
      </c>
      <c r="AF61" s="23">
        <f t="shared" si="153"/>
        <v>-5.59</v>
      </c>
      <c r="AG61" s="23">
        <f t="shared" si="153"/>
        <v>-6.0220000000000002</v>
      </c>
      <c r="AH61" s="23">
        <f t="shared" si="153"/>
        <v>-6.3489999999999984</v>
      </c>
      <c r="AI61" s="23">
        <f t="shared" si="153"/>
        <v>-6.836999999999998</v>
      </c>
      <c r="AJ61" s="23">
        <f t="shared" si="153"/>
        <v>-10.231</v>
      </c>
      <c r="AK61" s="23">
        <f t="shared" si="153"/>
        <v>-3.3439999999999994</v>
      </c>
      <c r="AL61" s="23">
        <f t="shared" si="153"/>
        <v>-7.0439999999999987</v>
      </c>
      <c r="AM61" s="23">
        <f t="shared" si="153"/>
        <v>-7.4660000000000029</v>
      </c>
      <c r="AN61" s="23">
        <f t="shared" si="153"/>
        <v>-6.758</v>
      </c>
      <c r="AO61" s="23">
        <f t="shared" si="153"/>
        <v>-6.7480000000000002</v>
      </c>
      <c r="AP61" s="23">
        <f t="shared" si="153"/>
        <v>-6.6749999999999998</v>
      </c>
      <c r="AQ61" s="23">
        <f t="shared" si="153"/>
        <v>-6.4589999999999987</v>
      </c>
      <c r="AR61" s="23">
        <f t="shared" si="153"/>
        <v>-6.673</v>
      </c>
      <c r="AS61" s="23">
        <f t="shared" si="153"/>
        <v>-6.9939999999999998</v>
      </c>
      <c r="AT61" s="23">
        <f t="shared" si="153"/>
        <v>-6.8789999999999996</v>
      </c>
      <c r="AU61" s="23">
        <f t="shared" si="153"/>
        <v>-6.918000000000001</v>
      </c>
      <c r="AV61" s="23">
        <f t="shared" si="153"/>
        <v>-6.3849999999999998</v>
      </c>
      <c r="AW61" s="23">
        <f t="shared" si="153"/>
        <v>-8.8040000000000003</v>
      </c>
      <c r="AX61" s="23">
        <f t="shared" si="153"/>
        <v>-7.7289999999999992</v>
      </c>
      <c r="AY61" s="23">
        <f t="shared" si="153"/>
        <v>-7.7890000000000015</v>
      </c>
      <c r="AZ61" s="23">
        <f t="shared" ref="AZ61:BQ61" si="154">AZ177</f>
        <v>-7.8680000000000003</v>
      </c>
      <c r="BA61" s="23">
        <f t="shared" si="154"/>
        <v>-7.9350000000000005</v>
      </c>
      <c r="BB61" s="23">
        <f t="shared" si="154"/>
        <v>-7.8840000000000003</v>
      </c>
      <c r="BC61" s="23">
        <f t="shared" si="154"/>
        <v>-7.73</v>
      </c>
      <c r="BD61" s="23">
        <f t="shared" si="154"/>
        <v>-7.9889999999999999</v>
      </c>
      <c r="BE61" s="23">
        <f t="shared" si="154"/>
        <v>-7.8739999999999997</v>
      </c>
      <c r="BF61" s="23">
        <f t="shared" si="154"/>
        <v>-7.8639999999999999</v>
      </c>
      <c r="BG61" s="23">
        <f t="shared" si="154"/>
        <v>-7.851</v>
      </c>
      <c r="BH61" s="23">
        <f t="shared" si="154"/>
        <v>-8.1660000000000004</v>
      </c>
      <c r="BI61" s="23">
        <f t="shared" si="154"/>
        <v>-8.3030000000000008</v>
      </c>
      <c r="BJ61" s="23">
        <f t="shared" si="154"/>
        <v>-8.1980000000000004</v>
      </c>
      <c r="BK61" s="23">
        <f t="shared" si="154"/>
        <v>-8.0300000000000011</v>
      </c>
      <c r="BL61" s="23">
        <f t="shared" si="154"/>
        <v>-6.899</v>
      </c>
      <c r="BM61" s="23">
        <f t="shared" si="154"/>
        <v>-6.5529999999999999</v>
      </c>
      <c r="BN61" s="23">
        <f t="shared" si="154"/>
        <v>-6.2049999999999992</v>
      </c>
      <c r="BO61" s="23">
        <f t="shared" si="154"/>
        <v>-5.9490000000000025</v>
      </c>
      <c r="BP61" s="23">
        <f t="shared" si="154"/>
        <v>-5.0519999999999996</v>
      </c>
      <c r="BQ61" s="23">
        <f t="shared" si="154"/>
        <v>-4.3990000000000009</v>
      </c>
      <c r="BR61" s="23">
        <f>BR177</f>
        <v>-4.1479999999999997</v>
      </c>
      <c r="BS61" s="23">
        <f>BS177</f>
        <v>-3.9710000000000001</v>
      </c>
      <c r="BT61" s="23">
        <f t="shared" ref="BT61:CE61" si="155">+BS61/BS$59*BT$59</f>
        <v>-3.9644451021225113</v>
      </c>
      <c r="BU61" s="23">
        <f t="shared" si="155"/>
        <v>-4.3853563126304795</v>
      </c>
      <c r="BV61" s="23">
        <f t="shared" si="155"/>
        <v>-4.7751722585198042</v>
      </c>
      <c r="BW61" s="23">
        <f t="shared" si="155"/>
        <v>-4.7842345737829541</v>
      </c>
      <c r="BX61" s="23">
        <f t="shared" si="155"/>
        <v>-4.7974197055605217</v>
      </c>
      <c r="BY61" s="23">
        <f t="shared" si="155"/>
        <v>-4.8094773484797866</v>
      </c>
      <c r="BZ61" s="23">
        <f t="shared" si="155"/>
        <v>-4.820503916527886</v>
      </c>
      <c r="CA61" s="23">
        <f t="shared" si="155"/>
        <v>-5.6539126693062727</v>
      </c>
      <c r="CB61" s="23">
        <f t="shared" si="155"/>
        <v>-6.4552368906525972</v>
      </c>
      <c r="CC61" s="23">
        <f t="shared" si="155"/>
        <v>-6.4038951073876138</v>
      </c>
      <c r="CD61" s="23">
        <f t="shared" si="155"/>
        <v>-6.3569436699737869</v>
      </c>
      <c r="CE61" s="23">
        <f t="shared" si="155"/>
        <v>-6.3140071505341142</v>
      </c>
      <c r="CF61" s="4"/>
      <c r="CG61" s="4"/>
      <c r="CH61" s="4"/>
      <c r="CI61" s="4"/>
      <c r="CJ61" s="4"/>
      <c r="CK61" s="4"/>
      <c r="CL61" s="4"/>
      <c r="CM61" s="4"/>
      <c r="CN61" s="240">
        <f t="shared" si="16"/>
        <v>54</v>
      </c>
    </row>
    <row r="62" spans="1:99" hidden="1" outlineLevel="2">
      <c r="A62" s="144"/>
      <c r="B62" s="42" t="s">
        <v>185</v>
      </c>
      <c r="C62" s="23">
        <f t="shared" si="147"/>
        <v>0</v>
      </c>
      <c r="D62" s="23">
        <f t="shared" si="147"/>
        <v>-0.96399999999999997</v>
      </c>
      <c r="E62" s="23">
        <f t="shared" si="147"/>
        <v>-0.86699999999999999</v>
      </c>
      <c r="F62" s="23">
        <f t="shared" si="147"/>
        <v>-0.71499999999999997</v>
      </c>
      <c r="G62" s="23">
        <f t="shared" si="148"/>
        <v>-0.24000000000000002</v>
      </c>
      <c r="H62" s="23">
        <f t="shared" si="148"/>
        <v>-0.189</v>
      </c>
      <c r="I62" s="23">
        <f t="shared" si="148"/>
        <v>-0.43</v>
      </c>
      <c r="J62" s="23">
        <f t="shared" si="148"/>
        <v>-0.68500000000000005</v>
      </c>
      <c r="K62" s="23">
        <f t="shared" si="148"/>
        <v>-0.59899999999999998</v>
      </c>
      <c r="L62" s="23">
        <f t="shared" si="148"/>
        <v>-0.502</v>
      </c>
      <c r="M62" s="23">
        <f t="shared" si="148"/>
        <v>-0.47099999999999997</v>
      </c>
      <c r="N62" s="23">
        <f t="shared" si="148"/>
        <v>-0.46</v>
      </c>
      <c r="O62" s="23">
        <f t="shared" si="148"/>
        <v>-0.5096299501176782</v>
      </c>
      <c r="P62" s="23">
        <f t="shared" si="148"/>
        <v>-0.57144005069398507</v>
      </c>
      <c r="Q62" s="23">
        <f t="shared" si="148"/>
        <v>-0.72649190594206403</v>
      </c>
      <c r="R62" s="23"/>
      <c r="S62" s="23"/>
      <c r="T62" s="23">
        <f t="shared" ref="T62:AY62" si="156">T197</f>
        <v>0</v>
      </c>
      <c r="U62" s="23">
        <f t="shared" si="156"/>
        <v>0</v>
      </c>
      <c r="V62" s="23">
        <f t="shared" si="156"/>
        <v>0</v>
      </c>
      <c r="W62" s="23">
        <f t="shared" si="156"/>
        <v>0</v>
      </c>
      <c r="X62" s="23">
        <f t="shared" si="156"/>
        <v>0</v>
      </c>
      <c r="Y62" s="23">
        <f t="shared" si="156"/>
        <v>0</v>
      </c>
      <c r="Z62" s="23">
        <f t="shared" si="156"/>
        <v>0</v>
      </c>
      <c r="AA62" s="23">
        <f t="shared" si="156"/>
        <v>0</v>
      </c>
      <c r="AB62" s="23">
        <f t="shared" si="156"/>
        <v>-0.23799999999999999</v>
      </c>
      <c r="AC62" s="23">
        <f t="shared" si="156"/>
        <v>-0.246</v>
      </c>
      <c r="AD62" s="23">
        <f t="shared" si="156"/>
        <v>-0.247</v>
      </c>
      <c r="AE62" s="23">
        <f t="shared" si="156"/>
        <v>-0.23299999999999998</v>
      </c>
      <c r="AF62" s="23">
        <f t="shared" si="156"/>
        <v>-0.22900000000000001</v>
      </c>
      <c r="AG62" s="23">
        <f t="shared" si="156"/>
        <v>-0.218</v>
      </c>
      <c r="AH62" s="23">
        <f t="shared" si="156"/>
        <v>-0.22200000000000006</v>
      </c>
      <c r="AI62" s="23">
        <f t="shared" si="156"/>
        <v>-0.19799999999999993</v>
      </c>
      <c r="AJ62" s="23">
        <f t="shared" si="156"/>
        <v>-0.186</v>
      </c>
      <c r="AK62" s="23">
        <f t="shared" si="156"/>
        <v>-0.185</v>
      </c>
      <c r="AL62" s="23">
        <f t="shared" si="156"/>
        <v>-0.18600000000000005</v>
      </c>
      <c r="AM62" s="23">
        <f t="shared" si="156"/>
        <v>-0.15799999999999992</v>
      </c>
      <c r="AN62" s="23">
        <f t="shared" si="156"/>
        <v>-6.5000000000000002E-2</v>
      </c>
      <c r="AO62" s="23">
        <f t="shared" si="156"/>
        <v>-4.7E-2</v>
      </c>
      <c r="AP62" s="23">
        <f t="shared" si="156"/>
        <v>-4.5999999999999999E-2</v>
      </c>
      <c r="AQ62" s="23">
        <f t="shared" si="156"/>
        <v>-8.2000000000000017E-2</v>
      </c>
      <c r="AR62" s="23">
        <f t="shared" si="156"/>
        <v>-4.7E-2</v>
      </c>
      <c r="AS62" s="23">
        <f t="shared" si="156"/>
        <v>-4.7E-2</v>
      </c>
      <c r="AT62" s="23">
        <f t="shared" si="156"/>
        <v>-4.7999999999999987E-2</v>
      </c>
      <c r="AU62" s="23">
        <f t="shared" si="156"/>
        <v>-4.7000000000000014E-2</v>
      </c>
      <c r="AV62" s="23">
        <f t="shared" si="156"/>
        <v>-6.7000000000000004E-2</v>
      </c>
      <c r="AW62" s="23">
        <f t="shared" si="156"/>
        <v>-0.10999999999999999</v>
      </c>
      <c r="AX62" s="23">
        <f t="shared" si="156"/>
        <v>-0.12</v>
      </c>
      <c r="AY62" s="23">
        <f t="shared" si="156"/>
        <v>-0.13300000000000001</v>
      </c>
      <c r="AZ62" s="23">
        <f t="shared" ref="AZ62:BQ62" si="157">AZ197</f>
        <v>-0.17199999999999999</v>
      </c>
      <c r="BA62" s="23">
        <f t="shared" si="157"/>
        <v>-0.17100000000000004</v>
      </c>
      <c r="BB62" s="23">
        <f t="shared" si="157"/>
        <v>-0.16999999999999998</v>
      </c>
      <c r="BC62" s="23">
        <f t="shared" si="157"/>
        <v>-0.1720000000000001</v>
      </c>
      <c r="BD62" s="23">
        <f t="shared" si="157"/>
        <v>-0.17199999999999999</v>
      </c>
      <c r="BE62" s="23">
        <f t="shared" si="157"/>
        <v>-0.14800000000000002</v>
      </c>
      <c r="BF62" s="23">
        <f t="shared" si="157"/>
        <v>-0.14000000000000001</v>
      </c>
      <c r="BG62" s="23">
        <f t="shared" si="157"/>
        <v>-0.13899999999999996</v>
      </c>
      <c r="BH62" s="23">
        <f t="shared" si="157"/>
        <v>-0.13400000000000001</v>
      </c>
      <c r="BI62" s="23">
        <f t="shared" si="157"/>
        <v>-0.39500000000000002</v>
      </c>
      <c r="BJ62" s="23">
        <f t="shared" si="157"/>
        <v>0.15000000000000002</v>
      </c>
      <c r="BK62" s="23">
        <f t="shared" si="157"/>
        <v>-0.123</v>
      </c>
      <c r="BL62" s="23">
        <f t="shared" si="157"/>
        <v>-0.11899999999999999</v>
      </c>
      <c r="BM62" s="23">
        <f t="shared" si="157"/>
        <v>-0.11799999999999999</v>
      </c>
      <c r="BN62" s="23">
        <f t="shared" si="157"/>
        <v>-0.11699999999999999</v>
      </c>
      <c r="BO62" s="23">
        <f t="shared" si="157"/>
        <v>-0.11699999999999999</v>
      </c>
      <c r="BP62" s="23">
        <f t="shared" si="157"/>
        <v>-0.11700000000000001</v>
      </c>
      <c r="BQ62" s="23">
        <f t="shared" si="157"/>
        <v>-0.11600000000000001</v>
      </c>
      <c r="BR62" s="23">
        <f>BR197</f>
        <v>-0.11399999999999998</v>
      </c>
      <c r="BS62" s="23">
        <f>BS197</f>
        <v>-0.11300000000000003</v>
      </c>
      <c r="BT62" s="23">
        <f t="shared" ref="BT62:CE62" si="158">+BS62/BS$59*BT$59</f>
        <v>-0.11281347180555122</v>
      </c>
      <c r="BU62" s="23">
        <f t="shared" si="158"/>
        <v>-0.12479105095120734</v>
      </c>
      <c r="BV62" s="23">
        <f t="shared" si="158"/>
        <v>-0.13588377366223572</v>
      </c>
      <c r="BW62" s="23">
        <f t="shared" si="158"/>
        <v>-0.13614165369868395</v>
      </c>
      <c r="BX62" s="23">
        <f t="shared" si="158"/>
        <v>-0.13651685387266155</v>
      </c>
      <c r="BY62" s="23">
        <f t="shared" si="158"/>
        <v>-0.13685996987615612</v>
      </c>
      <c r="BZ62" s="23">
        <f t="shared" si="158"/>
        <v>-0.13717374529530374</v>
      </c>
      <c r="CA62" s="23">
        <f t="shared" si="158"/>
        <v>-0.16088948164986369</v>
      </c>
      <c r="CB62" s="23">
        <f t="shared" si="158"/>
        <v>-0.18369221068842692</v>
      </c>
      <c r="CC62" s="23">
        <f t="shared" si="158"/>
        <v>-0.18223121307851933</v>
      </c>
      <c r="CD62" s="23">
        <f t="shared" si="158"/>
        <v>-0.18089514850340918</v>
      </c>
      <c r="CE62" s="23">
        <f t="shared" si="158"/>
        <v>-0.17967333367170862</v>
      </c>
      <c r="CF62" s="4"/>
      <c r="CG62" s="4"/>
      <c r="CH62" s="4"/>
      <c r="CI62" s="4"/>
      <c r="CJ62" s="4"/>
      <c r="CK62" s="4"/>
      <c r="CL62" s="4"/>
      <c r="CM62" s="4"/>
      <c r="CN62" s="240">
        <f t="shared" si="16"/>
        <v>55</v>
      </c>
    </row>
    <row r="63" spans="1:99" outlineLevel="1" collapsed="1">
      <c r="A63" s="144"/>
      <c r="B63" s="45" t="s">
        <v>337</v>
      </c>
      <c r="C63" s="47"/>
      <c r="D63" s="47">
        <f t="shared" ref="D63:Q63" si="159">(-D59)/C264</f>
        <v>0.29873248172543831</v>
      </c>
      <c r="E63" s="47">
        <f t="shared" si="159"/>
        <v>0.27336848861532209</v>
      </c>
      <c r="F63" s="47">
        <f t="shared" si="159"/>
        <v>0.27776182423449586</v>
      </c>
      <c r="G63" s="47">
        <f t="shared" si="159"/>
        <v>0.33657898854682483</v>
      </c>
      <c r="H63" s="47">
        <f t="shared" si="159"/>
        <v>0.39155704973544042</v>
      </c>
      <c r="I63" s="47">
        <f t="shared" si="159"/>
        <v>0.31805555555555554</v>
      </c>
      <c r="J63" s="47">
        <f t="shared" si="159"/>
        <v>0.28179382964488853</v>
      </c>
      <c r="K63" s="47">
        <f t="shared" si="159"/>
        <v>0.31778986021062722</v>
      </c>
      <c r="L63" s="47">
        <f t="shared" si="159"/>
        <v>0.31902804741794921</v>
      </c>
      <c r="M63" s="47">
        <f t="shared" si="159"/>
        <v>0.31562829145692139</v>
      </c>
      <c r="N63" s="47">
        <f t="shared" si="159"/>
        <v>0.3283967822388581</v>
      </c>
      <c r="O63" s="47">
        <f t="shared" si="159"/>
        <v>0.38629737978865808</v>
      </c>
      <c r="P63" s="47">
        <f t="shared" si="159"/>
        <v>0.35794161133017538</v>
      </c>
      <c r="Q63" s="47">
        <f t="shared" si="159"/>
        <v>0.33819549914191577</v>
      </c>
      <c r="R63" s="47"/>
      <c r="S63" s="47"/>
      <c r="T63" s="47"/>
      <c r="U63" s="47"/>
      <c r="V63" s="47"/>
      <c r="W63" s="47"/>
      <c r="X63" s="47">
        <f t="shared" ref="X63:BS63" si="160">(-X59*4)/W264</f>
        <v>0.30321913637071762</v>
      </c>
      <c r="Y63" s="47">
        <f t="shared" si="160"/>
        <v>0.29705620553410306</v>
      </c>
      <c r="Z63" s="47">
        <f t="shared" si="160"/>
        <v>0.25643468915160711</v>
      </c>
      <c r="AA63" s="47">
        <f t="shared" si="160"/>
        <v>0.22851904102821996</v>
      </c>
      <c r="AB63" s="47">
        <f t="shared" si="160"/>
        <v>0.23231619843453313</v>
      </c>
      <c r="AC63" s="47">
        <f t="shared" si="160"/>
        <v>0.23788921831855142</v>
      </c>
      <c r="AD63" s="47">
        <f t="shared" si="160"/>
        <v>0.22480985902202427</v>
      </c>
      <c r="AE63" s="47">
        <f t="shared" si="160"/>
        <v>0.23486685807856478</v>
      </c>
      <c r="AF63" s="47">
        <f t="shared" si="160"/>
        <v>0.25236074491025706</v>
      </c>
      <c r="AG63" s="47">
        <f t="shared" si="160"/>
        <v>0.25046946392049052</v>
      </c>
      <c r="AH63" s="47">
        <f t="shared" si="160"/>
        <v>0.25846407226297202</v>
      </c>
      <c r="AI63" s="47">
        <f t="shared" si="160"/>
        <v>0.26350897107516769</v>
      </c>
      <c r="AJ63" s="47">
        <f t="shared" si="160"/>
        <v>0.27244397647384155</v>
      </c>
      <c r="AK63" s="47">
        <f t="shared" si="160"/>
        <v>0.2806275461558464</v>
      </c>
      <c r="AL63" s="47">
        <f t="shared" si="160"/>
        <v>0.29932382613699715</v>
      </c>
      <c r="AM63" s="47">
        <f t="shared" si="160"/>
        <v>0.31195174918681073</v>
      </c>
      <c r="AN63" s="47">
        <f t="shared" si="160"/>
        <v>0.32568610526422059</v>
      </c>
      <c r="AO63" s="47">
        <f t="shared" si="160"/>
        <v>0.35784898288415518</v>
      </c>
      <c r="AP63" s="47">
        <f t="shared" si="160"/>
        <v>0.34263496862639525</v>
      </c>
      <c r="AQ63" s="47">
        <f t="shared" si="160"/>
        <v>0.33757693198298666</v>
      </c>
      <c r="AR63" s="47">
        <f t="shared" si="160"/>
        <v>0.34909948191789714</v>
      </c>
      <c r="AS63" s="47">
        <f t="shared" si="160"/>
        <v>0.35574591501973152</v>
      </c>
      <c r="AT63" s="47">
        <f t="shared" si="160"/>
        <v>0.32723125017602162</v>
      </c>
      <c r="AU63" s="47">
        <f t="shared" si="160"/>
        <v>0.3034057748676402</v>
      </c>
      <c r="AV63" s="47">
        <f t="shared" si="160"/>
        <v>0.3056443970623075</v>
      </c>
      <c r="AW63" s="47">
        <f t="shared" si="160"/>
        <v>0.29285318800143306</v>
      </c>
      <c r="AX63" s="47">
        <f t="shared" si="160"/>
        <v>0.28819213521259179</v>
      </c>
      <c r="AY63" s="47">
        <f t="shared" si="160"/>
        <v>0.29099319312629418</v>
      </c>
      <c r="AZ63" s="47">
        <f t="shared" si="160"/>
        <v>0.27935572755663562</v>
      </c>
      <c r="BA63" s="47">
        <f t="shared" si="160"/>
        <v>0.27823835631245991</v>
      </c>
      <c r="BB63" s="47">
        <f t="shared" si="160"/>
        <v>0.28777324694709744</v>
      </c>
      <c r="BC63" s="47">
        <f t="shared" si="160"/>
        <v>0.29493410275654192</v>
      </c>
      <c r="BD63" s="47">
        <f t="shared" si="160"/>
        <v>0.30568340935720018</v>
      </c>
      <c r="BE63" s="47">
        <f t="shared" si="160"/>
        <v>0.31940704236097966</v>
      </c>
      <c r="BF63" s="47">
        <f t="shared" si="160"/>
        <v>0.32299837143203908</v>
      </c>
      <c r="BG63" s="47">
        <f t="shared" si="160"/>
        <v>0.31749845948377881</v>
      </c>
      <c r="BH63" s="47">
        <f t="shared" si="160"/>
        <v>0.31070082636454932</v>
      </c>
      <c r="BI63" s="47">
        <f t="shared" si="160"/>
        <v>0.32555221820081343</v>
      </c>
      <c r="BJ63" s="47">
        <f t="shared" si="160"/>
        <v>0.33930021511241493</v>
      </c>
      <c r="BK63" s="47">
        <f t="shared" si="160"/>
        <v>0.35121725903686424</v>
      </c>
      <c r="BL63" s="47">
        <f t="shared" si="160"/>
        <v>0.35236331146897948</v>
      </c>
      <c r="BM63" s="47">
        <f t="shared" si="160"/>
        <v>0.3543483701580496</v>
      </c>
      <c r="BN63" s="47">
        <f t="shared" si="160"/>
        <v>0.35540709412390187</v>
      </c>
      <c r="BO63" s="47">
        <f t="shared" si="160"/>
        <v>0.35875906317799988</v>
      </c>
      <c r="BP63" s="47">
        <f t="shared" si="160"/>
        <v>0.35874904113770267</v>
      </c>
      <c r="BQ63" s="47">
        <f t="shared" si="160"/>
        <v>0.35476056907161541</v>
      </c>
      <c r="BR63" s="47">
        <f t="shared" si="160"/>
        <v>0.35699744112905957</v>
      </c>
      <c r="BS63" s="47">
        <f t="shared" si="160"/>
        <v>0.34204856722634275</v>
      </c>
      <c r="BT63" s="130">
        <f>BS63</f>
        <v>0.34204856722634275</v>
      </c>
      <c r="BU63" s="130">
        <f t="shared" ref="BU63:CE63" si="161">BT63</f>
        <v>0.34204856722634275</v>
      </c>
      <c r="BV63" s="130">
        <f t="shared" si="161"/>
        <v>0.34204856722634275</v>
      </c>
      <c r="BW63" s="130">
        <f t="shared" si="161"/>
        <v>0.34204856722634275</v>
      </c>
      <c r="BX63" s="130">
        <f t="shared" si="161"/>
        <v>0.34204856722634275</v>
      </c>
      <c r="BY63" s="130">
        <f t="shared" si="161"/>
        <v>0.34204856722634275</v>
      </c>
      <c r="BZ63" s="130">
        <f t="shared" si="161"/>
        <v>0.34204856722634275</v>
      </c>
      <c r="CA63" s="130">
        <f t="shared" si="161"/>
        <v>0.34204856722634275</v>
      </c>
      <c r="CB63" s="130">
        <f t="shared" si="161"/>
        <v>0.34204856722634275</v>
      </c>
      <c r="CC63" s="130">
        <f t="shared" si="161"/>
        <v>0.34204856722634275</v>
      </c>
      <c r="CD63" s="130">
        <f t="shared" si="161"/>
        <v>0.34204856722634275</v>
      </c>
      <c r="CE63" s="130">
        <f t="shared" si="161"/>
        <v>0.34204856722634275</v>
      </c>
      <c r="CF63" s="4"/>
      <c r="CG63" s="4"/>
      <c r="CH63" s="4"/>
      <c r="CI63" s="4"/>
      <c r="CJ63" s="4"/>
      <c r="CK63" s="4"/>
      <c r="CL63" s="4"/>
      <c r="CM63" s="4"/>
      <c r="CN63" s="240">
        <f t="shared" si="16"/>
        <v>56</v>
      </c>
    </row>
    <row r="64" spans="1:99" ht="12.75" customHeight="1" outlineLevel="1">
      <c r="A64" s="143"/>
      <c r="B64" s="19" t="s">
        <v>96</v>
      </c>
      <c r="C64" s="47">
        <f>AVERAGE(X64:AA64)</f>
        <v>0.17924812030075185</v>
      </c>
      <c r="D64" s="47">
        <f>AVERAGE(AB64:AE64)</f>
        <v>4.8118757259634964E-2</v>
      </c>
      <c r="E64" s="47">
        <f>AVERAGE(AF64:AI64)</f>
        <v>3.0709839358730437E-2</v>
      </c>
      <c r="F64" s="47">
        <f>AVERAGE(AJ64:AM64)</f>
        <v>1.6821572584756181E-2</v>
      </c>
      <c r="G64" s="47">
        <f>AVERAGE(AN64:AQ64)</f>
        <v>2.5814555782237653E-2</v>
      </c>
      <c r="H64" s="47">
        <f>AVERAGE(AR64:AU64)</f>
        <v>2.4158402385653182E-2</v>
      </c>
      <c r="I64" s="47">
        <f>AVERAGE(AV64:AY64)</f>
        <v>1.2701790747701048E-2</v>
      </c>
      <c r="J64" s="47">
        <f>AVERAGE(AZ64:BC64)</f>
        <v>2.3142304274801715E-2</v>
      </c>
      <c r="K64" s="47">
        <f>AVERAGE(BD64:BG64)</f>
        <v>1.4274456966822901E-2</v>
      </c>
      <c r="L64" s="47">
        <f>AVERAGE(BH64:BK64)</f>
        <v>4.6086829748094416E-2</v>
      </c>
      <c r="M64" s="47">
        <f>AVERAGE(BL64:BO64)</f>
        <v>0</v>
      </c>
      <c r="N64" s="47">
        <f>AVERAGE(BM64:BP64)</f>
        <v>0</v>
      </c>
      <c r="O64" s="47">
        <f>AVERAGE(BN64:BQ64)</f>
        <v>0</v>
      </c>
      <c r="P64" s="47">
        <f>AVERAGE(BO64:BR64)</f>
        <v>0</v>
      </c>
      <c r="Q64" s="47">
        <f>AVERAGE(BP64:BS64)</f>
        <v>0</v>
      </c>
      <c r="R64" s="47"/>
      <c r="S64" s="47"/>
      <c r="T64" s="47"/>
      <c r="U64" s="47"/>
      <c r="V64" s="47"/>
      <c r="W64" s="47"/>
      <c r="X64" s="47"/>
      <c r="Y64" s="47"/>
      <c r="Z64" s="47"/>
      <c r="AA64" s="47">
        <f t="shared" ref="AA64:BK64" si="162">(4*-AA26)/Z286</f>
        <v>0.17924812030075185</v>
      </c>
      <c r="AB64" s="47">
        <f t="shared" si="162"/>
        <v>8.47191011235955E-2</v>
      </c>
      <c r="AC64" s="47">
        <f t="shared" si="162"/>
        <v>1.8527375707992448E-2</v>
      </c>
      <c r="AD64" s="47">
        <f t="shared" si="162"/>
        <v>4.4458649620455454E-2</v>
      </c>
      <c r="AE64" s="47">
        <f t="shared" si="162"/>
        <v>4.476990258649647E-2</v>
      </c>
      <c r="AF64" s="47">
        <f t="shared" si="162"/>
        <v>3.7621483375959081E-2</v>
      </c>
      <c r="AG64" s="47">
        <f t="shared" si="162"/>
        <v>2.9577048210588583E-2</v>
      </c>
      <c r="AH64" s="47">
        <f t="shared" si="162"/>
        <v>2.7192549986305121E-2</v>
      </c>
      <c r="AI64" s="47">
        <f t="shared" si="162"/>
        <v>2.8448275862068967E-2</v>
      </c>
      <c r="AJ64" s="47">
        <f t="shared" si="162"/>
        <v>1.3619948409286329E-2</v>
      </c>
      <c r="AK64" s="47">
        <f t="shared" si="162"/>
        <v>1.5909433962264151E-2</v>
      </c>
      <c r="AL64" s="47">
        <f t="shared" si="162"/>
        <v>1.7256171590449211E-2</v>
      </c>
      <c r="AM64" s="47">
        <f t="shared" si="162"/>
        <v>2.0500736377025038E-2</v>
      </c>
      <c r="AN64" s="47">
        <f t="shared" si="162"/>
        <v>2.3964562569213733E-2</v>
      </c>
      <c r="AO64" s="47">
        <f t="shared" si="162"/>
        <v>1.7567804024496939E-2</v>
      </c>
      <c r="AP64" s="47">
        <f t="shared" si="162"/>
        <v>2.8041646008924146E-2</v>
      </c>
      <c r="AQ64" s="47">
        <f t="shared" si="162"/>
        <v>3.3684210526315789E-2</v>
      </c>
      <c r="AR64" s="47">
        <f t="shared" si="162"/>
        <v>3.5595876288659789E-2</v>
      </c>
      <c r="AS64" s="47">
        <f t="shared" si="162"/>
        <v>2.6648865153538048E-2</v>
      </c>
      <c r="AT64" s="47">
        <f t="shared" si="162"/>
        <v>2.0496822645869439E-2</v>
      </c>
      <c r="AU64" s="47">
        <f t="shared" si="162"/>
        <v>1.3892045454545454E-2</v>
      </c>
      <c r="AV64" s="47">
        <f t="shared" si="162"/>
        <v>1.1726512543039842E-2</v>
      </c>
      <c r="AW64" s="47">
        <f t="shared" si="162"/>
        <v>1.4380530973451327E-2</v>
      </c>
      <c r="AX64" s="47">
        <f t="shared" si="162"/>
        <v>1.0888888888888889E-2</v>
      </c>
      <c r="AY64" s="47">
        <f t="shared" si="162"/>
        <v>1.3811230585424132E-2</v>
      </c>
      <c r="AZ64" s="47">
        <f t="shared" si="162"/>
        <v>1.2710280373831777E-2</v>
      </c>
      <c r="BA64" s="47">
        <f t="shared" si="162"/>
        <v>4.3013698630136987E-2</v>
      </c>
      <c r="BB64" s="47">
        <f t="shared" si="162"/>
        <v>1.6845238095238094E-2</v>
      </c>
      <c r="BC64" s="47">
        <f t="shared" si="162"/>
        <v>0.02</v>
      </c>
      <c r="BD64" s="47">
        <f t="shared" si="162"/>
        <v>2.5290806754221393E-2</v>
      </c>
      <c r="BE64" s="47">
        <f t="shared" si="162"/>
        <v>2.4257425742574257E-3</v>
      </c>
      <c r="BF64" s="47">
        <f t="shared" si="162"/>
        <v>1.3881278538812785E-2</v>
      </c>
      <c r="BG64" s="47">
        <f t="shared" si="162"/>
        <v>1.55E-2</v>
      </c>
      <c r="BH64" s="47">
        <f t="shared" si="162"/>
        <v>1.2311804008908685E-2</v>
      </c>
      <c r="BI64" s="47">
        <f t="shared" si="162"/>
        <v>1.0025706940874037E-2</v>
      </c>
      <c r="BJ64" s="47">
        <f t="shared" si="162"/>
        <v>1.8214936247723135E-2</v>
      </c>
      <c r="BK64" s="47">
        <f t="shared" si="162"/>
        <v>0.1437948717948718</v>
      </c>
      <c r="BL64" s="180">
        <f t="shared" ref="BL64:BS64" si="163">IFERROR((4*-BL26)/BK286,0)</f>
        <v>0</v>
      </c>
      <c r="BM64" s="180">
        <f t="shared" si="163"/>
        <v>0</v>
      </c>
      <c r="BN64" s="180">
        <f t="shared" si="163"/>
        <v>0</v>
      </c>
      <c r="BO64" s="180">
        <f t="shared" si="163"/>
        <v>0</v>
      </c>
      <c r="BP64" s="180">
        <f t="shared" si="163"/>
        <v>0</v>
      </c>
      <c r="BQ64" s="180">
        <f t="shared" si="163"/>
        <v>0</v>
      </c>
      <c r="BR64" s="180">
        <f t="shared" si="163"/>
        <v>0</v>
      </c>
      <c r="BS64" s="180">
        <f t="shared" si="163"/>
        <v>0</v>
      </c>
      <c r="BT64" s="181">
        <v>0.02</v>
      </c>
      <c r="BU64" s="181">
        <v>0.02</v>
      </c>
      <c r="BV64" s="181">
        <v>0.02</v>
      </c>
      <c r="BW64" s="181">
        <v>0.02</v>
      </c>
      <c r="BX64" s="181">
        <v>0.02</v>
      </c>
      <c r="BY64" s="181">
        <v>0.02</v>
      </c>
      <c r="BZ64" s="181">
        <v>0.02</v>
      </c>
      <c r="CA64" s="181">
        <v>0.02</v>
      </c>
      <c r="CB64" s="181">
        <v>0.02</v>
      </c>
      <c r="CC64" s="181">
        <v>0.02</v>
      </c>
      <c r="CD64" s="181">
        <v>0.02</v>
      </c>
      <c r="CE64" s="181">
        <v>0.02</v>
      </c>
      <c r="CF64" s="4"/>
      <c r="CG64" s="4"/>
      <c r="CH64" s="4"/>
      <c r="CI64" s="4"/>
      <c r="CJ64" s="4"/>
      <c r="CK64" s="4"/>
      <c r="CL64" s="4"/>
      <c r="CM64" s="4"/>
      <c r="CN64" s="240">
        <f t="shared" si="16"/>
        <v>57</v>
      </c>
    </row>
    <row r="65" spans="1:92" ht="12.75" customHeight="1" outlineLevel="1">
      <c r="A65" s="143"/>
      <c r="B65" s="19" t="s">
        <v>135</v>
      </c>
      <c r="C65" s="47"/>
      <c r="D65" s="47"/>
      <c r="E65" s="47"/>
      <c r="F65" s="47"/>
      <c r="G65" s="47"/>
      <c r="H65" s="47">
        <f t="shared" ref="H65:Q65" si="164">H27/G256</f>
        <v>1.9922523519645824E-3</v>
      </c>
      <c r="I65" s="47">
        <f t="shared" si="164"/>
        <v>4.0578926011091577E-3</v>
      </c>
      <c r="J65" s="47">
        <f t="shared" si="164"/>
        <v>2.9584127656569936E-2</v>
      </c>
      <c r="K65" s="47">
        <f t="shared" si="164"/>
        <v>2.1839080459770117E-3</v>
      </c>
      <c r="L65" s="47">
        <f t="shared" si="164"/>
        <v>8.493655341792878E-3</v>
      </c>
      <c r="M65" s="47">
        <f t="shared" si="164"/>
        <v>7.1630161359592624E-3</v>
      </c>
      <c r="N65" s="47">
        <f t="shared" si="164"/>
        <v>1.1332347252247126E-2</v>
      </c>
      <c r="O65" s="47">
        <f t="shared" si="164"/>
        <v>1.5619385359228615E-2</v>
      </c>
      <c r="P65" s="47">
        <f t="shared" si="164"/>
        <v>1.9840011356708671E-2</v>
      </c>
      <c r="Q65" s="47">
        <f t="shared" si="164"/>
        <v>2.0147574532972716E-2</v>
      </c>
      <c r="R65" s="47"/>
      <c r="S65" s="47"/>
      <c r="T65" s="47"/>
      <c r="U65" s="47"/>
      <c r="V65" s="47"/>
      <c r="W65" s="47"/>
      <c r="X65" s="47">
        <f t="shared" ref="X65:BS65" si="165">X27*4/W256</f>
        <v>4.8091185884924663E-2</v>
      </c>
      <c r="Y65" s="47">
        <f t="shared" si="165"/>
        <v>5.6322772813430809E-2</v>
      </c>
      <c r="Z65" s="47">
        <f t="shared" si="165"/>
        <v>8.1743869209809264E-2</v>
      </c>
      <c r="AA65" s="47">
        <f t="shared" si="165"/>
        <v>5.7020669992872421E-4</v>
      </c>
      <c r="AB65" s="47">
        <f t="shared" si="165"/>
        <v>2.6383290582630996E-2</v>
      </c>
      <c r="AC65" s="47">
        <f t="shared" si="165"/>
        <v>1.4045648357160772E-2</v>
      </c>
      <c r="AD65" s="47">
        <f t="shared" si="165"/>
        <v>1.4397628625873387E-2</v>
      </c>
      <c r="AE65" s="47">
        <f t="shared" si="165"/>
        <v>8.6983535259397334E-3</v>
      </c>
      <c r="AF65" s="47">
        <f t="shared" si="165"/>
        <v>1.3884506153360681E-2</v>
      </c>
      <c r="AG65" s="47">
        <f t="shared" si="165"/>
        <v>8.3550913838120102E-3</v>
      </c>
      <c r="AH65" s="47">
        <f t="shared" si="165"/>
        <v>7.5321222862206466E-3</v>
      </c>
      <c r="AI65" s="47">
        <f t="shared" si="165"/>
        <v>1.2146978439113271E-2</v>
      </c>
      <c r="AJ65" s="47">
        <f t="shared" si="165"/>
        <v>4.3463944682252224E-2</v>
      </c>
      <c r="AK65" s="47">
        <f t="shared" si="165"/>
        <v>8.9965397923875437E-2</v>
      </c>
      <c r="AL65" s="47">
        <f t="shared" si="165"/>
        <v>5.832147937411096E-2</v>
      </c>
      <c r="AM65" s="47">
        <f t="shared" si="165"/>
        <v>2.5263157894736842E-2</v>
      </c>
      <c r="AN65" s="47">
        <f t="shared" si="165"/>
        <v>2.0494542214301626E-2</v>
      </c>
      <c r="AO65" s="47">
        <f t="shared" si="165"/>
        <v>9.4216173776498283E-3</v>
      </c>
      <c r="AP65" s="47">
        <f t="shared" si="165"/>
        <v>1.5204995927233235E-2</v>
      </c>
      <c r="AQ65" s="47">
        <f t="shared" si="165"/>
        <v>0</v>
      </c>
      <c r="AR65" s="47">
        <f t="shared" si="165"/>
        <v>1.770890979524073E-3</v>
      </c>
      <c r="AS65" s="47">
        <f t="shared" si="165"/>
        <v>1.0275732145915396E-3</v>
      </c>
      <c r="AT65" s="47">
        <f t="shared" si="165"/>
        <v>5.0069541029207224E-3</v>
      </c>
      <c r="AU65" s="47">
        <f t="shared" si="165"/>
        <v>1.1477761836441894E-3</v>
      </c>
      <c r="AV65" s="47">
        <f t="shared" si="165"/>
        <v>2.7052617340727718E-3</v>
      </c>
      <c r="AW65" s="47">
        <f t="shared" si="165"/>
        <v>2.7903732124171608E-3</v>
      </c>
      <c r="AX65" s="47">
        <f t="shared" si="165"/>
        <v>6.9144338807260158E-3</v>
      </c>
      <c r="AY65" s="47">
        <f t="shared" si="165"/>
        <v>1.7950098725542992E-3</v>
      </c>
      <c r="AZ65" s="47">
        <f t="shared" si="165"/>
        <v>1.4121301984042929E-3</v>
      </c>
      <c r="BA65" s="47">
        <f t="shared" si="165"/>
        <v>2.3339492366041038E-2</v>
      </c>
      <c r="BB65" s="47">
        <f t="shared" si="165"/>
        <v>3.1192123988692854E-3</v>
      </c>
      <c r="BC65" s="47">
        <f t="shared" si="165"/>
        <v>6.033918995509438E-2</v>
      </c>
      <c r="BD65" s="47">
        <f t="shared" si="165"/>
        <v>1.8390804597701151E-3</v>
      </c>
      <c r="BE65" s="47">
        <f t="shared" si="165"/>
        <v>5.4184634140834898E-4</v>
      </c>
      <c r="BF65" s="47">
        <f t="shared" si="165"/>
        <v>7.2189135535101966E-4</v>
      </c>
      <c r="BG65" s="47">
        <f t="shared" si="165"/>
        <v>2.3468669326449192E-3</v>
      </c>
      <c r="BH65" s="47">
        <f t="shared" si="165"/>
        <v>2.4559967253376994E-3</v>
      </c>
      <c r="BI65" s="47">
        <f t="shared" si="165"/>
        <v>2.326182476092013E-3</v>
      </c>
      <c r="BJ65" s="47">
        <f t="shared" si="165"/>
        <v>1.3473457289140394E-3</v>
      </c>
      <c r="BK65" s="47">
        <f t="shared" si="165"/>
        <v>3.3564198188598827E-2</v>
      </c>
      <c r="BL65" s="47">
        <f t="shared" si="165"/>
        <v>1.4111295171482913E-3</v>
      </c>
      <c r="BM65" s="47">
        <f t="shared" si="165"/>
        <v>3.8408627168564015E-3</v>
      </c>
      <c r="BN65" s="47">
        <f t="shared" si="165"/>
        <v>4.7823195664784867E-3</v>
      </c>
      <c r="BO65" s="47">
        <f t="shared" si="165"/>
        <v>4.9177852710893186E-3</v>
      </c>
      <c r="BP65" s="47">
        <f t="shared" si="165"/>
        <v>3.9139833883263166E-3</v>
      </c>
      <c r="BQ65" s="47">
        <f t="shared" si="165"/>
        <v>1.5732358514038546E-2</v>
      </c>
      <c r="BR65" s="47">
        <f t="shared" si="165"/>
        <v>1.551521317521381E-2</v>
      </c>
      <c r="BS65" s="47">
        <f t="shared" si="165"/>
        <v>1.361667311948923E-2</v>
      </c>
      <c r="BT65" s="182">
        <f>BS65</f>
        <v>1.361667311948923E-2</v>
      </c>
      <c r="BU65" s="182">
        <f>BT65</f>
        <v>1.361667311948923E-2</v>
      </c>
      <c r="BV65" s="182">
        <f>BU65</f>
        <v>1.361667311948923E-2</v>
      </c>
      <c r="BW65" s="182">
        <f>BV65</f>
        <v>1.361667311948923E-2</v>
      </c>
      <c r="BX65" s="182">
        <f t="shared" ref="BX65:CE65" si="166">BW65</f>
        <v>1.361667311948923E-2</v>
      </c>
      <c r="BY65" s="182">
        <f t="shared" si="166"/>
        <v>1.361667311948923E-2</v>
      </c>
      <c r="BZ65" s="182">
        <f t="shared" si="166"/>
        <v>1.361667311948923E-2</v>
      </c>
      <c r="CA65" s="182">
        <f t="shared" si="166"/>
        <v>1.361667311948923E-2</v>
      </c>
      <c r="CB65" s="182">
        <f t="shared" si="166"/>
        <v>1.361667311948923E-2</v>
      </c>
      <c r="CC65" s="182">
        <f t="shared" si="166"/>
        <v>1.361667311948923E-2</v>
      </c>
      <c r="CD65" s="182">
        <f t="shared" si="166"/>
        <v>1.361667311948923E-2</v>
      </c>
      <c r="CE65" s="182">
        <f t="shared" si="166"/>
        <v>1.361667311948923E-2</v>
      </c>
      <c r="CF65" s="4"/>
      <c r="CG65" s="4"/>
      <c r="CH65" s="4"/>
      <c r="CI65" s="4"/>
      <c r="CJ65" s="4"/>
      <c r="CK65" s="4"/>
      <c r="CL65" s="4"/>
      <c r="CM65" s="4"/>
      <c r="CN65" s="240">
        <f t="shared" si="16"/>
        <v>58</v>
      </c>
    </row>
    <row r="66" spans="1:92" outlineLevel="1">
      <c r="A66" s="144"/>
      <c r="B66" s="45" t="s">
        <v>46</v>
      </c>
      <c r="C66" s="47">
        <f t="shared" ref="C66:Q66" si="167">-C30/C29</f>
        <v>0.39365105073490703</v>
      </c>
      <c r="D66" s="47">
        <f t="shared" si="167"/>
        <v>0.39527186407170833</v>
      </c>
      <c r="E66" s="47">
        <f t="shared" si="167"/>
        <v>0.41380937162336967</v>
      </c>
      <c r="F66" s="47">
        <f t="shared" si="167"/>
        <v>0.31043242307026159</v>
      </c>
      <c r="G66" s="47">
        <f t="shared" si="167"/>
        <v>0.38836654204488097</v>
      </c>
      <c r="H66" s="47">
        <f t="shared" si="167"/>
        <v>0.37985938920252538</v>
      </c>
      <c r="I66" s="47">
        <f t="shared" si="167"/>
        <v>0.37399348447280945</v>
      </c>
      <c r="J66" s="47">
        <f t="shared" si="167"/>
        <v>0.38291071659880771</v>
      </c>
      <c r="K66" s="47">
        <f t="shared" si="167"/>
        <v>0.37167657367099105</v>
      </c>
      <c r="L66" s="47">
        <f t="shared" si="167"/>
        <v>0.36474247053688347</v>
      </c>
      <c r="M66" s="47">
        <f t="shared" si="167"/>
        <v>0.33314579256360077</v>
      </c>
      <c r="N66" s="47">
        <f t="shared" si="167"/>
        <v>0.39269600413516376</v>
      </c>
      <c r="O66" s="47">
        <f t="shared" si="167"/>
        <v>0.22247267130572176</v>
      </c>
      <c r="P66" s="47">
        <f t="shared" si="167"/>
        <v>0.22296654145522316</v>
      </c>
      <c r="Q66" s="47">
        <f t="shared" si="167"/>
        <v>0.2230468194346017</v>
      </c>
      <c r="R66" s="47"/>
      <c r="S66" s="47"/>
      <c r="T66" s="47"/>
      <c r="U66" s="47"/>
      <c r="V66" s="47"/>
      <c r="W66" s="47">
        <f t="shared" ref="W66:BS66" si="168">-W30/W29</f>
        <v>0.3627551561891959</v>
      </c>
      <c r="X66" s="47">
        <f t="shared" si="168"/>
        <v>0.37642433197265279</v>
      </c>
      <c r="Y66" s="47">
        <f t="shared" si="168"/>
        <v>0.38033794852231673</v>
      </c>
      <c r="Z66" s="47">
        <f t="shared" si="168"/>
        <v>0.38732484347714974</v>
      </c>
      <c r="AA66" s="47">
        <f t="shared" si="168"/>
        <v>0.37737361802683772</v>
      </c>
      <c r="AB66" s="47">
        <f t="shared" si="168"/>
        <v>0.36472160558147959</v>
      </c>
      <c r="AC66" s="47">
        <f t="shared" si="168"/>
        <v>0.38744276968979885</v>
      </c>
      <c r="AD66" s="47">
        <f t="shared" si="168"/>
        <v>0.36595853378177023</v>
      </c>
      <c r="AE66" s="47">
        <f t="shared" si="168"/>
        <v>0.39089463101347494</v>
      </c>
      <c r="AF66" s="47">
        <f t="shared" si="168"/>
        <v>0.38474046278924329</v>
      </c>
      <c r="AG66" s="47">
        <f t="shared" si="168"/>
        <v>0.38771504130428863</v>
      </c>
      <c r="AH66" s="47">
        <f t="shared" si="168"/>
        <v>0.39557347838319429</v>
      </c>
      <c r="AI66" s="47">
        <f t="shared" si="168"/>
        <v>0.40793176477414489</v>
      </c>
      <c r="AJ66" s="47">
        <f t="shared" si="168"/>
        <v>0.44028073693445291</v>
      </c>
      <c r="AK66" s="47">
        <f t="shared" si="168"/>
        <v>0.39974180222050093</v>
      </c>
      <c r="AL66" s="47">
        <f t="shared" si="168"/>
        <v>0.29816854767858353</v>
      </c>
      <c r="AM66" s="47">
        <f t="shared" si="168"/>
        <v>0.28895571350464733</v>
      </c>
      <c r="AN66" s="47">
        <f t="shared" si="168"/>
        <v>0.40319779094107677</v>
      </c>
      <c r="AO66" s="47">
        <f t="shared" si="168"/>
        <v>0.38407265923442729</v>
      </c>
      <c r="AP66" s="47">
        <f t="shared" si="168"/>
        <v>0.37590709217944912</v>
      </c>
      <c r="AQ66" s="47">
        <f t="shared" si="168"/>
        <v>0.38113194917050641</v>
      </c>
      <c r="AR66" s="47">
        <f t="shared" si="168"/>
        <v>0.37941942510773308</v>
      </c>
      <c r="AS66" s="47">
        <f t="shared" si="168"/>
        <v>0.38133128139216321</v>
      </c>
      <c r="AT66" s="47">
        <f t="shared" si="168"/>
        <v>0.37283173424723609</v>
      </c>
      <c r="AU66" s="47">
        <f t="shared" si="168"/>
        <v>0.3897986049789775</v>
      </c>
      <c r="AV66" s="47">
        <f t="shared" si="168"/>
        <v>0.38035296779545968</v>
      </c>
      <c r="AW66" s="47">
        <f t="shared" si="168"/>
        <v>0.38647116062141401</v>
      </c>
      <c r="AX66" s="47">
        <f t="shared" si="168"/>
        <v>0.35912738847322095</v>
      </c>
      <c r="AY66" s="47">
        <f t="shared" si="168"/>
        <v>0.38502454083105692</v>
      </c>
      <c r="AZ66" s="47">
        <f t="shared" si="168"/>
        <v>0.38933477254130466</v>
      </c>
      <c r="BA66" s="47">
        <f t="shared" si="168"/>
        <v>0.39478885893980226</v>
      </c>
      <c r="BB66" s="47">
        <f t="shared" si="168"/>
        <v>0.38095183261748211</v>
      </c>
      <c r="BC66" s="47">
        <f t="shared" si="168"/>
        <v>0.42272420561894258</v>
      </c>
      <c r="BD66" s="47">
        <f t="shared" si="168"/>
        <v>0.39383493128549224</v>
      </c>
      <c r="BE66" s="47">
        <f t="shared" si="168"/>
        <v>0.39044876178734145</v>
      </c>
      <c r="BF66" s="47">
        <f t="shared" si="168"/>
        <v>0.38645926906529238</v>
      </c>
      <c r="BG66" s="47">
        <f t="shared" si="168"/>
        <v>0.37807310566917401</v>
      </c>
      <c r="BH66" s="47">
        <f t="shared" si="168"/>
        <v>0.33049494411921232</v>
      </c>
      <c r="BI66" s="47">
        <f t="shared" si="168"/>
        <v>0.35239417335412471</v>
      </c>
      <c r="BJ66" s="47">
        <f t="shared" si="168"/>
        <v>0.34791152969094713</v>
      </c>
      <c r="BK66" s="47">
        <f t="shared" si="168"/>
        <v>0.34450596989098459</v>
      </c>
      <c r="BL66" s="47">
        <f t="shared" si="168"/>
        <v>0.35779703478582275</v>
      </c>
      <c r="BM66" s="47">
        <f t="shared" si="168"/>
        <v>0.35427995437544763</v>
      </c>
      <c r="BN66" s="47">
        <f t="shared" si="168"/>
        <v>0.30802992341453878</v>
      </c>
      <c r="BO66" s="47">
        <f t="shared" si="168"/>
        <v>0.35329983454868552</v>
      </c>
      <c r="BP66" s="47">
        <f t="shared" si="168"/>
        <v>-1.0055187637969096</v>
      </c>
      <c r="BQ66" s="47">
        <f t="shared" si="168"/>
        <v>0.36747031410062186</v>
      </c>
      <c r="BR66" s="47">
        <f t="shared" si="168"/>
        <v>0.41676839192708331</v>
      </c>
      <c r="BS66" s="47">
        <f t="shared" si="168"/>
        <v>0.39485100408575341</v>
      </c>
      <c r="BT66" s="183">
        <v>0.22500000000000001</v>
      </c>
      <c r="BU66" s="183">
        <v>0.22500000000000001</v>
      </c>
      <c r="BV66" s="183">
        <v>0.22500000000000001</v>
      </c>
      <c r="BW66" s="183">
        <v>0.22500000000000001</v>
      </c>
      <c r="BX66" s="183">
        <v>0.22500000000000001</v>
      </c>
      <c r="BY66" s="183">
        <v>0.22500000000000001</v>
      </c>
      <c r="BZ66" s="183">
        <v>0.22500000000000001</v>
      </c>
      <c r="CA66" s="183">
        <v>0.22500000000000001</v>
      </c>
      <c r="CB66" s="183">
        <v>0.22500000000000001</v>
      </c>
      <c r="CC66" s="183">
        <v>0.22500000000000001</v>
      </c>
      <c r="CD66" s="183">
        <v>0.22500000000000001</v>
      </c>
      <c r="CE66" s="183">
        <v>0.22500000000000001</v>
      </c>
      <c r="CF66" s="4"/>
      <c r="CG66" s="4"/>
      <c r="CH66" s="4"/>
      <c r="CI66" s="4"/>
      <c r="CJ66" s="4"/>
      <c r="CK66" s="4"/>
      <c r="CL66" s="4"/>
      <c r="CM66" s="4"/>
      <c r="CN66" s="240">
        <f t="shared" si="16"/>
        <v>59</v>
      </c>
    </row>
    <row r="67" spans="1:92" outlineLevel="1">
      <c r="A67" s="144"/>
      <c r="B67" s="39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4"/>
      <c r="T67" s="4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  <c r="CE67" s="56"/>
      <c r="CF67" s="4"/>
      <c r="CG67" s="4"/>
      <c r="CH67" s="4"/>
      <c r="CI67" s="4"/>
      <c r="CJ67" s="4"/>
      <c r="CK67" s="4"/>
      <c r="CL67" s="4"/>
      <c r="CM67" s="4"/>
      <c r="CN67" s="240">
        <f t="shared" si="16"/>
        <v>60</v>
      </c>
    </row>
    <row r="68" spans="1:92" outlineLevel="1">
      <c r="A68" s="144" t="s">
        <v>33</v>
      </c>
      <c r="B68" s="40" t="s">
        <v>328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  <c r="BG68" s="48"/>
      <c r="BH68" s="48"/>
      <c r="BI68" s="48"/>
      <c r="BJ68" s="48"/>
      <c r="BK68" s="48"/>
      <c r="BL68" s="48"/>
      <c r="BM68" s="48"/>
      <c r="BN68" s="48"/>
      <c r="BO68" s="48"/>
      <c r="BP68" s="48"/>
      <c r="BQ68" s="48"/>
      <c r="BR68" s="48"/>
      <c r="BS68" s="48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240">
        <f t="shared" si="16"/>
        <v>61</v>
      </c>
    </row>
    <row r="69" spans="1:92" outlineLevel="1">
      <c r="A69" s="144"/>
      <c r="B69" s="39" t="s">
        <v>36</v>
      </c>
      <c r="C69" s="152">
        <f t="shared" ref="C69:Q69" si="169">+C73+C89</f>
        <v>495.09000000000003</v>
      </c>
      <c r="D69" s="152">
        <f t="shared" si="169"/>
        <v>574.72399999999993</v>
      </c>
      <c r="E69" s="152">
        <f t="shared" si="169"/>
        <v>745.99199999999996</v>
      </c>
      <c r="F69" s="152">
        <f t="shared" si="169"/>
        <v>513.28800000000001</v>
      </c>
      <c r="G69" s="152">
        <f t="shared" si="169"/>
        <v>979.83300000000008</v>
      </c>
      <c r="H69" s="152">
        <f t="shared" si="169"/>
        <v>1683.7929999999999</v>
      </c>
      <c r="I69" s="152">
        <f t="shared" si="169"/>
        <v>1794.0150000000001</v>
      </c>
      <c r="J69" s="152">
        <f t="shared" si="169"/>
        <v>1729.732</v>
      </c>
      <c r="K69" s="152">
        <f t="shared" si="169"/>
        <v>2180.4569999999999</v>
      </c>
      <c r="L69" s="152">
        <f t="shared" si="169"/>
        <v>1175.2930000000001</v>
      </c>
      <c r="M69" s="152">
        <f t="shared" si="169"/>
        <v>679.654</v>
      </c>
      <c r="N69" s="152">
        <f t="shared" si="169"/>
        <v>1538.3509999999999</v>
      </c>
      <c r="O69" s="152">
        <f t="shared" si="169"/>
        <v>2082.1262966997301</v>
      </c>
      <c r="P69" s="152">
        <f t="shared" si="169"/>
        <v>2397.3740244116652</v>
      </c>
      <c r="Q69" s="152">
        <f t="shared" si="169"/>
        <v>2612.1875132803721</v>
      </c>
      <c r="R69" s="152"/>
      <c r="S69" s="152"/>
      <c r="T69" s="152">
        <f t="shared" ref="T69:AY69" si="170">+T73+T89</f>
        <v>77.957999999999998</v>
      </c>
      <c r="U69" s="152">
        <f t="shared" si="170"/>
        <v>85.959000000000003</v>
      </c>
      <c r="V69" s="152">
        <f t="shared" si="170"/>
        <v>99.046000000000006</v>
      </c>
      <c r="W69" s="152">
        <f t="shared" si="170"/>
        <v>100.176</v>
      </c>
      <c r="X69" s="152">
        <f t="shared" si="170"/>
        <v>114.761</v>
      </c>
      <c r="Y69" s="152">
        <f t="shared" si="170"/>
        <v>119.572</v>
      </c>
      <c r="Z69" s="152">
        <f t="shared" si="170"/>
        <v>127.929</v>
      </c>
      <c r="AA69" s="152">
        <f t="shared" si="170"/>
        <v>132.828</v>
      </c>
      <c r="AB69" s="152">
        <f t="shared" si="170"/>
        <v>142.30699999999999</v>
      </c>
      <c r="AC69" s="152">
        <f t="shared" si="170"/>
        <v>140.19900000000001</v>
      </c>
      <c r="AD69" s="152">
        <f t="shared" si="170"/>
        <v>134.81899999999999</v>
      </c>
      <c r="AE69" s="152">
        <f t="shared" si="170"/>
        <v>157.399</v>
      </c>
      <c r="AF69" s="152">
        <f t="shared" si="170"/>
        <v>169.23099999999999</v>
      </c>
      <c r="AG69" s="152">
        <f t="shared" si="170"/>
        <v>185.28399999999999</v>
      </c>
      <c r="AH69" s="152">
        <f t="shared" si="170"/>
        <v>203.46199999999999</v>
      </c>
      <c r="AI69" s="152">
        <f t="shared" si="170"/>
        <v>188.01499999999999</v>
      </c>
      <c r="AJ69" s="152">
        <f t="shared" si="170"/>
        <v>151.07900000000001</v>
      </c>
      <c r="AK69" s="152">
        <f t="shared" si="170"/>
        <v>109.98699999999999</v>
      </c>
      <c r="AL69" s="152">
        <f t="shared" si="170"/>
        <v>116.32599999999999</v>
      </c>
      <c r="AM69" s="152">
        <f t="shared" si="170"/>
        <v>135.89599999999999</v>
      </c>
      <c r="AN69" s="152">
        <f t="shared" si="170"/>
        <v>191.40299999999999</v>
      </c>
      <c r="AO69" s="152">
        <f t="shared" si="170"/>
        <v>225.53800000000001</v>
      </c>
      <c r="AP69" s="152">
        <f t="shared" si="170"/>
        <v>268.04899999999998</v>
      </c>
      <c r="AQ69" s="152">
        <f t="shared" si="170"/>
        <v>294.84300000000002</v>
      </c>
      <c r="AR69" s="152">
        <f t="shared" si="170"/>
        <v>349.40199999999999</v>
      </c>
      <c r="AS69" s="152">
        <f t="shared" si="170"/>
        <v>426.73599999999999</v>
      </c>
      <c r="AT69" s="152">
        <f t="shared" si="170"/>
        <v>463.685</v>
      </c>
      <c r="AU69" s="152">
        <f t="shared" si="170"/>
        <v>443.97</v>
      </c>
      <c r="AV69" s="152">
        <f t="shared" si="170"/>
        <v>461.52100000000002</v>
      </c>
      <c r="AW69" s="152">
        <f t="shared" si="170"/>
        <v>461.64299999999997</v>
      </c>
      <c r="AX69" s="152">
        <f t="shared" si="170"/>
        <v>436.05599999999998</v>
      </c>
      <c r="AY69" s="152">
        <f t="shared" si="170"/>
        <v>434.79500000000002</v>
      </c>
      <c r="AZ69" s="152">
        <f t="shared" ref="AZ69:CE69" si="171">+AZ73+AZ89</f>
        <v>394.01100000000002</v>
      </c>
      <c r="BA69" s="152">
        <f t="shared" si="171"/>
        <v>424.03</v>
      </c>
      <c r="BB69" s="152">
        <f t="shared" si="171"/>
        <v>458.16800000000001</v>
      </c>
      <c r="BC69" s="152">
        <f t="shared" si="171"/>
        <v>453.52300000000002</v>
      </c>
      <c r="BD69" s="152">
        <f t="shared" si="171"/>
        <v>466.97</v>
      </c>
      <c r="BE69" s="152">
        <f t="shared" si="171"/>
        <v>544.39200000000005</v>
      </c>
      <c r="BF69" s="152">
        <f t="shared" si="171"/>
        <v>576.90800000000002</v>
      </c>
      <c r="BG69" s="152">
        <f t="shared" si="171"/>
        <v>592.18700000000001</v>
      </c>
      <c r="BH69" s="152">
        <f t="shared" si="171"/>
        <v>378.09300000000002</v>
      </c>
      <c r="BI69" s="152">
        <f t="shared" si="171"/>
        <v>275.80599999999998</v>
      </c>
      <c r="BJ69" s="152">
        <f t="shared" si="171"/>
        <v>271.346</v>
      </c>
      <c r="BK69" s="152">
        <f t="shared" si="171"/>
        <v>250.048</v>
      </c>
      <c r="BL69" s="152">
        <f t="shared" si="171"/>
        <v>175.47200000000001</v>
      </c>
      <c r="BM69" s="152">
        <f t="shared" si="171"/>
        <v>131.21700000000001</v>
      </c>
      <c r="BN69" s="152">
        <f t="shared" si="171"/>
        <v>163.33099999999999</v>
      </c>
      <c r="BO69" s="152">
        <f t="shared" si="171"/>
        <v>209.63399999999999</v>
      </c>
      <c r="BP69" s="152">
        <f t="shared" si="171"/>
        <v>286.19799999999998</v>
      </c>
      <c r="BQ69" s="152">
        <f t="shared" si="171"/>
        <v>385.46199999999999</v>
      </c>
      <c r="BR69" s="152">
        <f t="shared" si="171"/>
        <v>455.71899999999999</v>
      </c>
      <c r="BS69" s="152">
        <f t="shared" si="171"/>
        <v>410.97199999999998</v>
      </c>
      <c r="BT69" s="152">
        <f t="shared" si="171"/>
        <v>435.43159961610456</v>
      </c>
      <c r="BU69" s="152">
        <f t="shared" si="171"/>
        <v>515.30951458811126</v>
      </c>
      <c r="BV69" s="152">
        <f t="shared" si="171"/>
        <v>556.55660179270251</v>
      </c>
      <c r="BW69" s="152">
        <f t="shared" si="171"/>
        <v>574.82858070281213</v>
      </c>
      <c r="BX69" s="152">
        <f t="shared" si="171"/>
        <v>578.64800192011057</v>
      </c>
      <c r="BY69" s="152">
        <f t="shared" si="171"/>
        <v>580.47773212605239</v>
      </c>
      <c r="BZ69" s="152">
        <f t="shared" si="171"/>
        <v>601.23301021544228</v>
      </c>
      <c r="CA69" s="152">
        <f t="shared" si="171"/>
        <v>637.01528015005965</v>
      </c>
      <c r="CB69" s="152">
        <f t="shared" si="171"/>
        <v>653.49725676843696</v>
      </c>
      <c r="CC69" s="152">
        <f t="shared" si="171"/>
        <v>651.69574297506074</v>
      </c>
      <c r="CD69" s="152">
        <f t="shared" si="171"/>
        <v>652.59649987174885</v>
      </c>
      <c r="CE69" s="152">
        <f t="shared" si="171"/>
        <v>654.39801366512506</v>
      </c>
      <c r="CF69" s="4"/>
      <c r="CG69" s="4"/>
      <c r="CH69" s="4"/>
      <c r="CI69" s="4"/>
      <c r="CJ69" s="4"/>
      <c r="CK69" s="4"/>
      <c r="CL69" s="4"/>
      <c r="CM69" s="4"/>
      <c r="CN69" s="240">
        <f t="shared" si="16"/>
        <v>62</v>
      </c>
    </row>
    <row r="70" spans="1:92" outlineLevel="1">
      <c r="A70" s="144"/>
      <c r="B70" s="45" t="s">
        <v>322</v>
      </c>
      <c r="C70" s="152"/>
      <c r="D70" s="57">
        <f>+D69/C69-1</f>
        <v>0.16084752267264513</v>
      </c>
      <c r="E70" s="57">
        <f t="shared" ref="E70" si="172">+E69/D69-1</f>
        <v>0.29800043151147348</v>
      </c>
      <c r="F70" s="57">
        <f t="shared" ref="F70" si="173">+F69/E69-1</f>
        <v>-0.31193900202683134</v>
      </c>
      <c r="G70" s="57">
        <f t="shared" ref="G70" si="174">+G69/F69-1</f>
        <v>0.90893416561462592</v>
      </c>
      <c r="H70" s="57">
        <f t="shared" ref="H70" si="175">+H69/G69-1</f>
        <v>0.71844896017994886</v>
      </c>
      <c r="I70" s="57">
        <f t="shared" ref="I70" si="176">+I69/H69-1</f>
        <v>6.5460540577137571E-2</v>
      </c>
      <c r="J70" s="57">
        <f t="shared" ref="J70" si="177">+J69/I69-1</f>
        <v>-3.5831918908147409E-2</v>
      </c>
      <c r="K70" s="57">
        <f t="shared" ref="K70" si="178">+K69/J69-1</f>
        <v>0.26057504862024872</v>
      </c>
      <c r="L70" s="57">
        <f t="shared" ref="L70" si="179">+L69/K69-1</f>
        <v>-0.46098776540881103</v>
      </c>
      <c r="M70" s="57">
        <f t="shared" ref="M70" si="180">+M69/L69-1</f>
        <v>-0.42171526589539809</v>
      </c>
      <c r="N70" s="57">
        <f t="shared" ref="N70" si="181">+N69/M69-1</f>
        <v>1.2634325701018456</v>
      </c>
      <c r="O70" s="57">
        <f t="shared" ref="O70" si="182">+O69/N69-1</f>
        <v>0.35347934034542861</v>
      </c>
      <c r="P70" s="57">
        <f t="shared" ref="P70" si="183">+P69/O69-1</f>
        <v>0.15140663090976658</v>
      </c>
      <c r="Q70" s="57">
        <f t="shared" ref="Q70" si="184">+Q69/P69-1</f>
        <v>8.9603660789402184E-2</v>
      </c>
      <c r="R70" s="152"/>
      <c r="S70" s="152"/>
      <c r="T70" s="152"/>
      <c r="U70" s="57">
        <f t="shared" ref="U70" si="185">+U69/T69-1</f>
        <v>0.10263218656199502</v>
      </c>
      <c r="V70" s="57">
        <f t="shared" ref="V70" si="186">+V69/U69-1</f>
        <v>0.15224700147744863</v>
      </c>
      <c r="W70" s="57">
        <f t="shared" ref="W70" si="187">+W69/V69-1</f>
        <v>1.1408840336813109E-2</v>
      </c>
      <c r="X70" s="57">
        <f t="shared" ref="X70" si="188">+X69/W69-1</f>
        <v>0.14559375499121541</v>
      </c>
      <c r="Y70" s="57">
        <f t="shared" ref="Y70" si="189">+Y69/X69-1</f>
        <v>4.1921907268148706E-2</v>
      </c>
      <c r="Z70" s="57">
        <f t="shared" ref="Z70" si="190">+Z69/Y69-1</f>
        <v>6.9890944368246721E-2</v>
      </c>
      <c r="AA70" s="57">
        <f t="shared" ref="AA70" si="191">+AA69/Z69-1</f>
        <v>3.8294679079801996E-2</v>
      </c>
      <c r="AB70" s="57">
        <f t="shared" ref="AB70" si="192">+AB69/AA69-1</f>
        <v>7.1362965639774734E-2</v>
      </c>
      <c r="AC70" s="57">
        <f t="shared" ref="AC70" si="193">+AC69/AB69-1</f>
        <v>-1.4813045036435102E-2</v>
      </c>
      <c r="AD70" s="57">
        <f t="shared" ref="AD70" si="194">+AD69/AC69-1</f>
        <v>-3.8374025492336039E-2</v>
      </c>
      <c r="AE70" s="57">
        <f t="shared" ref="AE70" si="195">+AE69/AD69-1</f>
        <v>0.16748381162892478</v>
      </c>
      <c r="AF70" s="57">
        <f t="shared" ref="AF70" si="196">+AF69/AE69-1</f>
        <v>7.5172015069981279E-2</v>
      </c>
      <c r="AG70" s="57">
        <f t="shared" ref="AG70" si="197">+AG69/AF69-1</f>
        <v>9.4858507011126747E-2</v>
      </c>
      <c r="AH70" s="57">
        <f t="shared" ref="AH70" si="198">+AH69/AG69-1</f>
        <v>9.8108849118110575E-2</v>
      </c>
      <c r="AI70" s="57">
        <f t="shared" ref="AI70" si="199">+AI69/AH69-1</f>
        <v>-7.5920810765646718E-2</v>
      </c>
      <c r="AJ70" s="57">
        <f t="shared" ref="AJ70" si="200">+AJ69/AI69-1</f>
        <v>-0.19645241071191122</v>
      </c>
      <c r="AK70" s="57">
        <f t="shared" ref="AK70" si="201">+AK69/AJ69-1</f>
        <v>-0.27199015084823175</v>
      </c>
      <c r="AL70" s="57">
        <f t="shared" ref="AL70" si="202">+AL69/AK69-1</f>
        <v>5.7634084028112431E-2</v>
      </c>
      <c r="AM70" s="57">
        <f t="shared" ref="AM70" si="203">+AM69/AL69-1</f>
        <v>0.16823410071695055</v>
      </c>
      <c r="AN70" s="57">
        <f t="shared" ref="AN70" si="204">+AN69/AM69-1</f>
        <v>0.40845205156884679</v>
      </c>
      <c r="AO70" s="57">
        <f t="shared" ref="AO70" si="205">+AO69/AN69-1</f>
        <v>0.17834098734084636</v>
      </c>
      <c r="AP70" s="57">
        <f t="shared" ref="AP70" si="206">+AP69/AO69-1</f>
        <v>0.18848708421640681</v>
      </c>
      <c r="AQ70" s="57">
        <f t="shared" ref="AQ70" si="207">+AQ69/AP69-1</f>
        <v>9.9959335793082804E-2</v>
      </c>
      <c r="AR70" s="57">
        <f t="shared" ref="AR70" si="208">+AR69/AQ69-1</f>
        <v>0.18504424388572893</v>
      </c>
      <c r="AS70" s="57">
        <f t="shared" ref="AS70" si="209">+AS69/AR69-1</f>
        <v>0.22133244801117335</v>
      </c>
      <c r="AT70" s="57">
        <f t="shared" ref="AT70" si="210">+AT69/AS69-1</f>
        <v>8.6585148663342215E-2</v>
      </c>
      <c r="AU70" s="57">
        <f t="shared" ref="AU70" si="211">+AU69/AT69-1</f>
        <v>-4.2518088788725095E-2</v>
      </c>
      <c r="AV70" s="57">
        <f t="shared" ref="AV70" si="212">+AV69/AU69-1</f>
        <v>3.9531950357006185E-2</v>
      </c>
      <c r="AW70" s="57">
        <f t="shared" ref="AW70" si="213">+AW69/AV69-1</f>
        <v>2.6434333432279189E-4</v>
      </c>
      <c r="AX70" s="57">
        <f t="shared" ref="AX70" si="214">+AX69/AW69-1</f>
        <v>-5.5425946023225703E-2</v>
      </c>
      <c r="AY70" s="57">
        <f t="shared" ref="AY70" si="215">+AY69/AX69-1</f>
        <v>-2.8918304071036127E-3</v>
      </c>
      <c r="AZ70" s="57">
        <f t="shared" ref="AZ70" si="216">+AZ69/AY69-1</f>
        <v>-9.3800526684989505E-2</v>
      </c>
      <c r="BA70" s="57">
        <f t="shared" ref="BA70" si="217">+BA69/AZ69-1</f>
        <v>7.6188228247434653E-2</v>
      </c>
      <c r="BB70" s="57">
        <f t="shared" ref="BB70" si="218">+BB69/BA69-1</f>
        <v>8.0508454590477063E-2</v>
      </c>
      <c r="BC70" s="57">
        <f t="shared" ref="BC70" si="219">+BC69/BB69-1</f>
        <v>-1.0138202580712741E-2</v>
      </c>
      <c r="BD70" s="57">
        <f t="shared" ref="BD70" si="220">+BD69/BC69-1</f>
        <v>2.9650094923520998E-2</v>
      </c>
      <c r="BE70" s="57">
        <f t="shared" ref="BE70" si="221">+BE69/BD69-1</f>
        <v>0.16579651797760042</v>
      </c>
      <c r="BF70" s="57">
        <f t="shared" ref="BF70" si="222">+BF69/BE69-1</f>
        <v>5.9729018795279698E-2</v>
      </c>
      <c r="BG70" s="57">
        <f t="shared" ref="BG70" si="223">+BG69/BF69-1</f>
        <v>2.6484292122834097E-2</v>
      </c>
      <c r="BH70" s="57">
        <f t="shared" ref="BH70" si="224">+BH69/BG69-1</f>
        <v>-0.36153107042201194</v>
      </c>
      <c r="BI70" s="57">
        <f t="shared" ref="BI70" si="225">+BI69/BH69-1</f>
        <v>-0.27053396915573691</v>
      </c>
      <c r="BJ70" s="57">
        <f t="shared" ref="BJ70" si="226">+BJ69/BI69-1</f>
        <v>-1.6170786712399243E-2</v>
      </c>
      <c r="BK70" s="57">
        <f t="shared" ref="BK70" si="227">+BK69/BJ69-1</f>
        <v>-7.8490193332497959E-2</v>
      </c>
      <c r="BL70" s="57">
        <f t="shared" ref="BL70" si="228">+BL69/BK69-1</f>
        <v>-0.29824673662656764</v>
      </c>
      <c r="BM70" s="57">
        <f t="shared" ref="BM70" si="229">+BM69/BL69-1</f>
        <v>-0.25220548007659338</v>
      </c>
      <c r="BN70" s="57">
        <f t="shared" ref="BN70" si="230">+BN69/BM69-1</f>
        <v>0.24473962977358088</v>
      </c>
      <c r="BO70" s="57">
        <f t="shared" ref="BO70" si="231">+BO69/BN69-1</f>
        <v>0.28349180498496906</v>
      </c>
      <c r="BP70" s="57">
        <f t="shared" ref="BP70" si="232">+BP69/BO69-1</f>
        <v>0.36522701470181373</v>
      </c>
      <c r="BQ70" s="57">
        <f t="shared" ref="BQ70" si="233">+BQ69/BP69-1</f>
        <v>0.34683680528864635</v>
      </c>
      <c r="BR70" s="57">
        <f t="shared" ref="BR70" si="234">+BR69/BQ69-1</f>
        <v>0.18226699389304257</v>
      </c>
      <c r="BS70" s="57">
        <f t="shared" ref="BS70" si="235">+BS69/BR69-1</f>
        <v>-9.8189893333391898E-2</v>
      </c>
      <c r="BT70" s="57">
        <f t="shared" ref="BT70" si="236">+BT69/BS69-1</f>
        <v>5.9516462474583642E-2</v>
      </c>
      <c r="BU70" s="57">
        <f t="shared" ref="BU70" si="237">+BU69/BT69-1</f>
        <v>0.18344537934874405</v>
      </c>
      <c r="BV70" s="57">
        <f t="shared" ref="BV70" si="238">+BV69/BU69-1</f>
        <v>8.0043325490623207E-2</v>
      </c>
      <c r="BW70" s="57">
        <f t="shared" ref="BW70" si="239">+BW69/BV69-1</f>
        <v>3.2830405481229619E-2</v>
      </c>
      <c r="BX70" s="57">
        <f t="shared" ref="BX70" si="240">+BX69/BW69-1</f>
        <v>6.6444525298805512E-3</v>
      </c>
      <c r="BY70" s="57">
        <f t="shared" ref="BY70" si="241">+BY69/BX69-1</f>
        <v>3.16207815437064E-3</v>
      </c>
      <c r="BZ70" s="57">
        <f t="shared" ref="BZ70" si="242">+BZ69/BY69-1</f>
        <v>3.5755511263751316E-2</v>
      </c>
      <c r="CA70" s="57">
        <f t="shared" ref="CA70" si="243">+CA69/BZ69-1</f>
        <v>5.9514812604509748E-2</v>
      </c>
      <c r="CB70" s="57">
        <f t="shared" ref="CB70" si="244">+CB69/CA69-1</f>
        <v>2.5873753945893974E-2</v>
      </c>
      <c r="CC70" s="57">
        <f t="shared" ref="CC70" si="245">+CC69/CB69-1</f>
        <v>-2.7567273997212149E-3</v>
      </c>
      <c r="CD70" s="57">
        <f t="shared" ref="CD70" si="246">+CD69/CC69-1</f>
        <v>1.3821739767334584E-3</v>
      </c>
      <c r="CE70" s="57">
        <f t="shared" ref="CE70" si="247">+CE69/CD69-1</f>
        <v>2.7605324173975987E-3</v>
      </c>
      <c r="CF70" s="4"/>
      <c r="CG70" s="4"/>
      <c r="CH70" s="4"/>
      <c r="CI70" s="4"/>
      <c r="CJ70" s="4"/>
      <c r="CK70" s="4"/>
      <c r="CL70" s="4"/>
      <c r="CM70" s="4"/>
      <c r="CN70" s="240">
        <f t="shared" si="16"/>
        <v>63</v>
      </c>
    </row>
    <row r="71" spans="1:92" outlineLevel="1">
      <c r="A71" s="144"/>
      <c r="B71" s="45"/>
      <c r="C71" s="152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152"/>
      <c r="S71" s="152"/>
      <c r="T71" s="152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4"/>
      <c r="CG71" s="4"/>
      <c r="CH71" s="4"/>
      <c r="CI71" s="4"/>
      <c r="CJ71" s="4"/>
      <c r="CK71" s="4"/>
      <c r="CL71" s="4"/>
      <c r="CM71" s="4"/>
      <c r="CN71" s="240">
        <f t="shared" si="16"/>
        <v>64</v>
      </c>
    </row>
    <row r="72" spans="1:92" outlineLevel="1">
      <c r="A72" s="144"/>
      <c r="B72" s="173" t="s">
        <v>9</v>
      </c>
      <c r="C72" s="152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152"/>
      <c r="S72" s="152"/>
      <c r="T72" s="152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4"/>
      <c r="CG72" s="4"/>
      <c r="CH72" s="4"/>
      <c r="CI72" s="4"/>
      <c r="CJ72" s="4"/>
      <c r="CK72" s="4"/>
      <c r="CL72" s="4"/>
      <c r="CM72" s="4"/>
      <c r="CN72" s="240">
        <f t="shared" si="16"/>
        <v>65</v>
      </c>
    </row>
    <row r="73" spans="1:92" outlineLevel="1">
      <c r="A73" s="144"/>
      <c r="B73" s="45" t="s">
        <v>169</v>
      </c>
      <c r="C73" s="152">
        <f>SUMIF($T$5:$BO$5,C$5,$T$73:$BO$73)</f>
        <v>226.71940000000001</v>
      </c>
      <c r="D73" s="152">
        <f>SUMIF($T$5:$BO$5,D$5,$T$73:$BO$73)</f>
        <v>276.09039999999999</v>
      </c>
      <c r="E73" s="152">
        <f>SUMIF($T$5:$BO$5,E$5,$T$73:$BO$73)</f>
        <v>359.56056999999998</v>
      </c>
      <c r="F73" s="152">
        <f>SUMIF($T$5:$BO$5,F$5,$T$73:$BO$73)</f>
        <v>223.38794000000001</v>
      </c>
      <c r="G73" s="152">
        <f>SUMIF($T$5:$BO$5,G$5,$T$73:$BO$73)</f>
        <v>526.26432</v>
      </c>
      <c r="H73" s="152">
        <f>SUMIF($T$5:$BO$5,H$5,T$73:BO$73)</f>
        <v>964.15435000000014</v>
      </c>
      <c r="I73" s="152">
        <f>SUMIF($T$5:$BO$5,I$5,$T$73:$BO$73)</f>
        <v>1055.0363500000001</v>
      </c>
      <c r="J73" s="152">
        <f>SUMIF($T$5:$BO$5,J$5,$T$73:$BO$73)</f>
        <v>1015.099663</v>
      </c>
      <c r="K73" s="152">
        <f>SUMIF($T$5:$BO$5,K$5,$T$73:$BO$73)</f>
        <v>1342.6877729999999</v>
      </c>
      <c r="L73" s="152">
        <f>SUMIF($T$5:$BO$5,L$5,$T$73:$BO$73)</f>
        <v>676.43009600000005</v>
      </c>
      <c r="M73" s="152">
        <f>SUMIF($T$5:$BO$5,M$5,$T$73:$BO$73)</f>
        <v>336.72016200000002</v>
      </c>
      <c r="N73" s="152">
        <f>SUMIF($T$5:$BS$5,N$5,$T$73:$BS$73)</f>
        <v>993.44358899999997</v>
      </c>
      <c r="O73" s="152">
        <f>SUMIF($T$5:$CF$5,O$5,$T$73:$CF$73)</f>
        <v>1282.7235330016797</v>
      </c>
      <c r="P73" s="152">
        <f>SUMIF($T$5:$CF$5,P$5,$T$73:$CF$73)</f>
        <v>1432.6119889804797</v>
      </c>
      <c r="Q73" s="152">
        <f>SUMIF($T$5:$CF$5,Q$5,$T$73:$CF$73)</f>
        <v>1623.1564407167998</v>
      </c>
      <c r="R73" s="152"/>
      <c r="S73" s="152"/>
      <c r="T73" s="152">
        <f t="shared" ref="T73:AY73" si="248">T120*T12</f>
        <v>34.162100000000002</v>
      </c>
      <c r="U73" s="152">
        <f t="shared" si="248"/>
        <v>37.719650000000001</v>
      </c>
      <c r="V73" s="152">
        <f t="shared" si="248"/>
        <v>42.84637</v>
      </c>
      <c r="W73" s="152">
        <f t="shared" si="248"/>
        <v>43.499790000000004</v>
      </c>
      <c r="X73" s="152">
        <f t="shared" si="248"/>
        <v>51.689120000000003</v>
      </c>
      <c r="Y73" s="152">
        <f t="shared" si="248"/>
        <v>55.5047</v>
      </c>
      <c r="Z73" s="152">
        <f t="shared" si="248"/>
        <v>58.599420000000002</v>
      </c>
      <c r="AA73" s="152">
        <f t="shared" si="248"/>
        <v>60.926159999999996</v>
      </c>
      <c r="AB73" s="152">
        <f t="shared" si="248"/>
        <v>68.417999999999992</v>
      </c>
      <c r="AC73" s="152">
        <f t="shared" si="248"/>
        <v>68.412400000000005</v>
      </c>
      <c r="AD73" s="152">
        <f t="shared" si="248"/>
        <v>64.784399999999991</v>
      </c>
      <c r="AE73" s="152">
        <f t="shared" si="248"/>
        <v>74.4756</v>
      </c>
      <c r="AF73" s="152">
        <f t="shared" si="248"/>
        <v>80.863069999999993</v>
      </c>
      <c r="AG73" s="152">
        <f t="shared" si="248"/>
        <v>88.022489999999991</v>
      </c>
      <c r="AH73" s="152">
        <f t="shared" si="248"/>
        <v>97.258969999999991</v>
      </c>
      <c r="AI73" s="152">
        <f t="shared" si="248"/>
        <v>93.416039999999995</v>
      </c>
      <c r="AJ73" s="152">
        <f t="shared" si="248"/>
        <v>66.982980000000012</v>
      </c>
      <c r="AK73" s="152">
        <f t="shared" si="248"/>
        <v>48.266840000000002</v>
      </c>
      <c r="AL73" s="152">
        <f t="shared" si="248"/>
        <v>50.220419999999997</v>
      </c>
      <c r="AM73" s="152">
        <f t="shared" si="248"/>
        <v>57.917699999999996</v>
      </c>
      <c r="AN73" s="152">
        <f t="shared" si="248"/>
        <v>102.30911999999999</v>
      </c>
      <c r="AO73" s="152">
        <f t="shared" si="248"/>
        <v>121.39008</v>
      </c>
      <c r="AP73" s="152">
        <f t="shared" si="248"/>
        <v>145.05599999999998</v>
      </c>
      <c r="AQ73" s="152">
        <f t="shared" si="248"/>
        <v>157.50912</v>
      </c>
      <c r="AR73" s="152">
        <f t="shared" si="248"/>
        <v>190.88049999999998</v>
      </c>
      <c r="AS73" s="152">
        <f t="shared" si="248"/>
        <v>231.5145</v>
      </c>
      <c r="AT73" s="152">
        <f t="shared" si="248"/>
        <v>276.22925000000004</v>
      </c>
      <c r="AU73" s="152">
        <f t="shared" si="248"/>
        <v>265.53010000000006</v>
      </c>
      <c r="AV73" s="152">
        <f t="shared" si="248"/>
        <v>276.40635000000003</v>
      </c>
      <c r="AW73" s="152">
        <f t="shared" si="248"/>
        <v>265.05617999999998</v>
      </c>
      <c r="AX73" s="152">
        <f t="shared" si="248"/>
        <v>255.10572000000002</v>
      </c>
      <c r="AY73" s="152">
        <f t="shared" si="248"/>
        <v>258.46810000000005</v>
      </c>
      <c r="AZ73" s="152">
        <f t="shared" ref="AZ73:BS73" si="249">AZ120*AZ12</f>
        <v>221.42692000000002</v>
      </c>
      <c r="BA73" s="152">
        <f t="shared" si="249"/>
        <v>249.37347</v>
      </c>
      <c r="BB73" s="152">
        <f t="shared" si="249"/>
        <v>271.58991300000002</v>
      </c>
      <c r="BC73" s="152">
        <f t="shared" si="249"/>
        <v>272.70936</v>
      </c>
      <c r="BD73" s="152">
        <f t="shared" si="249"/>
        <v>285.96443999999997</v>
      </c>
      <c r="BE73" s="152">
        <f t="shared" si="249"/>
        <v>335.12782499999997</v>
      </c>
      <c r="BF73" s="152">
        <f t="shared" si="249"/>
        <v>361.23808799999995</v>
      </c>
      <c r="BG73" s="152">
        <f t="shared" si="249"/>
        <v>360.35741999999999</v>
      </c>
      <c r="BH73" s="152">
        <f t="shared" si="249"/>
        <v>219.38580000000005</v>
      </c>
      <c r="BI73" s="152">
        <f t="shared" si="249"/>
        <v>157.40924000000001</v>
      </c>
      <c r="BJ73" s="152">
        <f t="shared" si="249"/>
        <v>153.26009999999999</v>
      </c>
      <c r="BK73" s="152">
        <f t="shared" si="249"/>
        <v>146.37495600000003</v>
      </c>
      <c r="BL73" s="152">
        <f t="shared" si="249"/>
        <v>94.169309999999996</v>
      </c>
      <c r="BM73" s="152">
        <f t="shared" si="249"/>
        <v>59.773164000000008</v>
      </c>
      <c r="BN73" s="152">
        <f t="shared" si="249"/>
        <v>74.047163999999995</v>
      </c>
      <c r="BO73" s="152">
        <f t="shared" si="249"/>
        <v>108.73052399999999</v>
      </c>
      <c r="BP73" s="152">
        <f t="shared" si="249"/>
        <v>183.04506599999999</v>
      </c>
      <c r="BQ73" s="152">
        <f t="shared" si="249"/>
        <v>253.64315999999999</v>
      </c>
      <c r="BR73" s="152">
        <f t="shared" si="249"/>
        <v>303.794355</v>
      </c>
      <c r="BS73" s="152">
        <f t="shared" si="249"/>
        <v>252.96100799999996</v>
      </c>
      <c r="BT73" s="225">
        <f>+BT76/1000*BT81/4</f>
        <v>278.25710880000003</v>
      </c>
      <c r="BU73" s="225">
        <f t="shared" ref="BU73:CE73" si="250">+BU76/1000*BU81/4</f>
        <v>323.88751441199997</v>
      </c>
      <c r="BV73" s="225">
        <f t="shared" si="250"/>
        <v>338.30461685591996</v>
      </c>
      <c r="BW73" s="225">
        <f t="shared" si="250"/>
        <v>342.27429293375997</v>
      </c>
      <c r="BX73" s="225">
        <f t="shared" si="250"/>
        <v>342.27429293375997</v>
      </c>
      <c r="BY73" s="225">
        <f t="shared" si="250"/>
        <v>342.27429293375997</v>
      </c>
      <c r="BZ73" s="225">
        <f t="shared" si="250"/>
        <v>358.15299724511993</v>
      </c>
      <c r="CA73" s="225">
        <f t="shared" si="250"/>
        <v>389.91040586783998</v>
      </c>
      <c r="CB73" s="225">
        <f t="shared" si="250"/>
        <v>405.78911017919995</v>
      </c>
      <c r="CC73" s="225">
        <f t="shared" si="250"/>
        <v>405.78911017919995</v>
      </c>
      <c r="CD73" s="225">
        <f t="shared" si="250"/>
        <v>405.78911017919995</v>
      </c>
      <c r="CE73" s="225">
        <f t="shared" si="250"/>
        <v>405.78911017919995</v>
      </c>
      <c r="CF73" s="4"/>
      <c r="CG73" s="4"/>
      <c r="CH73" s="4"/>
      <c r="CI73" s="4"/>
      <c r="CJ73" s="4"/>
      <c r="CK73" s="4"/>
      <c r="CL73" s="4"/>
      <c r="CM73" s="4"/>
      <c r="CN73" s="240">
        <f t="shared" si="16"/>
        <v>66</v>
      </c>
    </row>
    <row r="74" spans="1:92" outlineLevel="1">
      <c r="A74" s="144"/>
      <c r="B74" s="42" t="s">
        <v>322</v>
      </c>
      <c r="C74" s="152"/>
      <c r="D74" s="57">
        <f>+D73/C73-1</f>
        <v>0.21776257347187755</v>
      </c>
      <c r="E74" s="57">
        <f t="shared" ref="E74:Q74" si="251">+E73/D73-1</f>
        <v>0.30232912843039816</v>
      </c>
      <c r="F74" s="57">
        <f t="shared" si="251"/>
        <v>-0.37871958540949013</v>
      </c>
      <c r="G74" s="57">
        <f t="shared" si="251"/>
        <v>1.3558313846307009</v>
      </c>
      <c r="H74" s="57">
        <f t="shared" si="251"/>
        <v>0.83207242702678408</v>
      </c>
      <c r="I74" s="57">
        <f t="shared" si="251"/>
        <v>9.4260841119474303E-2</v>
      </c>
      <c r="J74" s="57">
        <f t="shared" si="251"/>
        <v>-3.7853375383701371E-2</v>
      </c>
      <c r="K74" s="57">
        <f t="shared" si="251"/>
        <v>0.32271521894890043</v>
      </c>
      <c r="L74" s="57">
        <f t="shared" si="251"/>
        <v>-0.49621191940354392</v>
      </c>
      <c r="M74" s="57">
        <f t="shared" si="251"/>
        <v>-0.50220996376246396</v>
      </c>
      <c r="N74" s="57">
        <f t="shared" si="251"/>
        <v>1.950353739138436</v>
      </c>
      <c r="O74" s="57">
        <f t="shared" si="251"/>
        <v>0.2911890994161721</v>
      </c>
      <c r="P74" s="57">
        <f t="shared" si="251"/>
        <v>0.11685172379121211</v>
      </c>
      <c r="Q74" s="57">
        <f t="shared" si="251"/>
        <v>0.13300492610837455</v>
      </c>
      <c r="R74" s="152"/>
      <c r="S74" s="152"/>
      <c r="T74" s="152"/>
      <c r="U74" s="57">
        <f t="shared" ref="U74" si="252">+U73/T73-1</f>
        <v>0.1041373334777429</v>
      </c>
      <c r="V74" s="57">
        <f t="shared" ref="V74" si="253">+V73/U73-1</f>
        <v>0.13591642552356653</v>
      </c>
      <c r="W74" s="57">
        <f t="shared" ref="W74" si="254">+W73/V73-1</f>
        <v>1.525030008376449E-2</v>
      </c>
      <c r="X74" s="57">
        <f t="shared" ref="X74" si="255">+X73/W73-1</f>
        <v>0.18826136861810139</v>
      </c>
      <c r="Y74" s="57">
        <f t="shared" ref="Y74" si="256">+Y73/X73-1</f>
        <v>7.381785567252841E-2</v>
      </c>
      <c r="Z74" s="57">
        <f t="shared" ref="Z74" si="257">+Z73/Y73-1</f>
        <v>5.5755999041522619E-2</v>
      </c>
      <c r="AA74" s="57">
        <f t="shared" ref="AA74" si="258">+AA73/Z73-1</f>
        <v>3.9705853743944752E-2</v>
      </c>
      <c r="AB74" s="57">
        <f t="shared" ref="AB74" si="259">+AB73/AA73-1</f>
        <v>0.12296589839241467</v>
      </c>
      <c r="AC74" s="57">
        <f t="shared" ref="AC74" si="260">+AC73/AB73-1</f>
        <v>-8.1849805606548642E-5</v>
      </c>
      <c r="AD74" s="57">
        <f t="shared" ref="AD74" si="261">+AD73/AC73-1</f>
        <v>-5.3031321807157972E-2</v>
      </c>
      <c r="AE74" s="57">
        <f t="shared" ref="AE74" si="262">+AE73/AD73-1</f>
        <v>0.14959156834052667</v>
      </c>
      <c r="AF74" s="57">
        <f t="shared" ref="AF74" si="263">+AF73/AE73-1</f>
        <v>8.5765942134067963E-2</v>
      </c>
      <c r="AG74" s="57">
        <f t="shared" ref="AG74" si="264">+AG73/AF73-1</f>
        <v>8.8537573455967022E-2</v>
      </c>
      <c r="AH74" s="57">
        <f t="shared" ref="AH74" si="265">+AH73/AG73-1</f>
        <v>0.10493318241735716</v>
      </c>
      <c r="AI74" s="57">
        <f t="shared" ref="AI74" si="266">+AI73/AH73-1</f>
        <v>-3.9512345236639823E-2</v>
      </c>
      <c r="AJ74" s="57">
        <f t="shared" ref="AJ74" si="267">+AJ73/AI73-1</f>
        <v>-0.28296061361624814</v>
      </c>
      <c r="AK74" s="57">
        <f t="shared" ref="AK74" si="268">+AK73/AJ73-1</f>
        <v>-0.27941635322883529</v>
      </c>
      <c r="AL74" s="57">
        <f t="shared" ref="AL74" si="269">+AL73/AK73-1</f>
        <v>4.0474578406209938E-2</v>
      </c>
      <c r="AM74" s="57">
        <f t="shared" ref="AM74" si="270">+AM73/AL73-1</f>
        <v>0.15326992486323299</v>
      </c>
      <c r="AN74" s="57">
        <f t="shared" ref="AN74" si="271">+AN73/AM73-1</f>
        <v>0.76645688623684993</v>
      </c>
      <c r="AO74" s="57">
        <f t="shared" ref="AO74" si="272">+AO73/AN73-1</f>
        <v>0.18650302143152042</v>
      </c>
      <c r="AP74" s="57">
        <f t="shared" ref="AP74" si="273">+AP73/AO73-1</f>
        <v>0.19495761103378451</v>
      </c>
      <c r="AQ74" s="57">
        <f t="shared" ref="AQ74" si="274">+AQ73/AP73-1</f>
        <v>8.5850430178689763E-2</v>
      </c>
      <c r="AR74" s="57">
        <f t="shared" ref="AR74" si="275">+AR73/AQ73-1</f>
        <v>0.21186950952427375</v>
      </c>
      <c r="AS74" s="57">
        <f t="shared" ref="AS74" si="276">+AS73/AR73-1</f>
        <v>0.2128766427162545</v>
      </c>
      <c r="AT74" s="57">
        <f t="shared" ref="AT74" si="277">+AT73/AS73-1</f>
        <v>0.19314017048608201</v>
      </c>
      <c r="AU74" s="57">
        <f t="shared" ref="AU74" si="278">+AU73/AT73-1</f>
        <v>-3.873286409748411E-2</v>
      </c>
      <c r="AV74" s="57">
        <f t="shared" ref="AV74" si="279">+AV73/AU73-1</f>
        <v>4.0960516340708519E-2</v>
      </c>
      <c r="AW74" s="57">
        <f t="shared" ref="AW74" si="280">+AW73/AV73-1</f>
        <v>-4.1063347495453928E-2</v>
      </c>
      <c r="AX74" s="57">
        <f t="shared" ref="AX74" si="281">+AX73/AW73-1</f>
        <v>-3.7540946979617518E-2</v>
      </c>
      <c r="AY74" s="57">
        <f t="shared" ref="AY74" si="282">+AY73/AX73-1</f>
        <v>1.3180339507871563E-2</v>
      </c>
      <c r="AZ74" s="57">
        <f t="shared" ref="AZ74" si="283">+AZ73/AY73-1</f>
        <v>-0.14331045107694151</v>
      </c>
      <c r="BA74" s="57">
        <f t="shared" ref="BA74" si="284">+BA73/AZ73-1</f>
        <v>0.12621116709747837</v>
      </c>
      <c r="BB74" s="57">
        <f t="shared" ref="BB74" si="285">+BB73/BA73-1</f>
        <v>8.9089039824485017E-2</v>
      </c>
      <c r="BC74" s="57">
        <f t="shared" ref="BC74" si="286">+BC73/BB73-1</f>
        <v>4.1218283390369592E-3</v>
      </c>
      <c r="BD74" s="57">
        <f t="shared" ref="BD74" si="287">+BD73/BC73-1</f>
        <v>4.8605152386408612E-2</v>
      </c>
      <c r="BE74" s="57">
        <f t="shared" ref="BE74" si="288">+BE73/BD73-1</f>
        <v>0.17192132350441902</v>
      </c>
      <c r="BF74" s="57">
        <f t="shared" ref="BF74" si="289">+BF73/BE73-1</f>
        <v>7.7911355167241014E-2</v>
      </c>
      <c r="BG74" s="57">
        <f t="shared" ref="BG74" si="290">+BG73/BF73-1</f>
        <v>-2.4379156829109627E-3</v>
      </c>
      <c r="BH74" s="57">
        <f t="shared" ref="BH74" si="291">+BH73/BG73-1</f>
        <v>-0.39119943749181008</v>
      </c>
      <c r="BI74" s="57">
        <f t="shared" ref="BI74" si="292">+BI73/BH73-1</f>
        <v>-0.28250032590988128</v>
      </c>
      <c r="BJ74" s="57">
        <f t="shared" ref="BJ74" si="293">+BJ73/BI73-1</f>
        <v>-2.6358935472911349E-2</v>
      </c>
      <c r="BK74" s="57">
        <f t="shared" ref="BK74" si="294">+BK73/BJ73-1</f>
        <v>-4.4924569408476001E-2</v>
      </c>
      <c r="BL74" s="57">
        <f t="shared" ref="BL74" si="295">+BL73/BK73-1</f>
        <v>-0.35665695434948597</v>
      </c>
      <c r="BM74" s="57">
        <f t="shared" ref="BM74" si="296">+BM73/BL73-1</f>
        <v>-0.36525855398112173</v>
      </c>
      <c r="BN74" s="57">
        <f t="shared" ref="BN74" si="297">+BN73/BM73-1</f>
        <v>0.23880281793347913</v>
      </c>
      <c r="BO74" s="57">
        <f t="shared" ref="BO74" si="298">+BO73/BN73-1</f>
        <v>0.46839552153543651</v>
      </c>
      <c r="BP74" s="57">
        <f t="shared" ref="BP74" si="299">+BP73/BO73-1</f>
        <v>0.68347451355978017</v>
      </c>
      <c r="BQ74" s="57">
        <f t="shared" ref="BQ74" si="300">+BQ73/BP73-1</f>
        <v>0.38568695427168742</v>
      </c>
      <c r="BR74" s="57">
        <f t="shared" ref="BR74" si="301">+BR73/BQ73-1</f>
        <v>0.19772342766901341</v>
      </c>
      <c r="BS74" s="57">
        <f t="shared" ref="BS74" si="302">+BS73/BR73-1</f>
        <v>-0.16732814867478374</v>
      </c>
      <c r="BT74" s="57">
        <f t="shared" ref="BT74" si="303">+BT73/BS73-1</f>
        <v>0.10000000000000031</v>
      </c>
      <c r="BU74" s="57">
        <f t="shared" ref="BU74" si="304">+BU73/BT73-1</f>
        <v>0.16398648648648617</v>
      </c>
      <c r="BV74" s="57">
        <f t="shared" ref="BV74" si="305">+BV73/BU73-1</f>
        <v>4.4512683578104006E-2</v>
      </c>
      <c r="BW74" s="57">
        <f t="shared" ref="BW74" si="306">+BW73/BV73-1</f>
        <v>1.1734028683181297E-2</v>
      </c>
      <c r="BX74" s="57">
        <f t="shared" ref="BX74" si="307">+BX73/BW73-1</f>
        <v>0</v>
      </c>
      <c r="BY74" s="57">
        <f t="shared" ref="BY74" si="308">+BY73/BX73-1</f>
        <v>0</v>
      </c>
      <c r="BZ74" s="57">
        <f t="shared" ref="BZ74" si="309">+BZ73/BY73-1</f>
        <v>4.6391752577319423E-2</v>
      </c>
      <c r="CA74" s="57">
        <f t="shared" ref="CA74" si="310">+CA73/BZ73-1</f>
        <v>8.866995073891637E-2</v>
      </c>
      <c r="CB74" s="57">
        <f t="shared" ref="CB74" si="311">+CB73/CA73-1</f>
        <v>4.0723981900452344E-2</v>
      </c>
      <c r="CC74" s="57">
        <f t="shared" ref="CC74" si="312">+CC73/CB73-1</f>
        <v>0</v>
      </c>
      <c r="CD74" s="57">
        <f t="shared" ref="CD74" si="313">+CD73/CC73-1</f>
        <v>0</v>
      </c>
      <c r="CE74" s="57">
        <f t="shared" ref="CE74" si="314">+CE73/CD73-1</f>
        <v>0</v>
      </c>
      <c r="CF74" s="4"/>
      <c r="CG74" s="4"/>
      <c r="CH74" s="4"/>
      <c r="CI74" s="4"/>
      <c r="CJ74" s="4"/>
      <c r="CK74" s="4"/>
      <c r="CL74" s="4"/>
      <c r="CM74" s="4"/>
      <c r="CN74" s="240">
        <f t="shared" ref="CN74:CN137" si="315">+CN73+1</f>
        <v>67</v>
      </c>
    </row>
    <row r="75" spans="1:92" outlineLevel="1">
      <c r="A75" s="144"/>
      <c r="B75" s="45" t="s">
        <v>323</v>
      </c>
      <c r="C75" s="226">
        <f t="shared" ref="C75:Q75" si="316">AVERAGEIF($T$5:$CF$5,C$5,$T75:$CF75)</f>
        <v>152.5</v>
      </c>
      <c r="D75" s="226">
        <f t="shared" si="316"/>
        <v>244.5</v>
      </c>
      <c r="E75" s="226">
        <f t="shared" si="316"/>
        <v>292.75</v>
      </c>
      <c r="F75" s="226">
        <f t="shared" si="316"/>
        <v>300</v>
      </c>
      <c r="G75" s="226">
        <f t="shared" si="316"/>
        <v>340.75</v>
      </c>
      <c r="H75" s="226">
        <f t="shared" si="316"/>
        <v>522.75</v>
      </c>
      <c r="I75" s="226">
        <f t="shared" si="316"/>
        <v>660</v>
      </c>
      <c r="J75" s="226">
        <f t="shared" si="316"/>
        <v>695</v>
      </c>
      <c r="K75" s="226">
        <f t="shared" si="316"/>
        <v>744.5</v>
      </c>
      <c r="L75" s="226">
        <f t="shared" si="316"/>
        <v>920.75</v>
      </c>
      <c r="M75" s="226">
        <f t="shared" si="316"/>
        <v>925</v>
      </c>
      <c r="N75" s="226">
        <f t="shared" si="316"/>
        <v>925</v>
      </c>
      <c r="O75" s="226">
        <f t="shared" si="316"/>
        <v>953.125</v>
      </c>
      <c r="P75" s="226">
        <f t="shared" si="316"/>
        <v>1037.5</v>
      </c>
      <c r="Q75" s="226">
        <f t="shared" si="316"/>
        <v>1150</v>
      </c>
      <c r="R75" s="226"/>
      <c r="S75" s="226"/>
      <c r="T75" s="227">
        <v>115</v>
      </c>
      <c r="U75" s="227">
        <v>115</v>
      </c>
      <c r="V75" s="227">
        <v>115</v>
      </c>
      <c r="W75" s="227">
        <v>115</v>
      </c>
      <c r="X75" s="227">
        <v>115</v>
      </c>
      <c r="Y75" s="227">
        <v>165</v>
      </c>
      <c r="Z75" s="227">
        <v>165</v>
      </c>
      <c r="AA75" s="227">
        <v>165</v>
      </c>
      <c r="AB75" s="227">
        <v>165</v>
      </c>
      <c r="AC75" s="227">
        <v>271</v>
      </c>
      <c r="AD75" s="227">
        <v>271</v>
      </c>
      <c r="AE75" s="227">
        <v>271</v>
      </c>
      <c r="AF75" s="227">
        <v>271</v>
      </c>
      <c r="AG75" s="227">
        <v>300</v>
      </c>
      <c r="AH75" s="227">
        <v>300</v>
      </c>
      <c r="AI75" s="227">
        <v>300</v>
      </c>
      <c r="AJ75" s="227">
        <v>300</v>
      </c>
      <c r="AK75" s="227">
        <v>300</v>
      </c>
      <c r="AL75" s="227">
        <v>300</v>
      </c>
      <c r="AM75" s="227">
        <v>300</v>
      </c>
      <c r="AN75" s="227">
        <v>300</v>
      </c>
      <c r="AO75" s="227">
        <v>300</v>
      </c>
      <c r="AP75" s="227">
        <v>350</v>
      </c>
      <c r="AQ75" s="227">
        <v>413</v>
      </c>
      <c r="AR75" s="227">
        <v>465</v>
      </c>
      <c r="AS75" s="227">
        <v>495</v>
      </c>
      <c r="AT75" s="227">
        <v>531</v>
      </c>
      <c r="AU75" s="227">
        <v>600</v>
      </c>
      <c r="AV75" s="227">
        <v>660</v>
      </c>
      <c r="AW75" s="227">
        <v>660</v>
      </c>
      <c r="AX75" s="227">
        <v>660</v>
      </c>
      <c r="AY75" s="227">
        <v>660</v>
      </c>
      <c r="AZ75" s="227">
        <v>680</v>
      </c>
      <c r="BA75" s="227">
        <v>680</v>
      </c>
      <c r="BB75" s="227">
        <v>710</v>
      </c>
      <c r="BC75" s="227">
        <v>710</v>
      </c>
      <c r="BD75" s="227">
        <v>710</v>
      </c>
      <c r="BE75" s="227">
        <v>720</v>
      </c>
      <c r="BF75" s="227">
        <v>750</v>
      </c>
      <c r="BG75" s="227">
        <v>798</v>
      </c>
      <c r="BH75" s="228">
        <f>+BI75-24</f>
        <v>897</v>
      </c>
      <c r="BI75" s="228">
        <v>921</v>
      </c>
      <c r="BJ75" s="228">
        <v>935</v>
      </c>
      <c r="BK75" s="228">
        <v>930</v>
      </c>
      <c r="BL75" s="228">
        <v>925</v>
      </c>
      <c r="BM75" s="228">
        <v>925</v>
      </c>
      <c r="BN75" s="228">
        <v>925</v>
      </c>
      <c r="BO75" s="228">
        <v>925</v>
      </c>
      <c r="BP75" s="228">
        <v>925</v>
      </c>
      <c r="BQ75" s="228">
        <v>925</v>
      </c>
      <c r="BR75" s="228">
        <v>925</v>
      </c>
      <c r="BS75" s="228">
        <v>925</v>
      </c>
      <c r="BT75" s="229">
        <f>BS75</f>
        <v>925</v>
      </c>
      <c r="BU75" s="230">
        <f>+BT75+45/2</f>
        <v>947.5</v>
      </c>
      <c r="BV75" s="237">
        <f>+BU75+45/2</f>
        <v>970</v>
      </c>
      <c r="BW75" s="228">
        <f>+BV75</f>
        <v>970</v>
      </c>
      <c r="BX75" s="228">
        <f>+BW75</f>
        <v>970</v>
      </c>
      <c r="BY75" s="228">
        <f>+BX75</f>
        <v>970</v>
      </c>
      <c r="BZ75" s="230">
        <f>+BY75+90</f>
        <v>1060</v>
      </c>
      <c r="CA75" s="231">
        <f>+BZ75+90</f>
        <v>1150</v>
      </c>
      <c r="CB75" s="229">
        <f>CA75</f>
        <v>1150</v>
      </c>
      <c r="CC75" s="229">
        <f>CB75</f>
        <v>1150</v>
      </c>
      <c r="CD75" s="229">
        <f>CC75</f>
        <v>1150</v>
      </c>
      <c r="CE75" s="229">
        <f>CD75</f>
        <v>1150</v>
      </c>
      <c r="CF75" s="4"/>
      <c r="CG75" s="4"/>
      <c r="CH75" s="4"/>
      <c r="CI75" s="4"/>
      <c r="CJ75" s="4"/>
      <c r="CK75" s="4"/>
      <c r="CL75" s="4"/>
      <c r="CM75" s="4"/>
      <c r="CN75" s="240">
        <f t="shared" si="315"/>
        <v>68</v>
      </c>
    </row>
    <row r="76" spans="1:92" outlineLevel="1">
      <c r="A76" s="144"/>
      <c r="B76" s="45" t="s">
        <v>324</v>
      </c>
      <c r="C76" s="226">
        <f t="shared" ref="C76:Q76" si="317">AVERAGEIF($T$5:$CF$5,C$5,$T76:$CF76)</f>
        <v>152.5</v>
      </c>
      <c r="D76" s="226">
        <f t="shared" si="317"/>
        <v>244.5</v>
      </c>
      <c r="E76" s="226">
        <f t="shared" si="317"/>
        <v>292.75</v>
      </c>
      <c r="F76" s="226">
        <f t="shared" si="317"/>
        <v>300</v>
      </c>
      <c r="G76" s="226">
        <f t="shared" si="317"/>
        <v>340.75</v>
      </c>
      <c r="H76" s="226">
        <f t="shared" si="317"/>
        <v>522.75</v>
      </c>
      <c r="I76" s="226">
        <f t="shared" si="317"/>
        <v>660</v>
      </c>
      <c r="J76" s="226">
        <f t="shared" si="317"/>
        <v>695</v>
      </c>
      <c r="K76" s="226">
        <f t="shared" si="317"/>
        <v>744.5</v>
      </c>
      <c r="L76" s="226">
        <f t="shared" si="317"/>
        <v>678.16249999999991</v>
      </c>
      <c r="M76" s="226">
        <f t="shared" si="317"/>
        <v>489.375</v>
      </c>
      <c r="N76" s="226">
        <f t="shared" si="317"/>
        <v>744.96875</v>
      </c>
      <c r="O76" s="226">
        <f t="shared" si="317"/>
        <v>947.5</v>
      </c>
      <c r="P76" s="226">
        <f t="shared" si="317"/>
        <v>1015</v>
      </c>
      <c r="Q76" s="226">
        <f t="shared" si="317"/>
        <v>1150</v>
      </c>
      <c r="R76" s="226"/>
      <c r="S76" s="226"/>
      <c r="T76" s="226">
        <f t="shared" ref="T76:BG76" si="318">T75</f>
        <v>115</v>
      </c>
      <c r="U76" s="226">
        <f t="shared" si="318"/>
        <v>115</v>
      </c>
      <c r="V76" s="226">
        <f t="shared" si="318"/>
        <v>115</v>
      </c>
      <c r="W76" s="226">
        <f t="shared" si="318"/>
        <v>115</v>
      </c>
      <c r="X76" s="226">
        <f t="shared" si="318"/>
        <v>115</v>
      </c>
      <c r="Y76" s="226">
        <f t="shared" si="318"/>
        <v>165</v>
      </c>
      <c r="Z76" s="226">
        <f t="shared" si="318"/>
        <v>165</v>
      </c>
      <c r="AA76" s="226">
        <f t="shared" si="318"/>
        <v>165</v>
      </c>
      <c r="AB76" s="226">
        <f t="shared" si="318"/>
        <v>165</v>
      </c>
      <c r="AC76" s="226">
        <f t="shared" si="318"/>
        <v>271</v>
      </c>
      <c r="AD76" s="226">
        <f t="shared" si="318"/>
        <v>271</v>
      </c>
      <c r="AE76" s="226">
        <f t="shared" si="318"/>
        <v>271</v>
      </c>
      <c r="AF76" s="226">
        <f t="shared" si="318"/>
        <v>271</v>
      </c>
      <c r="AG76" s="226">
        <f t="shared" si="318"/>
        <v>300</v>
      </c>
      <c r="AH76" s="226">
        <f t="shared" si="318"/>
        <v>300</v>
      </c>
      <c r="AI76" s="226">
        <f t="shared" si="318"/>
        <v>300</v>
      </c>
      <c r="AJ76" s="226">
        <f t="shared" si="318"/>
        <v>300</v>
      </c>
      <c r="AK76" s="226">
        <f t="shared" si="318"/>
        <v>300</v>
      </c>
      <c r="AL76" s="226">
        <f t="shared" si="318"/>
        <v>300</v>
      </c>
      <c r="AM76" s="226">
        <f t="shared" si="318"/>
        <v>300</v>
      </c>
      <c r="AN76" s="226">
        <f t="shared" si="318"/>
        <v>300</v>
      </c>
      <c r="AO76" s="226">
        <f t="shared" si="318"/>
        <v>300</v>
      </c>
      <c r="AP76" s="226">
        <f t="shared" si="318"/>
        <v>350</v>
      </c>
      <c r="AQ76" s="226">
        <f t="shared" si="318"/>
        <v>413</v>
      </c>
      <c r="AR76" s="226">
        <f t="shared" si="318"/>
        <v>465</v>
      </c>
      <c r="AS76" s="226">
        <f t="shared" si="318"/>
        <v>495</v>
      </c>
      <c r="AT76" s="226">
        <f t="shared" si="318"/>
        <v>531</v>
      </c>
      <c r="AU76" s="226">
        <f t="shared" si="318"/>
        <v>600</v>
      </c>
      <c r="AV76" s="226">
        <f t="shared" si="318"/>
        <v>660</v>
      </c>
      <c r="AW76" s="226">
        <f t="shared" si="318"/>
        <v>660</v>
      </c>
      <c r="AX76" s="226">
        <f t="shared" si="318"/>
        <v>660</v>
      </c>
      <c r="AY76" s="226">
        <f t="shared" si="318"/>
        <v>660</v>
      </c>
      <c r="AZ76" s="226">
        <f t="shared" si="318"/>
        <v>680</v>
      </c>
      <c r="BA76" s="226">
        <f t="shared" si="318"/>
        <v>680</v>
      </c>
      <c r="BB76" s="226">
        <f t="shared" si="318"/>
        <v>710</v>
      </c>
      <c r="BC76" s="226">
        <f t="shared" si="318"/>
        <v>710</v>
      </c>
      <c r="BD76" s="226">
        <f t="shared" si="318"/>
        <v>710</v>
      </c>
      <c r="BE76" s="226">
        <f t="shared" si="318"/>
        <v>720</v>
      </c>
      <c r="BF76" s="226">
        <f t="shared" si="318"/>
        <v>750</v>
      </c>
      <c r="BG76" s="226">
        <f t="shared" si="318"/>
        <v>798</v>
      </c>
      <c r="BH76" s="227">
        <f>+BH75*0.85</f>
        <v>762.44999999999993</v>
      </c>
      <c r="BI76" s="227">
        <f>+BI75*0.7</f>
        <v>644.69999999999993</v>
      </c>
      <c r="BJ76" s="227">
        <f>+BJ75*0.7</f>
        <v>654.5</v>
      </c>
      <c r="BK76" s="227">
        <f>+BK75*0.7</f>
        <v>651</v>
      </c>
      <c r="BL76" s="227">
        <f>+BL75*0.6</f>
        <v>555</v>
      </c>
      <c r="BM76" s="227">
        <f>AVERAGE(BL76,BN76)</f>
        <v>502.5</v>
      </c>
      <c r="BN76" s="227">
        <v>450</v>
      </c>
      <c r="BO76" s="227">
        <v>450</v>
      </c>
      <c r="BP76" s="227">
        <f>AVERAGE(450,650)</f>
        <v>550</v>
      </c>
      <c r="BQ76" s="227">
        <f>925*0.75</f>
        <v>693.75</v>
      </c>
      <c r="BR76" s="227">
        <f>AVERAGE(0.95*927,0.8*927)</f>
        <v>811.125</v>
      </c>
      <c r="BS76" s="227">
        <v>925</v>
      </c>
      <c r="BT76" s="233">
        <v>925.00000000000011</v>
      </c>
      <c r="BU76" s="233">
        <f t="shared" ref="BU76:CA76" si="319">AVERAGE(BT75:BU75)</f>
        <v>936.25</v>
      </c>
      <c r="BV76" s="233">
        <f t="shared" si="319"/>
        <v>958.75</v>
      </c>
      <c r="BW76" s="233">
        <f t="shared" si="319"/>
        <v>970</v>
      </c>
      <c r="BX76" s="233">
        <f t="shared" si="319"/>
        <v>970</v>
      </c>
      <c r="BY76" s="233">
        <f t="shared" si="319"/>
        <v>970</v>
      </c>
      <c r="BZ76" s="233">
        <f t="shared" si="319"/>
        <v>1015</v>
      </c>
      <c r="CA76" s="233">
        <f t="shared" si="319"/>
        <v>1105</v>
      </c>
      <c r="CB76" s="233">
        <f t="shared" ref="CB76:CE76" si="320">AVERAGE(CA75:CB75)</f>
        <v>1150</v>
      </c>
      <c r="CC76" s="233">
        <f t="shared" si="320"/>
        <v>1150</v>
      </c>
      <c r="CD76" s="233">
        <f t="shared" si="320"/>
        <v>1150</v>
      </c>
      <c r="CE76" s="233">
        <f t="shared" si="320"/>
        <v>1150</v>
      </c>
      <c r="CF76" s="4"/>
      <c r="CG76" s="4"/>
      <c r="CH76" s="4"/>
      <c r="CI76" s="4"/>
      <c r="CJ76" s="4"/>
      <c r="CK76" s="4"/>
      <c r="CL76" s="4"/>
      <c r="CM76" s="4"/>
      <c r="CN76" s="240">
        <f t="shared" si="315"/>
        <v>69</v>
      </c>
    </row>
    <row r="77" spans="1:92" outlineLevel="1">
      <c r="A77" s="144"/>
      <c r="B77" s="45" t="s">
        <v>292</v>
      </c>
      <c r="C77" s="174">
        <f t="shared" ref="C77:Q77" si="321">C76/C75</f>
        <v>1</v>
      </c>
      <c r="D77" s="174">
        <f t="shared" si="321"/>
        <v>1</v>
      </c>
      <c r="E77" s="174">
        <f t="shared" si="321"/>
        <v>1</v>
      </c>
      <c r="F77" s="174">
        <f t="shared" si="321"/>
        <v>1</v>
      </c>
      <c r="G77" s="174">
        <f t="shared" si="321"/>
        <v>1</v>
      </c>
      <c r="H77" s="174">
        <f t="shared" si="321"/>
        <v>1</v>
      </c>
      <c r="I77" s="174">
        <f t="shared" si="321"/>
        <v>1</v>
      </c>
      <c r="J77" s="174">
        <f t="shared" si="321"/>
        <v>1</v>
      </c>
      <c r="K77" s="174">
        <f t="shared" si="321"/>
        <v>1</v>
      </c>
      <c r="L77" s="174">
        <f t="shared" si="321"/>
        <v>0.73653271789302188</v>
      </c>
      <c r="M77" s="174">
        <f t="shared" si="321"/>
        <v>0.52905405405405403</v>
      </c>
      <c r="N77" s="174">
        <f t="shared" si="321"/>
        <v>0.80537162162162157</v>
      </c>
      <c r="O77" s="174">
        <f t="shared" si="321"/>
        <v>0.99409836065573776</v>
      </c>
      <c r="P77" s="174">
        <f t="shared" si="321"/>
        <v>0.97831325301204819</v>
      </c>
      <c r="Q77" s="174">
        <f t="shared" si="321"/>
        <v>1</v>
      </c>
      <c r="R77" s="57"/>
      <c r="S77" s="4"/>
      <c r="T77" s="174">
        <f t="shared" ref="T77:AY77" si="322">T76/T75</f>
        <v>1</v>
      </c>
      <c r="U77" s="174">
        <f t="shared" si="322"/>
        <v>1</v>
      </c>
      <c r="V77" s="174">
        <f t="shared" si="322"/>
        <v>1</v>
      </c>
      <c r="W77" s="174">
        <f t="shared" si="322"/>
        <v>1</v>
      </c>
      <c r="X77" s="174">
        <f t="shared" si="322"/>
        <v>1</v>
      </c>
      <c r="Y77" s="174">
        <f t="shared" si="322"/>
        <v>1</v>
      </c>
      <c r="Z77" s="174">
        <f t="shared" si="322"/>
        <v>1</v>
      </c>
      <c r="AA77" s="174">
        <f t="shared" si="322"/>
        <v>1</v>
      </c>
      <c r="AB77" s="174">
        <f t="shared" si="322"/>
        <v>1</v>
      </c>
      <c r="AC77" s="174">
        <f t="shared" si="322"/>
        <v>1</v>
      </c>
      <c r="AD77" s="174">
        <f t="shared" si="322"/>
        <v>1</v>
      </c>
      <c r="AE77" s="174">
        <f t="shared" si="322"/>
        <v>1</v>
      </c>
      <c r="AF77" s="174">
        <f t="shared" si="322"/>
        <v>1</v>
      </c>
      <c r="AG77" s="174">
        <f t="shared" si="322"/>
        <v>1</v>
      </c>
      <c r="AH77" s="174">
        <f t="shared" si="322"/>
        <v>1</v>
      </c>
      <c r="AI77" s="174">
        <f t="shared" si="322"/>
        <v>1</v>
      </c>
      <c r="AJ77" s="174">
        <f t="shared" si="322"/>
        <v>1</v>
      </c>
      <c r="AK77" s="174">
        <f t="shared" si="322"/>
        <v>1</v>
      </c>
      <c r="AL77" s="174">
        <f t="shared" si="322"/>
        <v>1</v>
      </c>
      <c r="AM77" s="174">
        <f t="shared" si="322"/>
        <v>1</v>
      </c>
      <c r="AN77" s="174">
        <f t="shared" si="322"/>
        <v>1</v>
      </c>
      <c r="AO77" s="174">
        <f t="shared" si="322"/>
        <v>1</v>
      </c>
      <c r="AP77" s="174">
        <f t="shared" si="322"/>
        <v>1</v>
      </c>
      <c r="AQ77" s="174">
        <f t="shared" si="322"/>
        <v>1</v>
      </c>
      <c r="AR77" s="174">
        <f t="shared" si="322"/>
        <v>1</v>
      </c>
      <c r="AS77" s="174">
        <f t="shared" si="322"/>
        <v>1</v>
      </c>
      <c r="AT77" s="174">
        <f t="shared" si="322"/>
        <v>1</v>
      </c>
      <c r="AU77" s="174">
        <f t="shared" si="322"/>
        <v>1</v>
      </c>
      <c r="AV77" s="174">
        <f t="shared" si="322"/>
        <v>1</v>
      </c>
      <c r="AW77" s="174">
        <f t="shared" si="322"/>
        <v>1</v>
      </c>
      <c r="AX77" s="174">
        <f t="shared" si="322"/>
        <v>1</v>
      </c>
      <c r="AY77" s="174">
        <f t="shared" si="322"/>
        <v>1</v>
      </c>
      <c r="AZ77" s="174">
        <f t="shared" ref="AZ77:CE77" si="323">AZ76/AZ75</f>
        <v>1</v>
      </c>
      <c r="BA77" s="174">
        <f t="shared" si="323"/>
        <v>1</v>
      </c>
      <c r="BB77" s="174">
        <f t="shared" si="323"/>
        <v>1</v>
      </c>
      <c r="BC77" s="174">
        <f t="shared" si="323"/>
        <v>1</v>
      </c>
      <c r="BD77" s="174">
        <f t="shared" si="323"/>
        <v>1</v>
      </c>
      <c r="BE77" s="174">
        <f t="shared" si="323"/>
        <v>1</v>
      </c>
      <c r="BF77" s="174">
        <f t="shared" si="323"/>
        <v>1</v>
      </c>
      <c r="BG77" s="174">
        <f t="shared" si="323"/>
        <v>1</v>
      </c>
      <c r="BH77" s="174">
        <f t="shared" si="323"/>
        <v>0.85</v>
      </c>
      <c r="BI77" s="174">
        <f t="shared" si="323"/>
        <v>0.7</v>
      </c>
      <c r="BJ77" s="174">
        <f t="shared" si="323"/>
        <v>0.7</v>
      </c>
      <c r="BK77" s="174">
        <f t="shared" si="323"/>
        <v>0.7</v>
      </c>
      <c r="BL77" s="174">
        <f t="shared" si="323"/>
        <v>0.6</v>
      </c>
      <c r="BM77" s="174">
        <f t="shared" si="323"/>
        <v>0.54324324324324325</v>
      </c>
      <c r="BN77" s="174">
        <f t="shared" si="323"/>
        <v>0.48648648648648651</v>
      </c>
      <c r="BO77" s="174">
        <f t="shared" si="323"/>
        <v>0.48648648648648651</v>
      </c>
      <c r="BP77" s="174">
        <f t="shared" si="323"/>
        <v>0.59459459459459463</v>
      </c>
      <c r="BQ77" s="174">
        <f t="shared" si="323"/>
        <v>0.75</v>
      </c>
      <c r="BR77" s="174">
        <f t="shared" si="323"/>
        <v>0.87689189189189187</v>
      </c>
      <c r="BS77" s="174">
        <f t="shared" si="323"/>
        <v>1</v>
      </c>
      <c r="BT77" s="174">
        <f t="shared" si="323"/>
        <v>1.0000000000000002</v>
      </c>
      <c r="BU77" s="174">
        <f t="shared" si="323"/>
        <v>0.98812664907651715</v>
      </c>
      <c r="BV77" s="174">
        <f t="shared" si="323"/>
        <v>0.98840206185567014</v>
      </c>
      <c r="BW77" s="174">
        <f t="shared" si="323"/>
        <v>1</v>
      </c>
      <c r="BX77" s="174">
        <f t="shared" si="323"/>
        <v>1</v>
      </c>
      <c r="BY77" s="174">
        <f t="shared" si="323"/>
        <v>1</v>
      </c>
      <c r="BZ77" s="174">
        <f t="shared" si="323"/>
        <v>0.95754716981132071</v>
      </c>
      <c r="CA77" s="174">
        <f t="shared" si="323"/>
        <v>0.96086956521739131</v>
      </c>
      <c r="CB77" s="174">
        <f t="shared" si="323"/>
        <v>1</v>
      </c>
      <c r="CC77" s="174">
        <f t="shared" si="323"/>
        <v>1</v>
      </c>
      <c r="CD77" s="174">
        <f t="shared" si="323"/>
        <v>1</v>
      </c>
      <c r="CE77" s="174">
        <f t="shared" si="323"/>
        <v>1</v>
      </c>
      <c r="CF77" s="4"/>
      <c r="CG77" s="4"/>
      <c r="CH77" s="4"/>
      <c r="CI77" s="4"/>
      <c r="CJ77" s="4"/>
      <c r="CK77" s="4"/>
      <c r="CL77" s="4"/>
      <c r="CM77" s="4"/>
      <c r="CN77" s="240">
        <f t="shared" si="315"/>
        <v>70</v>
      </c>
    </row>
    <row r="78" spans="1:92" outlineLevel="1">
      <c r="A78" s="144"/>
      <c r="B78" s="45" t="s">
        <v>306</v>
      </c>
      <c r="C78" s="95"/>
      <c r="D78" s="95"/>
      <c r="E78" s="95"/>
      <c r="F78" s="95"/>
      <c r="G78" s="95"/>
      <c r="H78" s="187">
        <v>12.81195</v>
      </c>
      <c r="I78" s="187">
        <v>11.912725</v>
      </c>
      <c r="J78" s="187">
        <v>12.37415</v>
      </c>
      <c r="K78" s="187">
        <v>14.6343</v>
      </c>
      <c r="L78" s="187">
        <v>10.666600000000001</v>
      </c>
      <c r="M78" s="187">
        <v>6.1823499999999996</v>
      </c>
      <c r="N78" s="187">
        <v>11.049206311987328</v>
      </c>
      <c r="O78" s="187">
        <v>16.458848823292264</v>
      </c>
      <c r="P78" s="187">
        <v>20.19692888526378</v>
      </c>
      <c r="Q78" s="187">
        <v>20.707817454728414</v>
      </c>
      <c r="R78" s="57"/>
      <c r="S78" s="4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187">
        <v>12.664999999999999</v>
      </c>
      <c r="AU78" s="187">
        <v>12.9589</v>
      </c>
      <c r="AV78" s="187">
        <v>12.9495</v>
      </c>
      <c r="AW78" s="187">
        <v>12.355399999999999</v>
      </c>
      <c r="AX78" s="187">
        <v>11.627000000000001</v>
      </c>
      <c r="AY78" s="187">
        <v>10.718999999999999</v>
      </c>
      <c r="AZ78" s="187">
        <v>12.0092</v>
      </c>
      <c r="BA78" s="187">
        <v>12.542999999999999</v>
      </c>
      <c r="BB78" s="187">
        <v>12.6426</v>
      </c>
      <c r="BC78" s="187">
        <v>12.3018</v>
      </c>
      <c r="BD78" s="187">
        <v>13.1829</v>
      </c>
      <c r="BE78" s="187">
        <v>13.8872</v>
      </c>
      <c r="BF78" s="187">
        <v>14.745200000000001</v>
      </c>
      <c r="BG78" s="187">
        <v>16.721900000000002</v>
      </c>
      <c r="BH78" s="187">
        <v>13.5267</v>
      </c>
      <c r="BI78" s="187">
        <v>10.4832</v>
      </c>
      <c r="BJ78" s="187">
        <v>10.164099999999999</v>
      </c>
      <c r="BK78" s="187">
        <v>8.4923999999999999</v>
      </c>
      <c r="BL78" s="187">
        <v>6.5731000000000002</v>
      </c>
      <c r="BM78" s="187">
        <v>5.5</v>
      </c>
      <c r="BN78" s="187">
        <v>5.8236999999999997</v>
      </c>
      <c r="BO78" s="187">
        <v>6.8326000000000002</v>
      </c>
      <c r="BP78" s="187">
        <v>9.214686804990869</v>
      </c>
      <c r="BQ78" s="187">
        <v>10.919107903901336</v>
      </c>
      <c r="BR78" s="187">
        <v>11.611581415992914</v>
      </c>
      <c r="BS78" s="187">
        <v>12.451449123064192</v>
      </c>
      <c r="BT78" s="187">
        <v>12.649199126032114</v>
      </c>
      <c r="BU78" s="187">
        <v>15.894167927008613</v>
      </c>
      <c r="BV78" s="187">
        <v>18.081071307182956</v>
      </c>
      <c r="BW78" s="187">
        <v>19.210956932945368</v>
      </c>
      <c r="BX78" s="187">
        <v>19.991140248907548</v>
      </c>
      <c r="BY78" s="187">
        <v>19.983935314059959</v>
      </c>
      <c r="BZ78" s="187">
        <v>20.221073159985181</v>
      </c>
      <c r="CA78" s="187">
        <v>20.591566818102432</v>
      </c>
      <c r="CB78" s="187">
        <v>20.848659395636592</v>
      </c>
      <c r="CC78" s="187">
        <v>20.702950615870503</v>
      </c>
      <c r="CD78" s="187">
        <v>20.567767409362443</v>
      </c>
      <c r="CE78" s="187">
        <v>20.711892398044121</v>
      </c>
      <c r="CF78" s="4"/>
      <c r="CG78" s="4"/>
      <c r="CH78" s="4"/>
      <c r="CI78" s="4"/>
      <c r="CJ78" s="4"/>
      <c r="CK78" s="4"/>
      <c r="CL78" s="4"/>
      <c r="CM78" s="4"/>
      <c r="CN78" s="240">
        <f t="shared" si="315"/>
        <v>71</v>
      </c>
    </row>
    <row r="79" spans="1:92" outlineLevel="1">
      <c r="A79" s="144"/>
      <c r="B79" s="45" t="s">
        <v>307</v>
      </c>
      <c r="C79" s="95"/>
      <c r="D79" s="95"/>
      <c r="E79" s="95"/>
      <c r="F79" s="95"/>
      <c r="G79" s="95"/>
      <c r="H79" s="57">
        <f t="shared" ref="H79" si="324">(H76/1000)/H78</f>
        <v>4.0801751489820057E-2</v>
      </c>
      <c r="I79" s="57">
        <f t="shared" ref="I79:Q79" si="325">(I76/1000)/I78</f>
        <v>5.540294097278331E-2</v>
      </c>
      <c r="J79" s="57">
        <f t="shared" si="325"/>
        <v>5.6165473992152992E-2</v>
      </c>
      <c r="K79" s="57">
        <f t="shared" si="325"/>
        <v>5.0873632493525486E-2</v>
      </c>
      <c r="L79" s="57">
        <f t="shared" si="325"/>
        <v>6.3578131738323343E-2</v>
      </c>
      <c r="M79" s="57">
        <f t="shared" si="325"/>
        <v>7.9156793128826425E-2</v>
      </c>
      <c r="N79" s="57">
        <f t="shared" si="325"/>
        <v>6.7422829202834267E-2</v>
      </c>
      <c r="O79" s="57">
        <f t="shared" si="325"/>
        <v>5.7567817176807361E-2</v>
      </c>
      <c r="P79" s="57">
        <f t="shared" si="325"/>
        <v>5.0255165315780809E-2</v>
      </c>
      <c r="Q79" s="57">
        <f t="shared" si="325"/>
        <v>5.5534582652862312E-2</v>
      </c>
      <c r="R79" s="57"/>
      <c r="S79" s="4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57">
        <f t="shared" ref="AT79:CE79" si="326">(AT76/1000)/AT78</f>
        <v>4.19265692854323E-2</v>
      </c>
      <c r="AU79" s="57">
        <f t="shared" si="326"/>
        <v>4.6300226099437451E-2</v>
      </c>
      <c r="AV79" s="57">
        <f t="shared" si="326"/>
        <v>5.0967218811537124E-2</v>
      </c>
      <c r="AW79" s="57">
        <f t="shared" si="326"/>
        <v>5.341793871505577E-2</v>
      </c>
      <c r="AX79" s="57">
        <f t="shared" si="326"/>
        <v>5.6764427625354774E-2</v>
      </c>
      <c r="AY79" s="57">
        <f t="shared" si="326"/>
        <v>6.157290792051498E-2</v>
      </c>
      <c r="AZ79" s="57">
        <f t="shared" si="326"/>
        <v>5.6623255504113519E-2</v>
      </c>
      <c r="BA79" s="57">
        <f t="shared" si="326"/>
        <v>5.4213505540939178E-2</v>
      </c>
      <c r="BB79" s="57">
        <f t="shared" si="326"/>
        <v>5.6159334314144244E-2</v>
      </c>
      <c r="BC79" s="57">
        <f t="shared" si="326"/>
        <v>5.7715131119023232E-2</v>
      </c>
      <c r="BD79" s="57">
        <f t="shared" si="326"/>
        <v>5.3857648923984855E-2</v>
      </c>
      <c r="BE79" s="57">
        <f t="shared" si="326"/>
        <v>5.1846304510628494E-2</v>
      </c>
      <c r="BF79" s="57">
        <f t="shared" si="326"/>
        <v>5.0864009982909693E-2</v>
      </c>
      <c r="BG79" s="57">
        <f t="shared" si="326"/>
        <v>4.7721849789796614E-2</v>
      </c>
      <c r="BH79" s="57">
        <f t="shared" si="326"/>
        <v>5.636629776663931E-2</v>
      </c>
      <c r="BI79" s="57">
        <f t="shared" si="326"/>
        <v>6.1498397435897433E-2</v>
      </c>
      <c r="BJ79" s="57">
        <f t="shared" si="326"/>
        <v>6.4393305850985336E-2</v>
      </c>
      <c r="BK79" s="57">
        <f t="shared" si="326"/>
        <v>7.665677546983185E-2</v>
      </c>
      <c r="BL79" s="57">
        <f t="shared" si="326"/>
        <v>8.4435045868768169E-2</v>
      </c>
      <c r="BM79" s="57">
        <f t="shared" si="326"/>
        <v>9.1363636363636355E-2</v>
      </c>
      <c r="BN79" s="57">
        <f t="shared" si="326"/>
        <v>7.7270463794494912E-2</v>
      </c>
      <c r="BO79" s="57">
        <f t="shared" si="326"/>
        <v>6.5860726516992069E-2</v>
      </c>
      <c r="BP79" s="57">
        <f t="shared" si="326"/>
        <v>5.968732433772013E-2</v>
      </c>
      <c r="BQ79" s="57">
        <f t="shared" si="326"/>
        <v>6.3535410228167721E-2</v>
      </c>
      <c r="BR79" s="57">
        <f t="shared" si="326"/>
        <v>6.9854826051757066E-2</v>
      </c>
      <c r="BS79" s="57">
        <f t="shared" si="326"/>
        <v>7.4288541908475128E-2</v>
      </c>
      <c r="BT79" s="57">
        <f t="shared" si="326"/>
        <v>7.31271593389929E-2</v>
      </c>
      <c r="BU79" s="57">
        <f t="shared" si="326"/>
        <v>5.8905254071781307E-2</v>
      </c>
      <c r="BV79" s="57">
        <f t="shared" si="326"/>
        <v>5.3025066032405019E-2</v>
      </c>
      <c r="BW79" s="57">
        <f t="shared" si="326"/>
        <v>5.0492018871611845E-2</v>
      </c>
      <c r="BX79" s="57">
        <f t="shared" si="326"/>
        <v>4.8521494418158929E-2</v>
      </c>
      <c r="BY79" s="57">
        <f t="shared" si="326"/>
        <v>4.8538988180047989E-2</v>
      </c>
      <c r="BZ79" s="57">
        <f t="shared" si="326"/>
        <v>5.0195159869583485E-2</v>
      </c>
      <c r="CA79" s="57">
        <f t="shared" si="326"/>
        <v>5.366274503349467E-2</v>
      </c>
      <c r="CB79" s="57">
        <f t="shared" si="326"/>
        <v>5.5159421916628509E-2</v>
      </c>
      <c r="CC79" s="57">
        <f t="shared" si="326"/>
        <v>5.5547637693654693E-2</v>
      </c>
      <c r="CD79" s="57">
        <f t="shared" si="326"/>
        <v>5.5912728742572235E-2</v>
      </c>
      <c r="CE79" s="57">
        <f t="shared" si="326"/>
        <v>5.5523656549538537E-2</v>
      </c>
      <c r="CF79" s="4"/>
      <c r="CG79" s="4"/>
      <c r="CH79" s="4"/>
      <c r="CI79" s="4"/>
      <c r="CJ79" s="4"/>
      <c r="CK79" s="4"/>
      <c r="CL79" s="4"/>
      <c r="CM79" s="4"/>
      <c r="CN79" s="240">
        <f t="shared" si="315"/>
        <v>72</v>
      </c>
    </row>
    <row r="80" spans="1:92" outlineLevel="1">
      <c r="A80" s="144"/>
      <c r="B80" s="4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57"/>
      <c r="S80" s="4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155"/>
      <c r="BI80" s="155"/>
      <c r="BJ80" s="155"/>
      <c r="BK80" s="155"/>
      <c r="BL80" s="155"/>
      <c r="BM80" s="155"/>
      <c r="BN80" s="155"/>
      <c r="BO80" s="155"/>
      <c r="BP80" s="155"/>
      <c r="BQ80" s="155"/>
      <c r="BR80" s="155"/>
      <c r="BS80" s="155"/>
      <c r="BT80" s="95"/>
      <c r="BU80" s="95"/>
      <c r="BV80" s="95"/>
      <c r="BW80" s="95"/>
      <c r="BX80" s="95"/>
      <c r="BY80" s="95"/>
      <c r="BZ80" s="95"/>
      <c r="CA80" s="95"/>
      <c r="CB80" s="95"/>
      <c r="CC80" s="95"/>
      <c r="CD80" s="95"/>
      <c r="CE80" s="95"/>
      <c r="CF80" s="4"/>
      <c r="CG80" s="4"/>
      <c r="CH80" s="4"/>
      <c r="CI80" s="4"/>
      <c r="CJ80" s="4"/>
      <c r="CK80" s="4"/>
      <c r="CL80" s="4"/>
      <c r="CM80" s="4"/>
      <c r="CN80" s="240">
        <f t="shared" si="315"/>
        <v>73</v>
      </c>
    </row>
    <row r="81" spans="1:92" outlineLevel="1">
      <c r="A81" s="144"/>
      <c r="B81" s="45" t="s">
        <v>290</v>
      </c>
      <c r="C81" s="152">
        <f t="shared" ref="C81:Q81" si="327">(C73*1000000)/(C76*1000)</f>
        <v>1486.6845901639344</v>
      </c>
      <c r="D81" s="152">
        <f t="shared" si="327"/>
        <v>1129.2040899795502</v>
      </c>
      <c r="E81" s="152">
        <f t="shared" si="327"/>
        <v>1228.217147736977</v>
      </c>
      <c r="F81" s="152">
        <f t="shared" si="327"/>
        <v>744.62646666666672</v>
      </c>
      <c r="G81" s="152">
        <f t="shared" si="327"/>
        <v>1544.4294057226705</v>
      </c>
      <c r="H81" s="152">
        <f t="shared" si="327"/>
        <v>1844.3890004782404</v>
      </c>
      <c r="I81" s="152">
        <f t="shared" si="327"/>
        <v>1598.5399242424244</v>
      </c>
      <c r="J81" s="152">
        <f t="shared" si="327"/>
        <v>1460.575054676259</v>
      </c>
      <c r="K81" s="152">
        <f t="shared" si="327"/>
        <v>1803.475853593015</v>
      </c>
      <c r="L81" s="152">
        <f t="shared" si="327"/>
        <v>997.44544412290577</v>
      </c>
      <c r="M81" s="152">
        <f t="shared" si="327"/>
        <v>688.06163371647506</v>
      </c>
      <c r="N81" s="152">
        <f t="shared" si="327"/>
        <v>1333.5372644825707</v>
      </c>
      <c r="O81" s="152">
        <f t="shared" si="327"/>
        <v>1353.7979240123268</v>
      </c>
      <c r="P81" s="152">
        <f t="shared" si="327"/>
        <v>1411.4403832319997</v>
      </c>
      <c r="Q81" s="152">
        <f t="shared" si="327"/>
        <v>1411.4403832319997</v>
      </c>
      <c r="R81" s="152"/>
      <c r="S81" s="152"/>
      <c r="T81" s="152">
        <f t="shared" ref="T81:AY81" si="328">(T73*1000000*4)/(T76*1000)</f>
        <v>1188.2469565217391</v>
      </c>
      <c r="U81" s="152">
        <f t="shared" si="328"/>
        <v>1311.9878260869566</v>
      </c>
      <c r="V81" s="152">
        <f t="shared" si="328"/>
        <v>1490.3085217391304</v>
      </c>
      <c r="W81" s="152">
        <f t="shared" si="328"/>
        <v>1513.0361739130437</v>
      </c>
      <c r="X81" s="152">
        <f t="shared" si="328"/>
        <v>1797.8824347826087</v>
      </c>
      <c r="Y81" s="152">
        <f t="shared" si="328"/>
        <v>1345.5684848484848</v>
      </c>
      <c r="Z81" s="152">
        <f t="shared" si="328"/>
        <v>1420.5920000000001</v>
      </c>
      <c r="AA81" s="152">
        <f t="shared" si="328"/>
        <v>1476.997818181818</v>
      </c>
      <c r="AB81" s="152">
        <f t="shared" si="328"/>
        <v>1658.6181818181815</v>
      </c>
      <c r="AC81" s="152">
        <f t="shared" si="328"/>
        <v>1009.7771217712177</v>
      </c>
      <c r="AD81" s="152">
        <f t="shared" si="328"/>
        <v>956.2273062730626</v>
      </c>
      <c r="AE81" s="152">
        <f t="shared" si="328"/>
        <v>1099.2708487084872</v>
      </c>
      <c r="AF81" s="152">
        <f t="shared" si="328"/>
        <v>1193.5508487084871</v>
      </c>
      <c r="AG81" s="152">
        <f t="shared" si="328"/>
        <v>1173.6331999999998</v>
      </c>
      <c r="AH81" s="152">
        <f t="shared" si="328"/>
        <v>1296.7862666666665</v>
      </c>
      <c r="AI81" s="152">
        <f t="shared" si="328"/>
        <v>1245.5472</v>
      </c>
      <c r="AJ81" s="152">
        <f t="shared" si="328"/>
        <v>893.10640000000024</v>
      </c>
      <c r="AK81" s="152">
        <f t="shared" si="328"/>
        <v>643.55786666666665</v>
      </c>
      <c r="AL81" s="152">
        <f t="shared" si="328"/>
        <v>669.60559999999998</v>
      </c>
      <c r="AM81" s="152">
        <f t="shared" si="328"/>
        <v>772.23599999999999</v>
      </c>
      <c r="AN81" s="152">
        <f t="shared" si="328"/>
        <v>1364.1215999999999</v>
      </c>
      <c r="AO81" s="152">
        <f t="shared" si="328"/>
        <v>1618.5344</v>
      </c>
      <c r="AP81" s="152">
        <f t="shared" si="328"/>
        <v>1657.7828571428568</v>
      </c>
      <c r="AQ81" s="152">
        <f t="shared" si="328"/>
        <v>1525.5120581113802</v>
      </c>
      <c r="AR81" s="152">
        <f t="shared" si="328"/>
        <v>1641.9827956989245</v>
      </c>
      <c r="AS81" s="152">
        <f t="shared" si="328"/>
        <v>1870.8242424242424</v>
      </c>
      <c r="AT81" s="152">
        <f t="shared" si="328"/>
        <v>2080.8229755178913</v>
      </c>
      <c r="AU81" s="152">
        <f t="shared" si="328"/>
        <v>1770.2006666666671</v>
      </c>
      <c r="AV81" s="152">
        <f t="shared" si="328"/>
        <v>1675.1900000000003</v>
      </c>
      <c r="AW81" s="152">
        <f t="shared" si="328"/>
        <v>1606.4010909090907</v>
      </c>
      <c r="AX81" s="152">
        <f t="shared" si="328"/>
        <v>1546.0952727272729</v>
      </c>
      <c r="AY81" s="152">
        <f t="shared" si="328"/>
        <v>1566.4733333333336</v>
      </c>
      <c r="AZ81" s="152">
        <f t="shared" ref="AZ81:BS81" si="329">(AZ73*1000000*4)/(AZ76*1000)</f>
        <v>1302.5112941176471</v>
      </c>
      <c r="BA81" s="152">
        <f t="shared" si="329"/>
        <v>1466.9027647058824</v>
      </c>
      <c r="BB81" s="152">
        <f t="shared" si="329"/>
        <v>1530.0840169014084</v>
      </c>
      <c r="BC81" s="152">
        <f t="shared" si="329"/>
        <v>1536.3907605633804</v>
      </c>
      <c r="BD81" s="152">
        <f t="shared" si="329"/>
        <v>1611.0672676056336</v>
      </c>
      <c r="BE81" s="152">
        <f t="shared" si="329"/>
        <v>1861.82125</v>
      </c>
      <c r="BF81" s="152">
        <f t="shared" si="329"/>
        <v>1926.6031359999997</v>
      </c>
      <c r="BG81" s="152">
        <f t="shared" si="329"/>
        <v>1806.3028571428572</v>
      </c>
      <c r="BH81" s="152">
        <f t="shared" si="329"/>
        <v>1150.9518001180411</v>
      </c>
      <c r="BI81" s="152">
        <f t="shared" si="329"/>
        <v>976.63558244144576</v>
      </c>
      <c r="BJ81" s="152">
        <f t="shared" si="329"/>
        <v>936.65454545454543</v>
      </c>
      <c r="BK81" s="152">
        <f t="shared" si="329"/>
        <v>899.38529032258077</v>
      </c>
      <c r="BL81" s="152">
        <f t="shared" si="329"/>
        <v>678.69772972972976</v>
      </c>
      <c r="BM81" s="152">
        <f t="shared" si="329"/>
        <v>475.80628059701496</v>
      </c>
      <c r="BN81" s="152">
        <f t="shared" si="329"/>
        <v>658.1970133333333</v>
      </c>
      <c r="BO81" s="152">
        <f t="shared" si="329"/>
        <v>966.49354666666659</v>
      </c>
      <c r="BP81" s="152">
        <f t="shared" si="329"/>
        <v>1331.2368436363636</v>
      </c>
      <c r="BQ81" s="152">
        <f t="shared" si="329"/>
        <v>1462.4470486486487</v>
      </c>
      <c r="BR81" s="152">
        <f t="shared" si="329"/>
        <v>1498.1382894128526</v>
      </c>
      <c r="BS81" s="152">
        <f t="shared" si="329"/>
        <v>1093.8854399999998</v>
      </c>
      <c r="BT81" s="152">
        <f>+BS81*(1+BT82)</f>
        <v>1203.2739839999999</v>
      </c>
      <c r="BU81" s="152">
        <f t="shared" ref="BU81:CE81" si="330">+BT81*(1+BU82)</f>
        <v>1383.7650815999998</v>
      </c>
      <c r="BV81" s="152">
        <f t="shared" si="330"/>
        <v>1411.4403832319999</v>
      </c>
      <c r="BW81" s="152">
        <f t="shared" si="330"/>
        <v>1411.4403832319999</v>
      </c>
      <c r="BX81" s="152">
        <f t="shared" si="330"/>
        <v>1411.4403832319999</v>
      </c>
      <c r="BY81" s="152">
        <f t="shared" si="330"/>
        <v>1411.4403832319999</v>
      </c>
      <c r="BZ81" s="152">
        <f t="shared" si="330"/>
        <v>1411.4403832319999</v>
      </c>
      <c r="CA81" s="152">
        <f t="shared" si="330"/>
        <v>1411.4403832319999</v>
      </c>
      <c r="CB81" s="152">
        <f t="shared" si="330"/>
        <v>1411.4403832319999</v>
      </c>
      <c r="CC81" s="152">
        <f t="shared" si="330"/>
        <v>1411.4403832319999</v>
      </c>
      <c r="CD81" s="152">
        <f t="shared" si="330"/>
        <v>1411.4403832319999</v>
      </c>
      <c r="CE81" s="152">
        <f t="shared" si="330"/>
        <v>1411.4403832319999</v>
      </c>
      <c r="CF81" s="4"/>
      <c r="CG81" s="4"/>
      <c r="CH81" s="4"/>
      <c r="CI81" s="4"/>
      <c r="CJ81" s="4"/>
      <c r="CK81" s="4"/>
      <c r="CL81" s="4"/>
      <c r="CM81" s="4"/>
      <c r="CN81" s="240">
        <f t="shared" si="315"/>
        <v>74</v>
      </c>
    </row>
    <row r="82" spans="1:92" outlineLevel="1">
      <c r="A82" s="144"/>
      <c r="B82" s="42" t="s">
        <v>322</v>
      </c>
      <c r="C82" s="152"/>
      <c r="D82" s="57">
        <f>+D81/C81-1</f>
        <v>-0.24045483658707023</v>
      </c>
      <c r="E82" s="57">
        <f t="shared" ref="E82:Q82" si="331">+E81/D81-1</f>
        <v>8.7683934760827809E-2</v>
      </c>
      <c r="F82" s="57">
        <f t="shared" si="331"/>
        <v>-0.3937338620954276</v>
      </c>
      <c r="G82" s="57">
        <f t="shared" si="331"/>
        <v>1.0740995315897588</v>
      </c>
      <c r="H82" s="57">
        <f t="shared" si="331"/>
        <v>0.19422033382951076</v>
      </c>
      <c r="I82" s="57">
        <f t="shared" si="331"/>
        <v>-0.13329567470423465</v>
      </c>
      <c r="J82" s="57">
        <f t="shared" si="331"/>
        <v>-8.6306802522651549E-2</v>
      </c>
      <c r="K82" s="57">
        <f t="shared" si="331"/>
        <v>0.23477109089252601</v>
      </c>
      <c r="L82" s="57">
        <f t="shared" si="331"/>
        <v>-0.4469316336363901</v>
      </c>
      <c r="M82" s="57">
        <f t="shared" si="331"/>
        <v>-0.31017617277151877</v>
      </c>
      <c r="N82" s="57">
        <f t="shared" si="331"/>
        <v>0.93810728448793657</v>
      </c>
      <c r="O82" s="57">
        <f t="shared" si="331"/>
        <v>1.5193170876719009E-2</v>
      </c>
      <c r="P82" s="57">
        <f t="shared" si="331"/>
        <v>4.2578333292781823E-2</v>
      </c>
      <c r="Q82" s="57">
        <f t="shared" si="331"/>
        <v>0</v>
      </c>
      <c r="R82" s="152"/>
      <c r="S82" s="152"/>
      <c r="T82" s="152"/>
      <c r="U82" s="57">
        <f t="shared" ref="U82:AZ82" si="332">+U81/T81-1</f>
        <v>0.1041373334777429</v>
      </c>
      <c r="V82" s="57">
        <f t="shared" si="332"/>
        <v>0.13591642552356653</v>
      </c>
      <c r="W82" s="57">
        <f t="shared" si="332"/>
        <v>1.5250300083764712E-2</v>
      </c>
      <c r="X82" s="57">
        <f t="shared" si="332"/>
        <v>0.18826136861810117</v>
      </c>
      <c r="Y82" s="57">
        <f t="shared" si="332"/>
        <v>-0.2515814945312681</v>
      </c>
      <c r="Z82" s="57">
        <f t="shared" si="332"/>
        <v>5.5755999041522841E-2</v>
      </c>
      <c r="AA82" s="57">
        <f t="shared" si="332"/>
        <v>3.9705853743944752E-2</v>
      </c>
      <c r="AB82" s="57">
        <f t="shared" si="332"/>
        <v>0.12296589839241445</v>
      </c>
      <c r="AC82" s="57">
        <f t="shared" si="332"/>
        <v>-0.39119374619160541</v>
      </c>
      <c r="AD82" s="57">
        <f t="shared" si="332"/>
        <v>-5.3031321807157861E-2</v>
      </c>
      <c r="AE82" s="57">
        <f t="shared" si="332"/>
        <v>0.14959156834052667</v>
      </c>
      <c r="AF82" s="57">
        <f t="shared" si="332"/>
        <v>8.5765942134067963E-2</v>
      </c>
      <c r="AG82" s="57">
        <f t="shared" si="332"/>
        <v>-1.6687725311443358E-2</v>
      </c>
      <c r="AH82" s="57">
        <f t="shared" si="332"/>
        <v>0.10493318241735738</v>
      </c>
      <c r="AI82" s="57">
        <f t="shared" si="332"/>
        <v>-3.9512345236639823E-2</v>
      </c>
      <c r="AJ82" s="57">
        <f t="shared" si="332"/>
        <v>-0.28296061361624814</v>
      </c>
      <c r="AK82" s="57">
        <f t="shared" si="332"/>
        <v>-0.2794163532288354</v>
      </c>
      <c r="AL82" s="57">
        <f t="shared" si="332"/>
        <v>4.047457840621016E-2</v>
      </c>
      <c r="AM82" s="57">
        <f t="shared" si="332"/>
        <v>0.15326992486323299</v>
      </c>
      <c r="AN82" s="57">
        <f t="shared" si="332"/>
        <v>0.76645688623684993</v>
      </c>
      <c r="AO82" s="57">
        <f t="shared" si="332"/>
        <v>0.18650302143152042</v>
      </c>
      <c r="AP82" s="57">
        <f t="shared" si="332"/>
        <v>2.4249380886100846E-2</v>
      </c>
      <c r="AQ82" s="57">
        <f t="shared" si="332"/>
        <v>-7.9787771035008559E-2</v>
      </c>
      <c r="AR82" s="57">
        <f t="shared" si="332"/>
        <v>7.6348618136613089E-2</v>
      </c>
      <c r="AS82" s="57">
        <f t="shared" si="332"/>
        <v>0.13936896740011795</v>
      </c>
      <c r="AT82" s="57">
        <f t="shared" si="332"/>
        <v>0.11224931147007666</v>
      </c>
      <c r="AU82" s="57">
        <f t="shared" si="332"/>
        <v>-0.14927858472627364</v>
      </c>
      <c r="AV82" s="57">
        <f t="shared" si="332"/>
        <v>-5.3672257872083073E-2</v>
      </c>
      <c r="AW82" s="57">
        <f t="shared" si="332"/>
        <v>-4.1063347495453928E-2</v>
      </c>
      <c r="AX82" s="57">
        <f t="shared" si="332"/>
        <v>-3.7540946979617407E-2</v>
      </c>
      <c r="AY82" s="57">
        <f t="shared" si="332"/>
        <v>1.3180339507871563E-2</v>
      </c>
      <c r="AZ82" s="57">
        <f t="shared" si="332"/>
        <v>-0.16850720251585494</v>
      </c>
      <c r="BA82" s="57">
        <f t="shared" ref="BA82:BS82" si="333">+BA81/AZ81-1</f>
        <v>0.12621116709747837</v>
      </c>
      <c r="BB82" s="57">
        <f t="shared" si="333"/>
        <v>4.3071193071337666E-2</v>
      </c>
      <c r="BC82" s="57">
        <f t="shared" si="333"/>
        <v>4.1218283390371813E-3</v>
      </c>
      <c r="BD82" s="57">
        <f t="shared" si="333"/>
        <v>4.8605152386408612E-2</v>
      </c>
      <c r="BE82" s="57">
        <f t="shared" si="333"/>
        <v>0.15564463845574661</v>
      </c>
      <c r="BF82" s="57">
        <f t="shared" si="333"/>
        <v>3.4794900960551267E-2</v>
      </c>
      <c r="BG82" s="57">
        <f t="shared" si="333"/>
        <v>-6.2441650077923794E-2</v>
      </c>
      <c r="BH82" s="57">
        <f t="shared" si="333"/>
        <v>-0.36281349743388336</v>
      </c>
      <c r="BI82" s="57">
        <f t="shared" si="333"/>
        <v>-0.15145396849695836</v>
      </c>
      <c r="BJ82" s="57">
        <f t="shared" si="333"/>
        <v>-4.0937518257274208E-2</v>
      </c>
      <c r="BK82" s="57">
        <f t="shared" si="333"/>
        <v>-3.9789755265510873E-2</v>
      </c>
      <c r="BL82" s="57">
        <f t="shared" si="333"/>
        <v>-0.24537599510182939</v>
      </c>
      <c r="BM82" s="57">
        <f t="shared" si="333"/>
        <v>-0.29894228350153762</v>
      </c>
      <c r="BN82" s="57">
        <f t="shared" si="333"/>
        <v>0.3833298133590517</v>
      </c>
      <c r="BO82" s="57">
        <f t="shared" si="333"/>
        <v>0.46839552153543651</v>
      </c>
      <c r="BP82" s="57">
        <f t="shared" si="333"/>
        <v>0.37738823836709279</v>
      </c>
      <c r="BQ82" s="57">
        <f t="shared" si="333"/>
        <v>9.8562630413590036E-2</v>
      </c>
      <c r="BR82" s="57">
        <f t="shared" si="333"/>
        <v>2.4405150803363362E-2</v>
      </c>
      <c r="BS82" s="57">
        <f t="shared" si="333"/>
        <v>-0.26983680496630702</v>
      </c>
      <c r="BT82" s="232">
        <v>0.1</v>
      </c>
      <c r="BU82" s="232">
        <v>0.15</v>
      </c>
      <c r="BV82" s="232">
        <v>0.02</v>
      </c>
      <c r="BW82" s="232">
        <v>0</v>
      </c>
      <c r="BX82" s="232">
        <v>0</v>
      </c>
      <c r="BY82" s="232">
        <v>0</v>
      </c>
      <c r="BZ82" s="232">
        <v>0</v>
      </c>
      <c r="CA82" s="232">
        <v>0</v>
      </c>
      <c r="CB82" s="232">
        <v>0</v>
      </c>
      <c r="CC82" s="232">
        <v>0</v>
      </c>
      <c r="CD82" s="232">
        <v>0</v>
      </c>
      <c r="CE82" s="232">
        <v>0</v>
      </c>
      <c r="CF82" s="4"/>
      <c r="CG82" s="4"/>
      <c r="CH82" s="4"/>
      <c r="CI82" s="4"/>
      <c r="CJ82" s="4"/>
      <c r="CK82" s="4"/>
      <c r="CL82" s="4"/>
      <c r="CM82" s="4"/>
      <c r="CN82" s="240">
        <f t="shared" si="315"/>
        <v>75</v>
      </c>
    </row>
    <row r="83" spans="1:92" outlineLevel="1">
      <c r="A83" s="144"/>
      <c r="B83" s="45" t="s">
        <v>293</v>
      </c>
      <c r="C83" s="152">
        <f t="shared" ref="C83:Q83" si="334">C150*C120*1000/C76</f>
        <v>1233.6668852459018</v>
      </c>
      <c r="D83" s="152">
        <f t="shared" si="334"/>
        <v>420.07581635219418</v>
      </c>
      <c r="E83" s="152">
        <f t="shared" si="334"/>
        <v>413.223569547924</v>
      </c>
      <c r="F83" s="152">
        <f t="shared" si="334"/>
        <v>197.65046538503745</v>
      </c>
      <c r="G83" s="152">
        <f t="shared" si="334"/>
        <v>592.69784406932115</v>
      </c>
      <c r="H83" s="152">
        <f t="shared" si="334"/>
        <v>763.45914390048722</v>
      </c>
      <c r="I83" s="152">
        <f t="shared" si="334"/>
        <v>602.13116269984994</v>
      </c>
      <c r="J83" s="152">
        <f t="shared" si="334"/>
        <v>485.00574281181554</v>
      </c>
      <c r="K83" s="152">
        <f t="shared" si="334"/>
        <v>579.92898778414815</v>
      </c>
      <c r="L83" s="152">
        <f t="shared" si="334"/>
        <v>186.9640087681546</v>
      </c>
      <c r="M83" s="152">
        <f t="shared" si="334"/>
        <v>105.4538777639074</v>
      </c>
      <c r="N83" s="152">
        <f t="shared" si="334"/>
        <v>446.03545390832539</v>
      </c>
      <c r="O83" s="152">
        <f t="shared" si="334"/>
        <v>479.45188440291906</v>
      </c>
      <c r="P83" s="152">
        <f t="shared" si="334"/>
        <v>519.09512691948112</v>
      </c>
      <c r="Q83" s="152">
        <f t="shared" si="334"/>
        <v>491.6481283744447</v>
      </c>
      <c r="R83" s="152"/>
      <c r="S83" s="152"/>
      <c r="T83" s="152">
        <f t="shared" ref="T83:AY83" si="335">T150*T120*4*1000/T76</f>
        <v>0</v>
      </c>
      <c r="U83" s="152">
        <f t="shared" si="335"/>
        <v>0</v>
      </c>
      <c r="V83" s="152">
        <f t="shared" si="335"/>
        <v>0</v>
      </c>
      <c r="W83" s="152">
        <f t="shared" si="335"/>
        <v>0</v>
      </c>
      <c r="X83" s="152">
        <f t="shared" si="335"/>
        <v>0</v>
      </c>
      <c r="Y83" s="152">
        <f t="shared" si="335"/>
        <v>0</v>
      </c>
      <c r="Z83" s="152">
        <f t="shared" si="335"/>
        <v>0</v>
      </c>
      <c r="AA83" s="152">
        <f t="shared" si="335"/>
        <v>0</v>
      </c>
      <c r="AB83" s="152">
        <f t="shared" si="335"/>
        <v>638.12609656328254</v>
      </c>
      <c r="AC83" s="152">
        <f t="shared" si="335"/>
        <v>385.21792217336326</v>
      </c>
      <c r="AD83" s="152">
        <f t="shared" si="335"/>
        <v>331.2483879416007</v>
      </c>
      <c r="AE83" s="152">
        <f t="shared" si="335"/>
        <v>410.99989822269055</v>
      </c>
      <c r="AF83" s="152">
        <f t="shared" si="335"/>
        <v>388.72188252781643</v>
      </c>
      <c r="AG83" s="152">
        <f t="shared" si="335"/>
        <v>425.66014959002706</v>
      </c>
      <c r="AH83" s="152">
        <f t="shared" si="335"/>
        <v>446.10636025804786</v>
      </c>
      <c r="AI83" s="152">
        <f t="shared" si="335"/>
        <v>390.03738940386108</v>
      </c>
      <c r="AJ83" s="152">
        <f t="shared" si="335"/>
        <v>246.68144009167708</v>
      </c>
      <c r="AK83" s="152">
        <f t="shared" si="335"/>
        <v>158.54127097996607</v>
      </c>
      <c r="AL83" s="152">
        <f t="shared" si="335"/>
        <v>171.72116429654176</v>
      </c>
      <c r="AM83" s="152">
        <f t="shared" si="335"/>
        <v>213.65798617196467</v>
      </c>
      <c r="AN83" s="152">
        <f t="shared" si="335"/>
        <v>462.77159860376082</v>
      </c>
      <c r="AO83" s="152">
        <f t="shared" si="335"/>
        <v>621.16829173731492</v>
      </c>
      <c r="AP83" s="152">
        <f t="shared" si="335"/>
        <v>645.20666891254609</v>
      </c>
      <c r="AQ83" s="152">
        <f t="shared" si="335"/>
        <v>621.89554538685366</v>
      </c>
      <c r="AR83" s="152">
        <f t="shared" si="335"/>
        <v>693.40261335041771</v>
      </c>
      <c r="AS83" s="152">
        <f t="shared" si="335"/>
        <v>710.68276104878214</v>
      </c>
      <c r="AT83" s="152">
        <f t="shared" si="335"/>
        <v>823.0514793487049</v>
      </c>
      <c r="AU83" s="152">
        <f t="shared" si="335"/>
        <v>696.18422373659337</v>
      </c>
      <c r="AV83" s="152">
        <f t="shared" si="335"/>
        <v>683.60535292514089</v>
      </c>
      <c r="AW83" s="152">
        <f t="shared" si="335"/>
        <v>624.10377370942808</v>
      </c>
      <c r="AX83" s="152">
        <f t="shared" si="335"/>
        <v>589.81737854958192</v>
      </c>
      <c r="AY83" s="152">
        <f t="shared" si="335"/>
        <v>567.41223843935347</v>
      </c>
      <c r="AZ83" s="152">
        <f t="shared" ref="AZ83:CE83" si="336">AZ150*AZ120*4*1000/AZ76</f>
        <v>429.17387617470297</v>
      </c>
      <c r="BA83" s="152">
        <f t="shared" si="336"/>
        <v>485.93129398021898</v>
      </c>
      <c r="BB83" s="152">
        <f t="shared" si="336"/>
        <v>531.25397894815569</v>
      </c>
      <c r="BC83" s="152">
        <f t="shared" si="336"/>
        <v>474.71945057103932</v>
      </c>
      <c r="BD83" s="152">
        <f t="shared" si="336"/>
        <v>491.40838726481979</v>
      </c>
      <c r="BE83" s="152">
        <f t="shared" si="336"/>
        <v>602.72357994856122</v>
      </c>
      <c r="BF83" s="152">
        <f t="shared" si="336"/>
        <v>609.26429386790062</v>
      </c>
      <c r="BG83" s="152">
        <f t="shared" si="336"/>
        <v>627.08591379572943</v>
      </c>
      <c r="BH83" s="152">
        <f t="shared" si="336"/>
        <v>280.39898730620047</v>
      </c>
      <c r="BI83" s="152">
        <f t="shared" si="336"/>
        <v>151.90350422288867</v>
      </c>
      <c r="BJ83" s="152">
        <f t="shared" si="336"/>
        <v>155.27248289735067</v>
      </c>
      <c r="BK83" s="152">
        <f t="shared" si="336"/>
        <v>145.08269472314262</v>
      </c>
      <c r="BL83" s="152">
        <f t="shared" si="336"/>
        <v>88.954403480704357</v>
      </c>
      <c r="BM83" s="152">
        <f t="shared" si="336"/>
        <v>45.948776040913238</v>
      </c>
      <c r="BN83" s="152">
        <f t="shared" si="336"/>
        <v>103.76211698493188</v>
      </c>
      <c r="BO83" s="152">
        <f t="shared" si="336"/>
        <v>198.56439434791739</v>
      </c>
      <c r="BP83" s="152">
        <f t="shared" si="336"/>
        <v>359.91661479156738</v>
      </c>
      <c r="BQ83" s="152">
        <f t="shared" si="336"/>
        <v>522.23647461537541</v>
      </c>
      <c r="BR83" s="152">
        <f t="shared" si="336"/>
        <v>549.84682663475166</v>
      </c>
      <c r="BS83" s="152">
        <f t="shared" si="336"/>
        <v>352.34073438299646</v>
      </c>
      <c r="BT83" s="152">
        <f t="shared" si="336"/>
        <v>394.88312654622706</v>
      </c>
      <c r="BU83" s="152">
        <f t="shared" si="336"/>
        <v>484.18463095331089</v>
      </c>
      <c r="BV83" s="152">
        <f t="shared" si="336"/>
        <v>510.34305996977832</v>
      </c>
      <c r="BW83" s="152">
        <f t="shared" si="336"/>
        <v>524.99637150076387</v>
      </c>
      <c r="BX83" s="152">
        <f t="shared" si="336"/>
        <v>527.75770849474338</v>
      </c>
      <c r="BY83" s="152">
        <f t="shared" si="336"/>
        <v>528.99683967979024</v>
      </c>
      <c r="BZ83" s="152">
        <f t="shared" si="336"/>
        <v>520.36194496404914</v>
      </c>
      <c r="CA83" s="152">
        <f t="shared" si="336"/>
        <v>501.63523024912701</v>
      </c>
      <c r="CB83" s="152">
        <f t="shared" si="336"/>
        <v>492.31026437963834</v>
      </c>
      <c r="CC83" s="152">
        <f t="shared" si="336"/>
        <v>490.83133768676282</v>
      </c>
      <c r="CD83" s="152">
        <f t="shared" si="336"/>
        <v>491.23647943843923</v>
      </c>
      <c r="CE83" s="152">
        <f t="shared" si="336"/>
        <v>492.21443199293878</v>
      </c>
      <c r="CF83" s="4"/>
      <c r="CG83" s="4"/>
      <c r="CH83" s="4"/>
      <c r="CI83" s="4"/>
      <c r="CJ83" s="4"/>
      <c r="CK83" s="4"/>
      <c r="CL83" s="4"/>
      <c r="CM83" s="4"/>
      <c r="CN83" s="240">
        <f t="shared" si="315"/>
        <v>76</v>
      </c>
    </row>
    <row r="84" spans="1:92" outlineLevel="1">
      <c r="A84" s="144"/>
      <c r="B84" s="45" t="s">
        <v>294</v>
      </c>
      <c r="C84" s="152">
        <f t="shared" ref="C84:Q84" si="337">+C101*1000/C76</f>
        <v>381.55986885245898</v>
      </c>
      <c r="D84" s="152">
        <f t="shared" si="337"/>
        <v>287.81676891615547</v>
      </c>
      <c r="E84" s="152">
        <f t="shared" si="337"/>
        <v>284.84601195559344</v>
      </c>
      <c r="F84" s="152">
        <f t="shared" si="337"/>
        <v>103.1738</v>
      </c>
      <c r="G84" s="152">
        <f t="shared" si="337"/>
        <v>458.93561521915643</v>
      </c>
      <c r="H84" s="152">
        <f t="shared" si="337"/>
        <v>605.58381001044654</v>
      </c>
      <c r="I84" s="152">
        <f t="shared" si="337"/>
        <v>486.57884205209797</v>
      </c>
      <c r="J84" s="152">
        <f t="shared" si="337"/>
        <v>334.65438487969425</v>
      </c>
      <c r="K84" s="152">
        <f t="shared" si="337"/>
        <v>430.45856469810695</v>
      </c>
      <c r="L84" s="152">
        <f t="shared" si="337"/>
        <v>52.434805636966757</v>
      </c>
      <c r="M84" s="152">
        <f t="shared" si="337"/>
        <v>-46.299541163871403</v>
      </c>
      <c r="N84" s="152">
        <f t="shared" si="337"/>
        <v>308.72526574044639</v>
      </c>
      <c r="O84" s="152">
        <f t="shared" si="337"/>
        <v>360.54192555695903</v>
      </c>
      <c r="P84" s="152">
        <f t="shared" si="337"/>
        <v>390.02129538166452</v>
      </c>
      <c r="Q84" s="152">
        <f t="shared" si="337"/>
        <v>394.54516782089524</v>
      </c>
      <c r="R84" s="6"/>
      <c r="S84" s="4"/>
      <c r="T84" s="152">
        <f t="shared" ref="T84:AY84" si="338">+T101*1000*4/T76</f>
        <v>190.31513043478262</v>
      </c>
      <c r="U84" s="152">
        <f t="shared" si="338"/>
        <v>223.02956521739128</v>
      </c>
      <c r="V84" s="152">
        <f t="shared" si="338"/>
        <v>320.59373913043476</v>
      </c>
      <c r="W84" s="152">
        <f t="shared" si="338"/>
        <v>347.72278260869564</v>
      </c>
      <c r="X84" s="152">
        <f t="shared" si="338"/>
        <v>478.98504347826082</v>
      </c>
      <c r="Y84" s="152">
        <f t="shared" si="338"/>
        <v>341.25381818181813</v>
      </c>
      <c r="Z84" s="152">
        <f t="shared" si="338"/>
        <v>369.69163636363635</v>
      </c>
      <c r="AA84" s="152">
        <f t="shared" si="338"/>
        <v>365.83175757575759</v>
      </c>
      <c r="AB84" s="152">
        <f t="shared" si="338"/>
        <v>449.06666666666666</v>
      </c>
      <c r="AC84" s="152">
        <f t="shared" si="338"/>
        <v>267.98523985239859</v>
      </c>
      <c r="AD84" s="152">
        <f t="shared" si="338"/>
        <v>215.26789667896679</v>
      </c>
      <c r="AE84" s="152">
        <f t="shared" si="338"/>
        <v>282.01918819188194</v>
      </c>
      <c r="AF84" s="152">
        <f t="shared" si="338"/>
        <v>255.34376383763839</v>
      </c>
      <c r="AG84" s="152">
        <f t="shared" si="338"/>
        <v>300.09266666666662</v>
      </c>
      <c r="AH84" s="152">
        <f t="shared" si="338"/>
        <v>319.89839999999998</v>
      </c>
      <c r="AI84" s="152">
        <f t="shared" si="338"/>
        <v>261.19733333333335</v>
      </c>
      <c r="AJ84" s="152">
        <f t="shared" si="338"/>
        <v>140.61013333333335</v>
      </c>
      <c r="AK84" s="152">
        <f t="shared" si="338"/>
        <v>69.084000000000003</v>
      </c>
      <c r="AL84" s="152">
        <f t="shared" si="338"/>
        <v>83.696266666666659</v>
      </c>
      <c r="AM84" s="152">
        <f t="shared" si="338"/>
        <v>119.30480000000001</v>
      </c>
      <c r="AN84" s="152">
        <f t="shared" si="338"/>
        <v>322.53439999999995</v>
      </c>
      <c r="AO84" s="152">
        <f t="shared" si="338"/>
        <v>466.76479999999998</v>
      </c>
      <c r="AP84" s="152">
        <f t="shared" si="338"/>
        <v>496.19911869631505</v>
      </c>
      <c r="AQ84" s="152">
        <f t="shared" si="338"/>
        <v>520.75010169491509</v>
      </c>
      <c r="AR84" s="152">
        <f t="shared" si="338"/>
        <v>596.33892473118271</v>
      </c>
      <c r="AS84" s="152">
        <f t="shared" si="338"/>
        <v>567.15795299362333</v>
      </c>
      <c r="AT84" s="152">
        <f t="shared" si="338"/>
        <v>696.3743879472695</v>
      </c>
      <c r="AU84" s="152">
        <f t="shared" si="338"/>
        <v>564.10026666666658</v>
      </c>
      <c r="AV84" s="152">
        <f t="shared" si="338"/>
        <v>573.35236363636375</v>
      </c>
      <c r="AW84" s="152">
        <f t="shared" si="338"/>
        <v>488.16485647209083</v>
      </c>
      <c r="AX84" s="152">
        <f t="shared" si="338"/>
        <v>459.07441687689828</v>
      </c>
      <c r="AY84" s="152">
        <f t="shared" si="338"/>
        <v>425.72373122303901</v>
      </c>
      <c r="AZ84" s="152">
        <f t="shared" ref="AZ84:CE84" si="339">+AZ101*1000*4/AZ76</f>
        <v>290.66692008144889</v>
      </c>
      <c r="BA84" s="152">
        <f t="shared" si="339"/>
        <v>331.88009837934607</v>
      </c>
      <c r="BB84" s="152">
        <f t="shared" si="339"/>
        <v>386.06189014853283</v>
      </c>
      <c r="BC84" s="152">
        <f t="shared" si="339"/>
        <v>328.03278226302979</v>
      </c>
      <c r="BD84" s="152">
        <f t="shared" si="339"/>
        <v>336.24550997111425</v>
      </c>
      <c r="BE84" s="152">
        <f t="shared" si="339"/>
        <v>448.75626857393183</v>
      </c>
      <c r="BF84" s="152">
        <f t="shared" si="339"/>
        <v>450.31072530596168</v>
      </c>
      <c r="BG84" s="152">
        <f t="shared" si="339"/>
        <v>479.11495769269322</v>
      </c>
      <c r="BH84" s="152">
        <f t="shared" si="339"/>
        <v>151.78499282345737</v>
      </c>
      <c r="BI84" s="152">
        <f t="shared" si="339"/>
        <v>6.1985732892656742</v>
      </c>
      <c r="BJ84" s="152">
        <f t="shared" si="339"/>
        <v>20.823428486719362</v>
      </c>
      <c r="BK84" s="152">
        <f t="shared" si="339"/>
        <v>13.646165266859306</v>
      </c>
      <c r="BL84" s="152">
        <f t="shared" si="339"/>
        <v>-66.607457312313699</v>
      </c>
      <c r="BM84" s="152">
        <f t="shared" si="339"/>
        <v>-86.746710548530785</v>
      </c>
      <c r="BN84" s="152">
        <f t="shared" si="339"/>
        <v>-51.666434778826165</v>
      </c>
      <c r="BO84" s="152">
        <f t="shared" si="339"/>
        <v>29.279788180365184</v>
      </c>
      <c r="BP84" s="152">
        <f t="shared" si="339"/>
        <v>189.01100252622055</v>
      </c>
      <c r="BQ84" s="152">
        <f t="shared" si="339"/>
        <v>370.4196569640485</v>
      </c>
      <c r="BR84" s="152">
        <f t="shared" si="339"/>
        <v>421.70642196855647</v>
      </c>
      <c r="BS84" s="152">
        <f t="shared" si="339"/>
        <v>234.56366629279722</v>
      </c>
      <c r="BT84" s="152">
        <f t="shared" si="339"/>
        <v>290.90030199003155</v>
      </c>
      <c r="BU84" s="152">
        <f t="shared" si="339"/>
        <v>374.23830948910836</v>
      </c>
      <c r="BV84" s="152">
        <f t="shared" si="339"/>
        <v>384.96087152736993</v>
      </c>
      <c r="BW84" s="152">
        <f t="shared" si="339"/>
        <v>389.59718111757923</v>
      </c>
      <c r="BX84" s="152">
        <f t="shared" si="339"/>
        <v>388.80967158823933</v>
      </c>
      <c r="BY84" s="152">
        <f t="shared" si="339"/>
        <v>388.43240762825144</v>
      </c>
      <c r="BZ84" s="152">
        <f t="shared" si="339"/>
        <v>389.64897930037858</v>
      </c>
      <c r="CA84" s="152">
        <f t="shared" si="339"/>
        <v>392.82165467844129</v>
      </c>
      <c r="CB84" s="152">
        <f t="shared" si="339"/>
        <v>394.46684113422674</v>
      </c>
      <c r="CC84" s="152">
        <f t="shared" si="339"/>
        <v>394.78014788090087</v>
      </c>
      <c r="CD84" s="152">
        <f t="shared" si="339"/>
        <v>394.62349450756381</v>
      </c>
      <c r="CE84" s="152">
        <f t="shared" si="339"/>
        <v>394.31018776088962</v>
      </c>
      <c r="CF84" s="4"/>
      <c r="CG84" s="4"/>
      <c r="CH84" s="4"/>
      <c r="CI84" s="4"/>
      <c r="CJ84" s="4"/>
      <c r="CK84" s="4"/>
      <c r="CL84" s="4"/>
      <c r="CM84" s="4"/>
      <c r="CN84" s="240">
        <f t="shared" si="315"/>
        <v>77</v>
      </c>
    </row>
    <row r="85" spans="1:92" outlineLevel="1">
      <c r="A85" s="144"/>
      <c r="B85" s="45" t="s">
        <v>320</v>
      </c>
      <c r="C85" s="152">
        <f t="shared" ref="C85:Q85" si="340">+C102*1000/C76</f>
        <v>351.04026229508196</v>
      </c>
      <c r="D85" s="152">
        <f t="shared" si="340"/>
        <v>271.8854805725972</v>
      </c>
      <c r="E85" s="152">
        <f t="shared" si="340"/>
        <v>272.95005977796751</v>
      </c>
      <c r="F85" s="152">
        <f t="shared" si="340"/>
        <v>88.585599999999985</v>
      </c>
      <c r="G85" s="152">
        <f t="shared" si="340"/>
        <v>440.759709129648</v>
      </c>
      <c r="H85" s="152">
        <f t="shared" si="340"/>
        <v>587.87649293727588</v>
      </c>
      <c r="I85" s="152">
        <f t="shared" si="340"/>
        <v>472.74744811270403</v>
      </c>
      <c r="J85" s="152">
        <f t="shared" si="340"/>
        <v>321.20114746962236</v>
      </c>
      <c r="K85" s="152">
        <f t="shared" si="340"/>
        <v>417.84659693450726</v>
      </c>
      <c r="L85" s="152">
        <f t="shared" si="340"/>
        <v>42.188386627402501</v>
      </c>
      <c r="M85" s="152">
        <f t="shared" si="340"/>
        <v>-60.048050379171507</v>
      </c>
      <c r="N85" s="152">
        <f t="shared" si="340"/>
        <v>294.42824845379442</v>
      </c>
      <c r="O85" s="152">
        <f t="shared" si="340"/>
        <v>349.29548756223608</v>
      </c>
      <c r="P85" s="152">
        <f t="shared" si="340"/>
        <v>378.14318538166458</v>
      </c>
      <c r="Q85" s="152">
        <f t="shared" si="340"/>
        <v>382.70765581477059</v>
      </c>
      <c r="R85" s="6"/>
      <c r="S85" s="4"/>
      <c r="T85" s="152">
        <f t="shared" ref="T85:AY85" si="341">+T102*4*1000/T76</f>
        <v>157.35617391304351</v>
      </c>
      <c r="U85" s="152">
        <f t="shared" si="341"/>
        <v>195.952</v>
      </c>
      <c r="V85" s="152">
        <f t="shared" si="341"/>
        <v>286.48939130434781</v>
      </c>
      <c r="W85" s="152">
        <f t="shared" si="341"/>
        <v>310.3238260869565</v>
      </c>
      <c r="X85" s="152">
        <f t="shared" si="341"/>
        <v>440.05982608695649</v>
      </c>
      <c r="Y85" s="152">
        <f t="shared" si="341"/>
        <v>313.39636363636362</v>
      </c>
      <c r="Z85" s="152">
        <f t="shared" si="341"/>
        <v>340.20363636363635</v>
      </c>
      <c r="AA85" s="152">
        <f t="shared" si="341"/>
        <v>337.47684848484852</v>
      </c>
      <c r="AB85" s="152">
        <f t="shared" si="341"/>
        <v>428.18909090909091</v>
      </c>
      <c r="AC85" s="152">
        <f t="shared" si="341"/>
        <v>252.5874538745388</v>
      </c>
      <c r="AD85" s="152">
        <f t="shared" si="341"/>
        <v>200.61992619926198</v>
      </c>
      <c r="AE85" s="152">
        <f t="shared" si="341"/>
        <v>267.28265682656831</v>
      </c>
      <c r="AF85" s="152">
        <f t="shared" si="341"/>
        <v>240.80767527675278</v>
      </c>
      <c r="AG85" s="152">
        <f t="shared" si="341"/>
        <v>288.19173333333327</v>
      </c>
      <c r="AH85" s="152">
        <f t="shared" si="341"/>
        <v>306.11693333333329</v>
      </c>
      <c r="AI85" s="152">
        <f t="shared" si="341"/>
        <v>253.57680000000002</v>
      </c>
      <c r="AJ85" s="152">
        <f t="shared" si="341"/>
        <v>125.44053333333335</v>
      </c>
      <c r="AK85" s="152">
        <f t="shared" si="341"/>
        <v>54.912533333333329</v>
      </c>
      <c r="AL85" s="152">
        <f t="shared" si="341"/>
        <v>68.906666666666652</v>
      </c>
      <c r="AM85" s="152">
        <f t="shared" si="341"/>
        <v>105.08266666666668</v>
      </c>
      <c r="AN85" s="152">
        <f t="shared" si="341"/>
        <v>300.95999999999998</v>
      </c>
      <c r="AO85" s="152">
        <f t="shared" si="341"/>
        <v>451.53920000000005</v>
      </c>
      <c r="AP85" s="152">
        <f t="shared" si="341"/>
        <v>475.8526044106008</v>
      </c>
      <c r="AQ85" s="152">
        <f t="shared" si="341"/>
        <v>504.73925423728792</v>
      </c>
      <c r="AR85" s="152">
        <f t="shared" si="341"/>
        <v>575.31096774193543</v>
      </c>
      <c r="AS85" s="152">
        <f t="shared" si="341"/>
        <v>553.31148834715884</v>
      </c>
      <c r="AT85" s="152">
        <f t="shared" si="341"/>
        <v>682.63163841807921</v>
      </c>
      <c r="AU85" s="152">
        <f t="shared" si="341"/>
        <v>545.04459999999995</v>
      </c>
      <c r="AV85" s="152">
        <f t="shared" si="341"/>
        <v>556.05903030303045</v>
      </c>
      <c r="AW85" s="152">
        <f t="shared" si="341"/>
        <v>478.39358374481805</v>
      </c>
      <c r="AX85" s="152">
        <f t="shared" si="341"/>
        <v>443.78096233144373</v>
      </c>
      <c r="AY85" s="152">
        <f t="shared" si="341"/>
        <v>411.32039788970565</v>
      </c>
      <c r="AZ85" s="152">
        <f t="shared" ref="AZ85:CE85" si="342">+AZ102*4*1000/AZ76</f>
        <v>276.2048024343901</v>
      </c>
      <c r="BA85" s="152">
        <f t="shared" si="342"/>
        <v>320.90636308522841</v>
      </c>
      <c r="BB85" s="152">
        <f t="shared" si="342"/>
        <v>370.70874085275818</v>
      </c>
      <c r="BC85" s="152">
        <f t="shared" si="342"/>
        <v>315.66230338979034</v>
      </c>
      <c r="BD85" s="152">
        <f t="shared" si="342"/>
        <v>321.09796067533966</v>
      </c>
      <c r="BE85" s="152">
        <f t="shared" si="342"/>
        <v>435.56001857393181</v>
      </c>
      <c r="BF85" s="152">
        <f t="shared" si="342"/>
        <v>440.69142930596166</v>
      </c>
      <c r="BG85" s="152">
        <f t="shared" si="342"/>
        <v>466.1835291212646</v>
      </c>
      <c r="BH85" s="152">
        <f t="shared" si="342"/>
        <v>139.25475477506075</v>
      </c>
      <c r="BI85" s="152">
        <f t="shared" si="342"/>
        <v>-4.1369067789831249</v>
      </c>
      <c r="BJ85" s="152">
        <f t="shared" si="342"/>
        <v>15.22770656158567</v>
      </c>
      <c r="BK85" s="152">
        <f t="shared" si="342"/>
        <v>1.3439717184722106</v>
      </c>
      <c r="BL85" s="152">
        <f t="shared" si="342"/>
        <v>-82.127111366367743</v>
      </c>
      <c r="BM85" s="152">
        <f t="shared" si="342"/>
        <v>-99.277560299774578</v>
      </c>
      <c r="BN85" s="152">
        <f t="shared" si="342"/>
        <v>-63.940923667715055</v>
      </c>
      <c r="BO85" s="152">
        <f t="shared" si="342"/>
        <v>15.302614847031851</v>
      </c>
      <c r="BP85" s="152">
        <f t="shared" si="342"/>
        <v>171.99762070803874</v>
      </c>
      <c r="BQ85" s="152">
        <f t="shared" si="342"/>
        <v>355.0071423694539</v>
      </c>
      <c r="BR85" s="152">
        <f t="shared" si="342"/>
        <v>404.78791988811264</v>
      </c>
      <c r="BS85" s="152">
        <f t="shared" si="342"/>
        <v>224.91502629279722</v>
      </c>
      <c r="BT85" s="152">
        <f t="shared" si="342"/>
        <v>279.38030199003151</v>
      </c>
      <c r="BU85" s="152">
        <f t="shared" si="342"/>
        <v>362.85673405519651</v>
      </c>
      <c r="BV85" s="152">
        <f t="shared" si="342"/>
        <v>373.84639955866061</v>
      </c>
      <c r="BW85" s="152">
        <f t="shared" si="342"/>
        <v>378.61161410726993</v>
      </c>
      <c r="BX85" s="152">
        <f t="shared" si="342"/>
        <v>377.27482622741462</v>
      </c>
      <c r="BY85" s="152">
        <f t="shared" si="342"/>
        <v>376.32081999938544</v>
      </c>
      <c r="BZ85" s="152">
        <f t="shared" si="342"/>
        <v>377.49562757624068</v>
      </c>
      <c r="CA85" s="152">
        <f t="shared" si="342"/>
        <v>381.09999440694804</v>
      </c>
      <c r="CB85" s="152">
        <f t="shared" si="342"/>
        <v>382.97859479335716</v>
      </c>
      <c r="CC85" s="152">
        <f t="shared" si="342"/>
        <v>383.06213661321391</v>
      </c>
      <c r="CD85" s="152">
        <f t="shared" si="342"/>
        <v>382.67112301452312</v>
      </c>
      <c r="CE85" s="152">
        <f t="shared" si="342"/>
        <v>382.11876883798811</v>
      </c>
      <c r="CF85" s="4"/>
      <c r="CG85" s="4"/>
      <c r="CH85" s="4"/>
      <c r="CI85" s="4"/>
      <c r="CJ85" s="4"/>
      <c r="CK85" s="4"/>
      <c r="CL85" s="4"/>
      <c r="CM85" s="4"/>
      <c r="CN85" s="240">
        <f t="shared" si="315"/>
        <v>78</v>
      </c>
    </row>
    <row r="86" spans="1:92" outlineLevel="1">
      <c r="A86" s="144"/>
      <c r="B86" s="45" t="s">
        <v>325</v>
      </c>
      <c r="C86" s="152">
        <f t="shared" ref="C86:Q86" si="343">C154*C120*1000/C76</f>
        <v>381.55986885245898</v>
      </c>
      <c r="D86" s="152">
        <f t="shared" si="343"/>
        <v>190.57995910020455</v>
      </c>
      <c r="E86" s="152">
        <f t="shared" si="343"/>
        <v>154.96529461998287</v>
      </c>
      <c r="F86" s="152">
        <f t="shared" si="343"/>
        <v>-25.74753333333333</v>
      </c>
      <c r="G86" s="152">
        <f t="shared" si="343"/>
        <v>305.88149669845927</v>
      </c>
      <c r="H86" s="152">
        <f t="shared" si="343"/>
        <v>474.7823051171689</v>
      </c>
      <c r="I86" s="152">
        <f t="shared" si="343"/>
        <v>337.45822727272724</v>
      </c>
      <c r="J86" s="152">
        <f t="shared" si="343"/>
        <v>218.6119424460432</v>
      </c>
      <c r="K86" s="152">
        <f t="shared" si="343"/>
        <v>298.59271994627267</v>
      </c>
      <c r="L86" s="152">
        <f t="shared" si="343"/>
        <v>-104.95180564814554</v>
      </c>
      <c r="M86" s="152">
        <f t="shared" si="343"/>
        <v>-192.36586380028987</v>
      </c>
      <c r="N86" s="152">
        <f t="shared" si="343"/>
        <v>210.24248401719788</v>
      </c>
      <c r="O86" s="152">
        <f t="shared" si="343"/>
        <v>291.8054690166868</v>
      </c>
      <c r="P86" s="152">
        <f t="shared" si="343"/>
        <v>333.35820531597165</v>
      </c>
      <c r="Q86" s="152">
        <f t="shared" si="343"/>
        <v>304.53169399847906</v>
      </c>
      <c r="R86" s="6"/>
      <c r="S86" s="4"/>
      <c r="T86" s="152">
        <f t="shared" ref="T86:AY86" si="344">T154*T120*4*1000/T76</f>
        <v>190.31513043478262</v>
      </c>
      <c r="U86" s="152">
        <f t="shared" si="344"/>
        <v>223.02956521739128</v>
      </c>
      <c r="V86" s="152">
        <f t="shared" si="344"/>
        <v>320.59373913043476</v>
      </c>
      <c r="W86" s="152">
        <f t="shared" si="344"/>
        <v>347.72278260869564</v>
      </c>
      <c r="X86" s="152">
        <f t="shared" si="344"/>
        <v>478.98504347826082</v>
      </c>
      <c r="Y86" s="152">
        <f t="shared" si="344"/>
        <v>341.25381818181813</v>
      </c>
      <c r="Z86" s="152">
        <f t="shared" si="344"/>
        <v>369.69163636363635</v>
      </c>
      <c r="AA86" s="152">
        <f t="shared" si="344"/>
        <v>365.83175757575759</v>
      </c>
      <c r="AB86" s="152">
        <f t="shared" si="344"/>
        <v>342.16727272727275</v>
      </c>
      <c r="AC86" s="152">
        <f t="shared" si="344"/>
        <v>185.54095940959408</v>
      </c>
      <c r="AD86" s="152">
        <f t="shared" si="344"/>
        <v>121.37564575645757</v>
      </c>
      <c r="AE86" s="152">
        <f t="shared" si="344"/>
        <v>172.52841328413285</v>
      </c>
      <c r="AF86" s="152">
        <f t="shared" si="344"/>
        <v>125.19070110701107</v>
      </c>
      <c r="AG86" s="152">
        <f t="shared" si="344"/>
        <v>174.7037333333333</v>
      </c>
      <c r="AH86" s="152">
        <f t="shared" si="344"/>
        <v>189.38719999999998</v>
      </c>
      <c r="AI86" s="152">
        <f t="shared" si="344"/>
        <v>127.70133333333331</v>
      </c>
      <c r="AJ86" s="152">
        <f t="shared" si="344"/>
        <v>31.154933333333332</v>
      </c>
      <c r="AK86" s="152">
        <f t="shared" si="344"/>
        <v>-77.074133333333336</v>
      </c>
      <c r="AL86" s="152">
        <f t="shared" si="344"/>
        <v>-48.335999999999991</v>
      </c>
      <c r="AM86" s="152">
        <f t="shared" si="344"/>
        <v>-8.7349333333333341</v>
      </c>
      <c r="AN86" s="152">
        <f t="shared" si="344"/>
        <v>159.7312</v>
      </c>
      <c r="AO86" s="152">
        <f t="shared" si="344"/>
        <v>296.59519999999998</v>
      </c>
      <c r="AP86" s="152">
        <f t="shared" si="344"/>
        <v>357.80571428571426</v>
      </c>
      <c r="AQ86" s="152">
        <f t="shared" si="344"/>
        <v>374.78585956416458</v>
      </c>
      <c r="AR86" s="152">
        <f t="shared" si="344"/>
        <v>429.74623655913979</v>
      </c>
      <c r="AS86" s="152">
        <f t="shared" si="344"/>
        <v>442.46060606060604</v>
      </c>
      <c r="AT86" s="152">
        <f t="shared" si="344"/>
        <v>529.81054613935976</v>
      </c>
      <c r="AU86" s="152">
        <f t="shared" si="344"/>
        <v>417.84233333333333</v>
      </c>
      <c r="AV86" s="152">
        <f t="shared" si="344"/>
        <v>411.77000000000004</v>
      </c>
      <c r="AW86" s="152">
        <f t="shared" si="344"/>
        <v>360.94927272727273</v>
      </c>
      <c r="AX86" s="152">
        <f t="shared" si="344"/>
        <v>323.04436363636364</v>
      </c>
      <c r="AY86" s="152">
        <f t="shared" si="344"/>
        <v>285.40333333333331</v>
      </c>
      <c r="AZ86" s="152">
        <f t="shared" ref="AZ86:CE86" si="345">AZ154*AZ120*4*1000/AZ76</f>
        <v>178.94423529411765</v>
      </c>
      <c r="BA86" s="152">
        <f t="shared" si="345"/>
        <v>211.98255882352944</v>
      </c>
      <c r="BB86" s="152">
        <f t="shared" si="345"/>
        <v>268.50252957746483</v>
      </c>
      <c r="BC86" s="152">
        <f t="shared" si="345"/>
        <v>206.45543661971828</v>
      </c>
      <c r="BD86" s="152">
        <f t="shared" si="345"/>
        <v>208.39842253521124</v>
      </c>
      <c r="BE86" s="152">
        <f t="shared" si="345"/>
        <v>318.54041666666666</v>
      </c>
      <c r="BF86" s="152">
        <f t="shared" si="345"/>
        <v>319.24329599999999</v>
      </c>
      <c r="BG86" s="152">
        <f t="shared" si="345"/>
        <v>350.12000000000006</v>
      </c>
      <c r="BH86" s="152">
        <f t="shared" si="345"/>
        <v>16.606885697422783</v>
      </c>
      <c r="BI86" s="152">
        <f t="shared" si="345"/>
        <v>-161.65557313479141</v>
      </c>
      <c r="BJ86" s="152">
        <f t="shared" si="345"/>
        <v>-141.94652406417114</v>
      </c>
      <c r="BK86" s="152">
        <f t="shared" si="345"/>
        <v>-152.14529032258068</v>
      </c>
      <c r="BL86" s="152">
        <f t="shared" si="345"/>
        <v>-227.06646486486488</v>
      </c>
      <c r="BM86" s="152">
        <f t="shared" si="345"/>
        <v>-218.57448756218903</v>
      </c>
      <c r="BN86" s="152">
        <f t="shared" si="345"/>
        <v>-181.97304</v>
      </c>
      <c r="BO86" s="152">
        <f t="shared" si="345"/>
        <v>-114.68191999999999</v>
      </c>
      <c r="BP86" s="152">
        <f t="shared" si="345"/>
        <v>41.10450909090909</v>
      </c>
      <c r="BQ86" s="152">
        <f t="shared" si="345"/>
        <v>259.99588324324327</v>
      </c>
      <c r="BR86" s="152">
        <f t="shared" si="345"/>
        <v>331.90990291262136</v>
      </c>
      <c r="BS86" s="152">
        <f t="shared" si="345"/>
        <v>171.57375999999999</v>
      </c>
      <c r="BT86" s="152">
        <f t="shared" si="345"/>
        <v>214.22734433884753</v>
      </c>
      <c r="BU86" s="152">
        <f t="shared" si="345"/>
        <v>296.2026306584504</v>
      </c>
      <c r="BV86" s="152">
        <f t="shared" si="345"/>
        <v>318.45810211367626</v>
      </c>
      <c r="BW86" s="152">
        <f t="shared" si="345"/>
        <v>335.1969234065437</v>
      </c>
      <c r="BX86" s="152">
        <f t="shared" si="345"/>
        <v>337.81228837512703</v>
      </c>
      <c r="BY86" s="152">
        <f t="shared" si="345"/>
        <v>338.94541325196951</v>
      </c>
      <c r="BZ86" s="152">
        <f t="shared" si="345"/>
        <v>338.70927716306397</v>
      </c>
      <c r="CA86" s="152">
        <f t="shared" si="345"/>
        <v>319.62844043805541</v>
      </c>
      <c r="CB86" s="152">
        <f t="shared" si="345"/>
        <v>303.53942907608211</v>
      </c>
      <c r="CC86" s="152">
        <f t="shared" si="345"/>
        <v>303.2930483011192</v>
      </c>
      <c r="CD86" s="152">
        <f t="shared" si="345"/>
        <v>304.69434206321137</v>
      </c>
      <c r="CE86" s="152">
        <f t="shared" si="345"/>
        <v>306.59995655350377</v>
      </c>
      <c r="CF86" s="4"/>
      <c r="CG86" s="4"/>
      <c r="CH86" s="4"/>
      <c r="CI86" s="4"/>
      <c r="CJ86" s="4"/>
      <c r="CK86" s="4"/>
      <c r="CL86" s="4"/>
      <c r="CM86" s="4"/>
      <c r="CN86" s="240">
        <f t="shared" si="315"/>
        <v>79</v>
      </c>
    </row>
    <row r="87" spans="1:92" outlineLevel="1">
      <c r="A87" s="144"/>
      <c r="B87" s="45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  <c r="AH87" s="152"/>
      <c r="AI87" s="152"/>
      <c r="AJ87" s="152"/>
      <c r="AK87" s="152"/>
      <c r="AL87" s="152"/>
      <c r="AM87" s="152"/>
      <c r="AN87" s="152"/>
      <c r="AO87" s="152"/>
      <c r="AP87" s="152"/>
      <c r="AQ87" s="152"/>
      <c r="AR87" s="152"/>
      <c r="AS87" s="152"/>
      <c r="AT87" s="152"/>
      <c r="AU87" s="152"/>
      <c r="AV87" s="152"/>
      <c r="AW87" s="152"/>
      <c r="AX87" s="152"/>
      <c r="AY87" s="152"/>
      <c r="AZ87" s="152"/>
      <c r="BA87" s="152"/>
      <c r="BB87" s="152"/>
      <c r="BC87" s="152"/>
      <c r="BD87" s="152"/>
      <c r="BE87" s="152"/>
      <c r="BF87" s="152"/>
      <c r="BG87" s="152"/>
      <c r="BH87" s="152"/>
      <c r="BI87" s="152"/>
      <c r="BJ87" s="152"/>
      <c r="BK87" s="152"/>
      <c r="BL87" s="152"/>
      <c r="BM87" s="152"/>
      <c r="BN87" s="152"/>
      <c r="BO87" s="152"/>
      <c r="BP87" s="152"/>
      <c r="BQ87" s="152"/>
      <c r="BR87" s="152"/>
      <c r="BS87" s="152"/>
      <c r="BT87" s="152"/>
      <c r="BU87" s="152"/>
      <c r="BV87" s="152"/>
      <c r="BW87" s="152"/>
      <c r="BX87" s="152"/>
      <c r="BY87" s="152"/>
      <c r="BZ87" s="152"/>
      <c r="CA87" s="152"/>
      <c r="CB87" s="152"/>
      <c r="CC87" s="152"/>
      <c r="CD87" s="152"/>
      <c r="CE87" s="152"/>
      <c r="CF87" s="4"/>
      <c r="CG87" s="4"/>
      <c r="CH87" s="4"/>
      <c r="CI87" s="4"/>
      <c r="CJ87" s="4"/>
      <c r="CK87" s="4"/>
      <c r="CL87" s="4"/>
      <c r="CM87" s="4"/>
      <c r="CN87" s="240">
        <f t="shared" si="315"/>
        <v>80</v>
      </c>
    </row>
    <row r="88" spans="1:92" outlineLevel="1">
      <c r="A88" s="144"/>
      <c r="B88" s="173" t="s">
        <v>332</v>
      </c>
      <c r="C88" s="6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120"/>
      <c r="P88" s="120"/>
      <c r="Q88" s="120"/>
      <c r="R88" s="49"/>
      <c r="S88" s="4"/>
      <c r="T88" s="48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"/>
      <c r="CG88" s="4"/>
      <c r="CH88" s="4"/>
      <c r="CI88" s="4"/>
      <c r="CJ88" s="4"/>
      <c r="CK88" s="4"/>
      <c r="CL88" s="4"/>
      <c r="CM88" s="4"/>
      <c r="CN88" s="240">
        <f t="shared" si="315"/>
        <v>81</v>
      </c>
    </row>
    <row r="89" spans="1:92" outlineLevel="1">
      <c r="A89" s="144"/>
      <c r="B89" s="45" t="s">
        <v>329</v>
      </c>
      <c r="C89" s="48">
        <f t="shared" ref="C89:Q89" si="346">C10-C73</f>
        <v>268.37060000000002</v>
      </c>
      <c r="D89" s="48">
        <f t="shared" si="346"/>
        <v>298.63359999999994</v>
      </c>
      <c r="E89" s="48">
        <f t="shared" si="346"/>
        <v>386.43142999999998</v>
      </c>
      <c r="F89" s="48">
        <f t="shared" si="346"/>
        <v>289.90006</v>
      </c>
      <c r="G89" s="48">
        <f t="shared" si="346"/>
        <v>453.56868000000009</v>
      </c>
      <c r="H89" s="48">
        <f t="shared" si="346"/>
        <v>719.63864999999976</v>
      </c>
      <c r="I89" s="48">
        <f t="shared" si="346"/>
        <v>738.97865000000002</v>
      </c>
      <c r="J89" s="48">
        <f t="shared" si="346"/>
        <v>714.63233700000001</v>
      </c>
      <c r="K89" s="48">
        <f t="shared" si="346"/>
        <v>837.769227</v>
      </c>
      <c r="L89" s="48">
        <f t="shared" si="346"/>
        <v>498.86290400000007</v>
      </c>
      <c r="M89" s="48">
        <f t="shared" si="346"/>
        <v>342.93383799999998</v>
      </c>
      <c r="N89" s="48">
        <f t="shared" si="346"/>
        <v>544.90741099999991</v>
      </c>
      <c r="O89" s="48">
        <f t="shared" si="346"/>
        <v>799.40276369805042</v>
      </c>
      <c r="P89" s="48">
        <f t="shared" si="346"/>
        <v>964.7620354311855</v>
      </c>
      <c r="Q89" s="48">
        <f t="shared" si="346"/>
        <v>989.03107256357225</v>
      </c>
      <c r="R89" s="48"/>
      <c r="S89" s="4"/>
      <c r="T89" s="48">
        <f t="shared" ref="T89:AY89" si="347">T10-T73</f>
        <v>43.795899999999996</v>
      </c>
      <c r="U89" s="48">
        <f t="shared" si="347"/>
        <v>48.239350000000002</v>
      </c>
      <c r="V89" s="48">
        <f t="shared" si="347"/>
        <v>56.199630000000006</v>
      </c>
      <c r="W89" s="48">
        <f t="shared" si="347"/>
        <v>56.676209999999998</v>
      </c>
      <c r="X89" s="48">
        <f t="shared" si="347"/>
        <v>63.071879999999993</v>
      </c>
      <c r="Y89" s="48">
        <f t="shared" si="347"/>
        <v>64.067300000000003</v>
      </c>
      <c r="Z89" s="48">
        <f t="shared" si="347"/>
        <v>69.329579999999993</v>
      </c>
      <c r="AA89" s="48">
        <f t="shared" si="347"/>
        <v>71.901840000000007</v>
      </c>
      <c r="AB89" s="48">
        <f t="shared" si="347"/>
        <v>73.888999999999996</v>
      </c>
      <c r="AC89" s="48">
        <f t="shared" si="347"/>
        <v>71.786600000000007</v>
      </c>
      <c r="AD89" s="48">
        <f t="shared" si="347"/>
        <v>70.034599999999998</v>
      </c>
      <c r="AE89" s="48">
        <f t="shared" si="347"/>
        <v>82.923400000000001</v>
      </c>
      <c r="AF89" s="48">
        <f t="shared" si="347"/>
        <v>88.367930000000001</v>
      </c>
      <c r="AG89" s="48">
        <f t="shared" si="347"/>
        <v>97.261510000000001</v>
      </c>
      <c r="AH89" s="48">
        <f t="shared" si="347"/>
        <v>106.20303</v>
      </c>
      <c r="AI89" s="48">
        <f t="shared" si="347"/>
        <v>94.598959999999991</v>
      </c>
      <c r="AJ89" s="48">
        <f t="shared" si="347"/>
        <v>84.096019999999996</v>
      </c>
      <c r="AK89" s="48">
        <f t="shared" si="347"/>
        <v>61.720159999999993</v>
      </c>
      <c r="AL89" s="48">
        <f t="shared" si="347"/>
        <v>66.105580000000003</v>
      </c>
      <c r="AM89" s="48">
        <f t="shared" si="347"/>
        <v>77.97829999999999</v>
      </c>
      <c r="AN89" s="48">
        <f t="shared" si="347"/>
        <v>89.093879999999999</v>
      </c>
      <c r="AO89" s="48">
        <f t="shared" si="347"/>
        <v>104.14792000000001</v>
      </c>
      <c r="AP89" s="48">
        <f t="shared" si="347"/>
        <v>122.99299999999999</v>
      </c>
      <c r="AQ89" s="48">
        <f t="shared" si="347"/>
        <v>137.33388000000002</v>
      </c>
      <c r="AR89" s="48">
        <f t="shared" si="347"/>
        <v>158.5215</v>
      </c>
      <c r="AS89" s="48">
        <f t="shared" si="347"/>
        <v>195.22149999999999</v>
      </c>
      <c r="AT89" s="48">
        <f t="shared" si="347"/>
        <v>187.45574999999997</v>
      </c>
      <c r="AU89" s="48">
        <f t="shared" si="347"/>
        <v>178.43989999999997</v>
      </c>
      <c r="AV89" s="48">
        <f t="shared" si="347"/>
        <v>185.11464999999998</v>
      </c>
      <c r="AW89" s="48">
        <f t="shared" si="347"/>
        <v>196.58681999999999</v>
      </c>
      <c r="AX89" s="48">
        <f t="shared" si="347"/>
        <v>180.95027999999996</v>
      </c>
      <c r="AY89" s="48">
        <f t="shared" si="347"/>
        <v>176.32689999999997</v>
      </c>
      <c r="AZ89" s="48">
        <f t="shared" ref="AZ89:BS89" si="348">AZ10-AZ73</f>
        <v>172.58408</v>
      </c>
      <c r="BA89" s="48">
        <f t="shared" si="348"/>
        <v>174.65652999999998</v>
      </c>
      <c r="BB89" s="48">
        <f t="shared" si="348"/>
        <v>186.57808699999998</v>
      </c>
      <c r="BC89" s="48">
        <f t="shared" si="348"/>
        <v>180.81364000000002</v>
      </c>
      <c r="BD89" s="48">
        <f t="shared" si="348"/>
        <v>181.00556000000006</v>
      </c>
      <c r="BE89" s="48">
        <f t="shared" si="348"/>
        <v>209.26417500000008</v>
      </c>
      <c r="BF89" s="48">
        <f t="shared" si="348"/>
        <v>215.66991200000007</v>
      </c>
      <c r="BG89" s="48">
        <f t="shared" si="348"/>
        <v>231.82958000000002</v>
      </c>
      <c r="BH89" s="48">
        <f t="shared" si="348"/>
        <v>158.70719999999997</v>
      </c>
      <c r="BI89" s="48">
        <f t="shared" si="348"/>
        <v>118.39675999999997</v>
      </c>
      <c r="BJ89" s="48">
        <f t="shared" si="348"/>
        <v>118.08590000000001</v>
      </c>
      <c r="BK89" s="48">
        <f t="shared" si="348"/>
        <v>103.67304399999998</v>
      </c>
      <c r="BL89" s="48">
        <f t="shared" si="348"/>
        <v>81.302690000000013</v>
      </c>
      <c r="BM89" s="48">
        <f t="shared" si="348"/>
        <v>71.443836000000005</v>
      </c>
      <c r="BN89" s="48">
        <f t="shared" si="348"/>
        <v>89.283835999999994</v>
      </c>
      <c r="BO89" s="48">
        <f t="shared" si="348"/>
        <v>100.903476</v>
      </c>
      <c r="BP89" s="48">
        <f t="shared" si="348"/>
        <v>103.15293399999999</v>
      </c>
      <c r="BQ89" s="48">
        <f t="shared" si="348"/>
        <v>131.81883999999999</v>
      </c>
      <c r="BR89" s="48">
        <f t="shared" si="348"/>
        <v>151.924645</v>
      </c>
      <c r="BS89" s="48">
        <f t="shared" si="348"/>
        <v>158.01099200000002</v>
      </c>
      <c r="BT89" s="48">
        <f>+BT91*BT93/1000</f>
        <v>157.17449081610451</v>
      </c>
      <c r="BU89" s="48">
        <f t="shared" ref="BU89:CE89" si="349">+BU91*BU93/1000</f>
        <v>191.42200017611125</v>
      </c>
      <c r="BV89" s="48">
        <f t="shared" si="349"/>
        <v>218.25198493678252</v>
      </c>
      <c r="BW89" s="48">
        <f t="shared" si="349"/>
        <v>232.55428776905222</v>
      </c>
      <c r="BX89" s="48">
        <f t="shared" si="349"/>
        <v>236.37370898635066</v>
      </c>
      <c r="BY89" s="48">
        <f t="shared" si="349"/>
        <v>238.20343919229245</v>
      </c>
      <c r="BZ89" s="48">
        <f t="shared" si="349"/>
        <v>243.08001297032231</v>
      </c>
      <c r="CA89" s="48">
        <f t="shared" si="349"/>
        <v>247.1048742822197</v>
      </c>
      <c r="CB89" s="48">
        <f t="shared" si="349"/>
        <v>247.708146589237</v>
      </c>
      <c r="CC89" s="48">
        <f t="shared" si="349"/>
        <v>245.90663279586073</v>
      </c>
      <c r="CD89" s="48">
        <f t="shared" si="349"/>
        <v>246.80738969254884</v>
      </c>
      <c r="CE89" s="48">
        <f t="shared" si="349"/>
        <v>248.60890348592514</v>
      </c>
      <c r="CF89" s="4"/>
      <c r="CG89" s="4"/>
      <c r="CH89" s="4"/>
      <c r="CI89" s="4"/>
      <c r="CJ89" s="4"/>
      <c r="CK89" s="4"/>
      <c r="CL89" s="4"/>
      <c r="CM89" s="4"/>
      <c r="CN89" s="240">
        <f t="shared" si="315"/>
        <v>82</v>
      </c>
    </row>
    <row r="90" spans="1:92" outlineLevel="1">
      <c r="A90" s="144"/>
      <c r="B90" s="42" t="s">
        <v>322</v>
      </c>
      <c r="C90" s="6"/>
      <c r="D90" s="6">
        <f t="shared" ref="D90:Q90" si="350">D89/C89-1</f>
        <v>0.11276570533433961</v>
      </c>
      <c r="E90" s="6">
        <f t="shared" si="350"/>
        <v>0.29399849849447635</v>
      </c>
      <c r="F90" s="6">
        <f t="shared" si="350"/>
        <v>-0.24980206708341501</v>
      </c>
      <c r="G90" s="6">
        <f t="shared" si="350"/>
        <v>0.56456911392153586</v>
      </c>
      <c r="H90" s="6">
        <f t="shared" si="350"/>
        <v>0.58661451227187822</v>
      </c>
      <c r="I90" s="6">
        <f t="shared" si="350"/>
        <v>2.6874598800384453E-2</v>
      </c>
      <c r="J90" s="6">
        <f t="shared" si="350"/>
        <v>-3.2945894986275981E-2</v>
      </c>
      <c r="K90" s="6">
        <f t="shared" si="350"/>
        <v>0.17230802977223791</v>
      </c>
      <c r="L90" s="6">
        <f t="shared" si="350"/>
        <v>-0.40453422264458505</v>
      </c>
      <c r="M90" s="6">
        <f t="shared" si="350"/>
        <v>-0.31256897385980031</v>
      </c>
      <c r="N90" s="6">
        <f t="shared" si="350"/>
        <v>0.58895784148311403</v>
      </c>
      <c r="O90" s="6">
        <f t="shared" si="350"/>
        <v>0.46704329499025765</v>
      </c>
      <c r="P90" s="6">
        <f t="shared" si="350"/>
        <v>0.20685351520199946</v>
      </c>
      <c r="Q90" s="6">
        <f t="shared" si="350"/>
        <v>2.5155464499118763E-2</v>
      </c>
      <c r="R90" s="6"/>
      <c r="S90" s="4"/>
      <c r="T90" s="4"/>
      <c r="U90" s="6">
        <f t="shared" ref="U90:AZ90" si="351">U89/T89-1</f>
        <v>0.10145812735895388</v>
      </c>
      <c r="V90" s="6">
        <f t="shared" si="351"/>
        <v>0.1650163196643406</v>
      </c>
      <c r="W90" s="6">
        <f t="shared" si="351"/>
        <v>8.4801270043948218E-3</v>
      </c>
      <c r="X90" s="6">
        <f t="shared" si="351"/>
        <v>0.11284576015227543</v>
      </c>
      <c r="Y90" s="6">
        <f t="shared" si="351"/>
        <v>1.5782310595466864E-2</v>
      </c>
      <c r="Z90" s="6">
        <f t="shared" si="351"/>
        <v>8.2136753070598978E-2</v>
      </c>
      <c r="AA90" s="6">
        <f t="shared" si="351"/>
        <v>3.7101912343908916E-2</v>
      </c>
      <c r="AB90" s="6">
        <f t="shared" si="351"/>
        <v>2.7637123055543444E-2</v>
      </c>
      <c r="AC90" s="6">
        <f t="shared" si="351"/>
        <v>-2.8453491047381707E-2</v>
      </c>
      <c r="AD90" s="6">
        <f t="shared" si="351"/>
        <v>-2.44056690245813E-2</v>
      </c>
      <c r="AE90" s="6">
        <f t="shared" si="351"/>
        <v>0.1840347485385796</v>
      </c>
      <c r="AF90" s="6">
        <f t="shared" si="351"/>
        <v>6.5657341594772989E-2</v>
      </c>
      <c r="AG90" s="6">
        <f t="shared" si="351"/>
        <v>0.10064262000931778</v>
      </c>
      <c r="AH90" s="6">
        <f t="shared" si="351"/>
        <v>9.1932769705097117E-2</v>
      </c>
      <c r="AI90" s="6">
        <f t="shared" si="351"/>
        <v>-0.10926307846395722</v>
      </c>
      <c r="AJ90" s="6">
        <f t="shared" si="351"/>
        <v>-0.11102595631072476</v>
      </c>
      <c r="AK90" s="6">
        <f t="shared" si="351"/>
        <v>-0.26607513649278536</v>
      </c>
      <c r="AL90" s="6">
        <f t="shared" si="351"/>
        <v>7.1053283076388807E-2</v>
      </c>
      <c r="AM90" s="6">
        <f t="shared" si="351"/>
        <v>0.17960238757454339</v>
      </c>
      <c r="AN90" s="6">
        <f t="shared" si="351"/>
        <v>0.14254709322978321</v>
      </c>
      <c r="AO90" s="6">
        <f t="shared" si="351"/>
        <v>0.16896828379233253</v>
      </c>
      <c r="AP90" s="6">
        <f t="shared" si="351"/>
        <v>0.18094533236957577</v>
      </c>
      <c r="AQ90" s="6">
        <f t="shared" si="351"/>
        <v>0.11659915604953142</v>
      </c>
      <c r="AR90" s="6">
        <f t="shared" si="351"/>
        <v>0.15427817229077023</v>
      </c>
      <c r="AS90" s="6">
        <f t="shared" si="351"/>
        <v>0.23151433717192926</v>
      </c>
      <c r="AT90" s="6">
        <f t="shared" si="351"/>
        <v>-3.9779173912709576E-2</v>
      </c>
      <c r="AU90" s="6">
        <f t="shared" si="351"/>
        <v>-4.8095883961948416E-2</v>
      </c>
      <c r="AV90" s="6">
        <f t="shared" si="351"/>
        <v>3.7406151875225335E-2</v>
      </c>
      <c r="AW90" s="6">
        <f t="shared" si="351"/>
        <v>6.1973323019004711E-2</v>
      </c>
      <c r="AX90" s="6">
        <f t="shared" si="351"/>
        <v>-7.9540123798736984E-2</v>
      </c>
      <c r="AY90" s="6">
        <f t="shared" si="351"/>
        <v>-2.5550554550122784E-2</v>
      </c>
      <c r="AZ90" s="6">
        <f t="shared" si="351"/>
        <v>-2.1226596735948733E-2</v>
      </c>
      <c r="BA90" s="6">
        <f t="shared" ref="BA90:BS90" si="352">BA89/AZ89-1</f>
        <v>1.2008349785217698E-2</v>
      </c>
      <c r="BB90" s="6">
        <f t="shared" si="352"/>
        <v>6.8257150190720095E-2</v>
      </c>
      <c r="BC90" s="6">
        <f t="shared" si="352"/>
        <v>-3.0895627094729261E-2</v>
      </c>
      <c r="BD90" s="6">
        <f t="shared" si="352"/>
        <v>1.0614243482960362E-3</v>
      </c>
      <c r="BE90" s="6">
        <f t="shared" si="352"/>
        <v>0.15612014901641702</v>
      </c>
      <c r="BF90" s="6">
        <f t="shared" si="352"/>
        <v>3.0610767466528799E-2</v>
      </c>
      <c r="BG90" s="6">
        <f t="shared" si="352"/>
        <v>7.4927781303123719E-2</v>
      </c>
      <c r="BH90" s="6">
        <f t="shared" si="352"/>
        <v>-0.31541436601834871</v>
      </c>
      <c r="BI90" s="6">
        <f t="shared" si="352"/>
        <v>-0.2539925094765707</v>
      </c>
      <c r="BJ90" s="6">
        <f t="shared" si="352"/>
        <v>-2.6255786053601682E-3</v>
      </c>
      <c r="BK90" s="6">
        <f t="shared" si="352"/>
        <v>-0.12205399628575497</v>
      </c>
      <c r="BL90" s="6">
        <f t="shared" si="352"/>
        <v>-0.21577792198326851</v>
      </c>
      <c r="BM90" s="6">
        <f t="shared" si="352"/>
        <v>-0.12126110464487716</v>
      </c>
      <c r="BN90" s="6">
        <f t="shared" si="352"/>
        <v>0.24970663669291193</v>
      </c>
      <c r="BO90" s="6">
        <f t="shared" si="352"/>
        <v>0.13014270578607312</v>
      </c>
      <c r="BP90" s="6">
        <f t="shared" si="352"/>
        <v>2.2293166590217295E-2</v>
      </c>
      <c r="BQ90" s="6">
        <f t="shared" si="352"/>
        <v>0.27789714638654894</v>
      </c>
      <c r="BR90" s="6">
        <f t="shared" si="352"/>
        <v>0.15252603497345296</v>
      </c>
      <c r="BS90" s="6">
        <f t="shared" si="352"/>
        <v>4.0061617389331561E-2</v>
      </c>
      <c r="BT90" s="6">
        <f t="shared" ref="BT90" si="353">BT89/BS89-1</f>
        <v>-5.2939429928742232E-3</v>
      </c>
      <c r="BU90" s="6">
        <f t="shared" ref="BU90" si="354">BU89/BT89-1</f>
        <v>0.21789483256590669</v>
      </c>
      <c r="BV90" s="6">
        <f t="shared" ref="BV90" si="355">BV89/BU89-1</f>
        <v>0.14016144819293119</v>
      </c>
      <c r="BW90" s="6">
        <f t="shared" ref="BW90" si="356">BW89/BV89-1</f>
        <v>6.5531146653316386E-2</v>
      </c>
      <c r="BX90" s="6">
        <f t="shared" ref="BX90" si="357">BX89/BW89-1</f>
        <v>1.6423783254822188E-2</v>
      </c>
      <c r="BY90" s="6">
        <f t="shared" ref="BY90" si="358">BY89/BX89-1</f>
        <v>7.7408363806121816E-3</v>
      </c>
      <c r="BZ90" s="6">
        <f t="shared" ref="BZ90" si="359">BZ89/BY89-1</f>
        <v>2.0472306338504165E-2</v>
      </c>
      <c r="CA90" s="6">
        <f t="shared" ref="CA90" si="360">CA89/BZ89-1</f>
        <v>1.6557763276032089E-2</v>
      </c>
      <c r="CB90" s="6">
        <f t="shared" ref="CB90" si="361">CB89/CA89-1</f>
        <v>2.4413614210148094E-3</v>
      </c>
      <c r="CC90" s="6">
        <f t="shared" ref="CC90" si="362">CC89/CB89-1</f>
        <v>-7.2727272727273196E-3</v>
      </c>
      <c r="CD90" s="6">
        <f t="shared" ref="CD90" si="363">CD89/CC89-1</f>
        <v>3.66300366300365E-3</v>
      </c>
      <c r="CE90" s="6">
        <f t="shared" ref="CE90" si="364">CE89/CD89-1</f>
        <v>7.2992700729928028E-3</v>
      </c>
      <c r="CF90" s="4"/>
      <c r="CG90" s="4"/>
      <c r="CH90" s="4"/>
      <c r="CI90" s="4"/>
      <c r="CJ90" s="4"/>
      <c r="CK90" s="4"/>
      <c r="CL90" s="4"/>
      <c r="CM90" s="4"/>
      <c r="CN90" s="240">
        <f t="shared" si="315"/>
        <v>83</v>
      </c>
    </row>
    <row r="91" spans="1:92" outlineLevel="1">
      <c r="A91" s="144"/>
      <c r="B91" s="45" t="s">
        <v>326</v>
      </c>
      <c r="C91" s="48"/>
      <c r="D91" s="48"/>
      <c r="E91" s="48"/>
      <c r="F91" s="48"/>
      <c r="G91" s="48"/>
      <c r="H91" s="234">
        <v>12212</v>
      </c>
      <c r="I91" s="234">
        <v>15215</v>
      </c>
      <c r="J91" s="234">
        <v>16432</v>
      </c>
      <c r="K91" s="234">
        <v>19353</v>
      </c>
      <c r="L91" s="234">
        <v>14219</v>
      </c>
      <c r="M91" s="234">
        <v>8314</v>
      </c>
      <c r="N91" s="234">
        <v>11932</v>
      </c>
      <c r="O91" s="234">
        <v>16548.750566470317</v>
      </c>
      <c r="P91" s="234">
        <v>19567.741173299521</v>
      </c>
      <c r="Q91" s="234">
        <v>20059.976791712397</v>
      </c>
      <c r="R91" s="48"/>
      <c r="S91" s="4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234">
        <v>2463</v>
      </c>
      <c r="AS91" s="234">
        <v>2963</v>
      </c>
      <c r="AT91" s="234">
        <v>3364</v>
      </c>
      <c r="AU91" s="234">
        <v>3422</v>
      </c>
      <c r="AV91" s="234">
        <v>3687</v>
      </c>
      <c r="AW91" s="234">
        <v>3937</v>
      </c>
      <c r="AX91" s="234">
        <v>3850</v>
      </c>
      <c r="AY91" s="234">
        <v>3741</v>
      </c>
      <c r="AZ91" s="234">
        <v>3817</v>
      </c>
      <c r="BA91" s="234">
        <v>4321</v>
      </c>
      <c r="BB91" s="234">
        <v>4359</v>
      </c>
      <c r="BC91" s="234">
        <v>3935</v>
      </c>
      <c r="BD91" s="234">
        <v>4252</v>
      </c>
      <c r="BE91" s="234">
        <v>4817</v>
      </c>
      <c r="BF91" s="234">
        <v>5047</v>
      </c>
      <c r="BG91" s="234">
        <v>5237</v>
      </c>
      <c r="BH91" s="234">
        <v>4501</v>
      </c>
      <c r="BI91" s="234">
        <v>3747</v>
      </c>
      <c r="BJ91" s="234">
        <v>3189</v>
      </c>
      <c r="BK91" s="234">
        <v>2782</v>
      </c>
      <c r="BL91" s="234">
        <v>2237</v>
      </c>
      <c r="BM91" s="234">
        <v>1990</v>
      </c>
      <c r="BN91" s="234">
        <v>1930</v>
      </c>
      <c r="BO91" s="234">
        <v>2157</v>
      </c>
      <c r="BP91" s="234">
        <v>2386</v>
      </c>
      <c r="BQ91" s="234">
        <v>2980</v>
      </c>
      <c r="BR91" s="234">
        <v>3198</v>
      </c>
      <c r="BS91" s="234">
        <v>3368</v>
      </c>
      <c r="BT91" s="234">
        <v>3317</v>
      </c>
      <c r="BU91" s="234">
        <v>3999.7595639812994</v>
      </c>
      <c r="BV91" s="234">
        <v>4515.2194622697471</v>
      </c>
      <c r="BW91" s="234">
        <v>4716.7715402192698</v>
      </c>
      <c r="BX91" s="234">
        <v>4794.2387736583441</v>
      </c>
      <c r="BY91" s="234">
        <v>4831.3501915748202</v>
      </c>
      <c r="BZ91" s="234">
        <v>4930.259072725331</v>
      </c>
      <c r="CA91" s="234">
        <v>5011.8931353410262</v>
      </c>
      <c r="CB91" s="234">
        <v>5024.1289778878963</v>
      </c>
      <c r="CC91" s="234">
        <v>4987.589858048711</v>
      </c>
      <c r="CD91" s="234">
        <v>5005.8594179683032</v>
      </c>
      <c r="CE91" s="234">
        <v>5042.3985378074885</v>
      </c>
      <c r="CF91" s="4"/>
      <c r="CG91" s="4"/>
      <c r="CH91" s="4"/>
      <c r="CI91" s="4"/>
      <c r="CJ91" s="4"/>
      <c r="CK91" s="4"/>
      <c r="CL91" s="4"/>
      <c r="CM91" s="4"/>
      <c r="CN91" s="240">
        <f t="shared" si="315"/>
        <v>84</v>
      </c>
    </row>
    <row r="92" spans="1:92" outlineLevel="1">
      <c r="A92" s="144"/>
      <c r="B92" s="42" t="s">
        <v>322</v>
      </c>
      <c r="C92" s="6"/>
      <c r="D92" s="6"/>
      <c r="E92" s="6"/>
      <c r="F92" s="6"/>
      <c r="G92" s="6"/>
      <c r="H92" s="6"/>
      <c r="I92" s="6">
        <f t="shared" ref="I92:Q92" si="365">I91/H91-1</f>
        <v>0.24590566655748436</v>
      </c>
      <c r="J92" s="6">
        <f t="shared" si="365"/>
        <v>7.9986855077226471E-2</v>
      </c>
      <c r="K92" s="6">
        <f t="shared" si="365"/>
        <v>0.17776290165530662</v>
      </c>
      <c r="L92" s="6">
        <f t="shared" si="365"/>
        <v>-0.2652818684441689</v>
      </c>
      <c r="M92" s="6">
        <f t="shared" si="365"/>
        <v>-0.41528940150502847</v>
      </c>
      <c r="N92" s="6">
        <f t="shared" si="365"/>
        <v>0.43516959345681983</v>
      </c>
      <c r="O92" s="6">
        <f t="shared" si="365"/>
        <v>0.38692177057243682</v>
      </c>
      <c r="P92" s="6">
        <f t="shared" si="365"/>
        <v>0.18243012333185016</v>
      </c>
      <c r="Q92" s="6">
        <f t="shared" si="365"/>
        <v>2.5155464499118541E-2</v>
      </c>
      <c r="R92" s="6"/>
      <c r="S92" s="4"/>
      <c r="T92" s="4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>
        <f>AS91/AR91-1</f>
        <v>0.20300446609825418</v>
      </c>
      <c r="AT92" s="6">
        <f t="shared" ref="AT92:CE92" si="366">AT91/AS91-1</f>
        <v>0.13533580830239611</v>
      </c>
      <c r="AU92" s="6">
        <f t="shared" si="366"/>
        <v>1.7241379310344751E-2</v>
      </c>
      <c r="AV92" s="6">
        <f t="shared" si="366"/>
        <v>7.7440093512565644E-2</v>
      </c>
      <c r="AW92" s="6">
        <f t="shared" si="366"/>
        <v>6.7805804176837459E-2</v>
      </c>
      <c r="AX92" s="6">
        <f t="shared" si="366"/>
        <v>-2.2098044196088407E-2</v>
      </c>
      <c r="AY92" s="6">
        <f t="shared" si="366"/>
        <v>-2.8311688311688288E-2</v>
      </c>
      <c r="AZ92" s="6">
        <f t="shared" si="366"/>
        <v>2.0315423683507028E-2</v>
      </c>
      <c r="BA92" s="6">
        <f t="shared" si="366"/>
        <v>0.13204086979303109</v>
      </c>
      <c r="BB92" s="6">
        <f t="shared" si="366"/>
        <v>8.7942605878268409E-3</v>
      </c>
      <c r="BC92" s="6">
        <f t="shared" si="366"/>
        <v>-9.7270016058729092E-2</v>
      </c>
      <c r="BD92" s="6">
        <f t="shared" si="366"/>
        <v>8.055908513341814E-2</v>
      </c>
      <c r="BE92" s="6">
        <f t="shared" si="366"/>
        <v>0.13287864534336791</v>
      </c>
      <c r="BF92" s="6">
        <f t="shared" si="366"/>
        <v>4.7747560722441351E-2</v>
      </c>
      <c r="BG92" s="6">
        <f t="shared" si="366"/>
        <v>3.7646126411729819E-2</v>
      </c>
      <c r="BH92" s="6">
        <f t="shared" si="366"/>
        <v>-0.14053847622684745</v>
      </c>
      <c r="BI92" s="6">
        <f t="shared" si="366"/>
        <v>-0.16751832926016441</v>
      </c>
      <c r="BJ92" s="6">
        <f t="shared" si="366"/>
        <v>-0.14891913530824663</v>
      </c>
      <c r="BK92" s="6">
        <f t="shared" si="366"/>
        <v>-0.12762621511445593</v>
      </c>
      <c r="BL92" s="6">
        <f t="shared" si="366"/>
        <v>-0.19590222861250894</v>
      </c>
      <c r="BM92" s="6">
        <f t="shared" si="366"/>
        <v>-0.11041573535985694</v>
      </c>
      <c r="BN92" s="6">
        <f t="shared" si="366"/>
        <v>-3.0150753768844241E-2</v>
      </c>
      <c r="BO92" s="6">
        <f t="shared" si="366"/>
        <v>0.11761658031088085</v>
      </c>
      <c r="BP92" s="6">
        <f t="shared" si="366"/>
        <v>0.1061659712563745</v>
      </c>
      <c r="BQ92" s="6">
        <f t="shared" si="366"/>
        <v>0.24895222129086347</v>
      </c>
      <c r="BR92" s="6">
        <f t="shared" si="366"/>
        <v>7.3154362416107288E-2</v>
      </c>
      <c r="BS92" s="6">
        <f t="shared" si="366"/>
        <v>5.31582238899313E-2</v>
      </c>
      <c r="BT92" s="6">
        <f t="shared" si="366"/>
        <v>-1.5142517814726864E-2</v>
      </c>
      <c r="BU92" s="6">
        <f t="shared" si="366"/>
        <v>0.20583646788703636</v>
      </c>
      <c r="BV92" s="6">
        <f t="shared" si="366"/>
        <v>0.12887272098309999</v>
      </c>
      <c r="BW92" s="6">
        <f t="shared" si="366"/>
        <v>4.4638379071878953E-2</v>
      </c>
      <c r="BX92" s="6">
        <f t="shared" si="366"/>
        <v>1.6423783254821966E-2</v>
      </c>
      <c r="BY92" s="6">
        <f t="shared" si="366"/>
        <v>7.7408363806121816E-3</v>
      </c>
      <c r="BZ92" s="6">
        <f t="shared" si="366"/>
        <v>2.0472306338504165E-2</v>
      </c>
      <c r="CA92" s="6">
        <f t="shared" si="366"/>
        <v>1.6557763276032089E-2</v>
      </c>
      <c r="CB92" s="6">
        <f t="shared" si="366"/>
        <v>2.4413614210148094E-3</v>
      </c>
      <c r="CC92" s="6">
        <f t="shared" si="366"/>
        <v>-7.2727272727274306E-3</v>
      </c>
      <c r="CD92" s="6">
        <f t="shared" si="366"/>
        <v>3.66300366300365E-3</v>
      </c>
      <c r="CE92" s="6">
        <f t="shared" si="366"/>
        <v>7.2992700729928028E-3</v>
      </c>
      <c r="CF92" s="4"/>
      <c r="CG92" s="4"/>
      <c r="CH92" s="4"/>
      <c r="CI92" s="4"/>
      <c r="CJ92" s="4"/>
      <c r="CK92" s="4"/>
      <c r="CL92" s="4"/>
      <c r="CM92" s="4"/>
      <c r="CN92" s="240">
        <f t="shared" si="315"/>
        <v>85</v>
      </c>
    </row>
    <row r="93" spans="1:92" outlineLevel="1">
      <c r="A93" s="144"/>
      <c r="B93" s="45" t="s">
        <v>327</v>
      </c>
      <c r="C93" s="48"/>
      <c r="D93" s="48"/>
      <c r="E93" s="48"/>
      <c r="F93" s="48"/>
      <c r="G93" s="48"/>
      <c r="H93" s="48"/>
      <c r="I93" s="48">
        <f>+I89*1000/I91</f>
        <v>48.569086427867241</v>
      </c>
      <c r="J93" s="48">
        <f t="shared" ref="J93:Q93" si="367">+J89*1000/J91</f>
        <v>43.490283410418698</v>
      </c>
      <c r="K93" s="48">
        <f t="shared" si="367"/>
        <v>43.28885583630445</v>
      </c>
      <c r="L93" s="48">
        <f t="shared" si="367"/>
        <v>35.084246712145728</v>
      </c>
      <c r="M93" s="48">
        <f t="shared" si="367"/>
        <v>41.247755352417606</v>
      </c>
      <c r="N93" s="48">
        <f t="shared" si="367"/>
        <v>45.667734746899093</v>
      </c>
      <c r="O93" s="48">
        <f t="shared" si="367"/>
        <v>48.305928625072937</v>
      </c>
      <c r="P93" s="48">
        <f t="shared" si="367"/>
        <v>49.30369974167575</v>
      </c>
      <c r="Q93" s="48">
        <f t="shared" si="367"/>
        <v>49.303699741675757</v>
      </c>
      <c r="R93" s="48"/>
      <c r="S93" s="4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>
        <f t="shared" ref="AS93:BS93" si="368">+AS89*1000/AS91</f>
        <v>65.886432669591628</v>
      </c>
      <c r="AT93" s="48">
        <f t="shared" si="368"/>
        <v>55.724063614744345</v>
      </c>
      <c r="AU93" s="48">
        <f t="shared" si="368"/>
        <v>52.144915254237276</v>
      </c>
      <c r="AV93" s="48">
        <f t="shared" si="368"/>
        <v>50.207390832655271</v>
      </c>
      <c r="AW93" s="48">
        <f t="shared" si="368"/>
        <v>49.933152146304288</v>
      </c>
      <c r="AX93" s="48">
        <f t="shared" si="368"/>
        <v>47.000072727272716</v>
      </c>
      <c r="AY93" s="48">
        <f t="shared" si="368"/>
        <v>47.133627372360323</v>
      </c>
      <c r="AZ93" s="48">
        <f t="shared" si="368"/>
        <v>45.214587372281891</v>
      </c>
      <c r="BA93" s="48">
        <f t="shared" si="368"/>
        <v>40.420395741726445</v>
      </c>
      <c r="BB93" s="48">
        <f t="shared" si="368"/>
        <v>42.802956412021096</v>
      </c>
      <c r="BC93" s="48">
        <f t="shared" si="368"/>
        <v>45.950099110546383</v>
      </c>
      <c r="BD93" s="48">
        <f t="shared" si="368"/>
        <v>42.569510818438395</v>
      </c>
      <c r="BE93" s="48">
        <f t="shared" si="368"/>
        <v>43.442843055843902</v>
      </c>
      <c r="BF93" s="48">
        <f t="shared" si="368"/>
        <v>42.732298791361217</v>
      </c>
      <c r="BG93" s="48">
        <f t="shared" si="368"/>
        <v>44.267630322703845</v>
      </c>
      <c r="BH93" s="48">
        <f t="shared" si="368"/>
        <v>35.260431015329921</v>
      </c>
      <c r="BI93" s="48">
        <f t="shared" si="368"/>
        <v>31.597747531358412</v>
      </c>
      <c r="BJ93" s="48">
        <f t="shared" si="368"/>
        <v>37.029131389150209</v>
      </c>
      <c r="BK93" s="48">
        <f t="shared" si="368"/>
        <v>37.265652048885684</v>
      </c>
      <c r="BL93" s="48">
        <f t="shared" si="368"/>
        <v>36.344519445686196</v>
      </c>
      <c r="BM93" s="48">
        <f t="shared" si="368"/>
        <v>35.901425125628144</v>
      </c>
      <c r="BN93" s="48">
        <f t="shared" si="368"/>
        <v>46.26105492227979</v>
      </c>
      <c r="BO93" s="48">
        <f t="shared" si="368"/>
        <v>46.779543810848395</v>
      </c>
      <c r="BP93" s="48">
        <f t="shared" si="368"/>
        <v>43.232579212070405</v>
      </c>
      <c r="BQ93" s="48">
        <f t="shared" si="368"/>
        <v>44.234510067114094</v>
      </c>
      <c r="BR93" s="48">
        <f t="shared" si="368"/>
        <v>47.506142901813632</v>
      </c>
      <c r="BS93" s="48">
        <f t="shared" si="368"/>
        <v>46.915377672209033</v>
      </c>
      <c r="BT93" s="48">
        <f>BS93*(1+BT94)</f>
        <v>47.384531448931121</v>
      </c>
      <c r="BU93" s="48">
        <f t="shared" ref="BU93:CE93" si="369">BT93*(1+BU94)</f>
        <v>47.858376763420431</v>
      </c>
      <c r="BV93" s="48">
        <f t="shared" si="369"/>
        <v>48.336960531054636</v>
      </c>
      <c r="BW93" s="48">
        <f t="shared" si="369"/>
        <v>49.303699741675729</v>
      </c>
      <c r="BX93" s="48">
        <f t="shared" si="369"/>
        <v>49.303699741675729</v>
      </c>
      <c r="BY93" s="48">
        <f t="shared" si="369"/>
        <v>49.303699741675729</v>
      </c>
      <c r="BZ93" s="48">
        <f t="shared" si="369"/>
        <v>49.303699741675729</v>
      </c>
      <c r="CA93" s="48">
        <f t="shared" si="369"/>
        <v>49.303699741675729</v>
      </c>
      <c r="CB93" s="48">
        <f t="shared" si="369"/>
        <v>49.303699741675729</v>
      </c>
      <c r="CC93" s="48">
        <f t="shared" si="369"/>
        <v>49.303699741675729</v>
      </c>
      <c r="CD93" s="48">
        <f t="shared" si="369"/>
        <v>49.303699741675729</v>
      </c>
      <c r="CE93" s="48">
        <f t="shared" si="369"/>
        <v>49.303699741675729</v>
      </c>
      <c r="CF93" s="4"/>
      <c r="CG93" s="4"/>
      <c r="CH93" s="4"/>
      <c r="CI93" s="4"/>
      <c r="CJ93" s="4"/>
      <c r="CK93" s="4"/>
      <c r="CL93" s="4"/>
      <c r="CM93" s="4"/>
      <c r="CN93" s="240">
        <f t="shared" si="315"/>
        <v>86</v>
      </c>
    </row>
    <row r="94" spans="1:92" outlineLevel="1">
      <c r="A94" s="144"/>
      <c r="B94" s="42" t="s">
        <v>322</v>
      </c>
      <c r="C94" s="6"/>
      <c r="D94" s="6"/>
      <c r="E94" s="6"/>
      <c r="F94" s="6"/>
      <c r="G94" s="6"/>
      <c r="H94" s="6"/>
      <c r="I94" s="6" t="e">
        <f t="shared" ref="I94:Q94" si="370">I93/H93-1</f>
        <v>#DIV/0!</v>
      </c>
      <c r="J94" s="6">
        <f t="shared" si="370"/>
        <v>-0.10456863389825888</v>
      </c>
      <c r="K94" s="6">
        <f t="shared" si="370"/>
        <v>-4.6315534946822501E-3</v>
      </c>
      <c r="L94" s="6">
        <f t="shared" si="370"/>
        <v>-0.18953166965613999</v>
      </c>
      <c r="M94" s="6">
        <f t="shared" si="370"/>
        <v>0.1756773828106204</v>
      </c>
      <c r="N94" s="6">
        <f t="shared" si="370"/>
        <v>0.10715684663850267</v>
      </c>
      <c r="O94" s="6">
        <f t="shared" si="370"/>
        <v>5.7769317720603119E-2</v>
      </c>
      <c r="P94" s="6">
        <f t="shared" si="370"/>
        <v>2.0655251746571901E-2</v>
      </c>
      <c r="Q94" s="6">
        <f t="shared" si="370"/>
        <v>0</v>
      </c>
      <c r="R94" s="6"/>
      <c r="S94" s="4"/>
      <c r="T94" s="4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 t="e">
        <f>AS93/AR93-1</f>
        <v>#DIV/0!</v>
      </c>
      <c r="AT94" s="6">
        <f t="shared" ref="AT94" si="371">AT93/AS93-1</f>
        <v>-0.15424069331253221</v>
      </c>
      <c r="AU94" s="6">
        <f t="shared" ref="AU94" si="372">AU93/AT93-1</f>
        <v>-6.422985203039E-2</v>
      </c>
      <c r="AV94" s="6">
        <f t="shared" ref="AV94" si="373">AV93/AU93-1</f>
        <v>-3.7156536013826624E-2</v>
      </c>
      <c r="AW94" s="6">
        <f t="shared" ref="AW94" si="374">AW93/AV93-1</f>
        <v>-5.4621178635838596E-3</v>
      </c>
      <c r="AX94" s="6">
        <f t="shared" ref="AX94" si="375">AX93/AW93-1</f>
        <v>-5.8740121401461676E-2</v>
      </c>
      <c r="AY94" s="6">
        <f t="shared" ref="AY94" si="376">AY93/AX93-1</f>
        <v>2.841583796318492E-3</v>
      </c>
      <c r="AZ94" s="6">
        <f t="shared" ref="AZ94" si="377">AZ93/AY93-1</f>
        <v>-4.0714880374426277E-2</v>
      </c>
      <c r="BA94" s="6">
        <f t="shared" ref="BA94" si="378">BA93/AZ93-1</f>
        <v>-0.1060319668756825</v>
      </c>
      <c r="BB94" s="6">
        <f t="shared" ref="BB94" si="379">BB93/BA93-1</f>
        <v>5.8944516167492855E-2</v>
      </c>
      <c r="BC94" s="6">
        <f t="shared" ref="BC94" si="380">BC93/BB93-1</f>
        <v>7.352629262873589E-2</v>
      </c>
      <c r="BD94" s="6">
        <f t="shared" ref="BD94" si="381">BD93/BC93-1</f>
        <v>-7.3570859640041175E-2</v>
      </c>
      <c r="BE94" s="6">
        <f t="shared" ref="BE94" si="382">BE93/BD93-1</f>
        <v>2.0515439821009895E-2</v>
      </c>
      <c r="BF94" s="6">
        <f t="shared" ref="BF94" si="383">BF93/BE93-1</f>
        <v>-1.6355841710665953E-2</v>
      </c>
      <c r="BG94" s="6">
        <f t="shared" ref="BG94" si="384">BG93/BF93-1</f>
        <v>3.5929064776945907E-2</v>
      </c>
      <c r="BH94" s="6">
        <f t="shared" ref="BH94" si="385">BH93/BG93-1</f>
        <v>-0.20347145852879189</v>
      </c>
      <c r="BI94" s="6">
        <f t="shared" ref="BI94" si="386">BI93/BH93-1</f>
        <v>-0.10387517618202435</v>
      </c>
      <c r="BJ94" s="6">
        <f t="shared" ref="BJ94" si="387">BJ93/BI93-1</f>
        <v>0.17189148854365488</v>
      </c>
      <c r="BK94" s="6">
        <f t="shared" ref="BK94" si="388">BK93/BJ93-1</f>
        <v>6.3874212238415051E-3</v>
      </c>
      <c r="BL94" s="6">
        <f t="shared" ref="BL94" si="389">BL93/BK93-1</f>
        <v>-2.4718005792334741E-2</v>
      </c>
      <c r="BM94" s="6">
        <f t="shared" ref="BM94" si="390">BM93/BL93-1</f>
        <v>-1.219150306059813E-2</v>
      </c>
      <c r="BN94" s="6">
        <f t="shared" ref="BN94" si="391">BN93/BM93-1</f>
        <v>0.2885576202170439</v>
      </c>
      <c r="BO94" s="6">
        <f t="shared" ref="BO94" si="392">BO93/BN93-1</f>
        <v>1.1207891593472796E-2</v>
      </c>
      <c r="BP94" s="6">
        <f t="shared" ref="BP94" si="393">BP93/BO93-1</f>
        <v>-7.5822983933319876E-2</v>
      </c>
      <c r="BQ94" s="6">
        <f t="shared" ref="BQ94" si="394">BQ93/BP93-1</f>
        <v>2.3175366200773651E-2</v>
      </c>
      <c r="BR94" s="6">
        <f t="shared" ref="BR94" si="395">BR93/BQ93-1</f>
        <v>7.3961095753874107E-2</v>
      </c>
      <c r="BS94" s="6">
        <f t="shared" ref="BS94" si="396">BS93/BR93-1</f>
        <v>-1.2435554509773628E-2</v>
      </c>
      <c r="BT94" s="235">
        <v>0.01</v>
      </c>
      <c r="BU94" s="235">
        <v>0.01</v>
      </c>
      <c r="BV94" s="235">
        <v>0.01</v>
      </c>
      <c r="BW94" s="235">
        <v>0.02</v>
      </c>
      <c r="BX94" s="235">
        <v>0</v>
      </c>
      <c r="BY94" s="235">
        <v>0</v>
      </c>
      <c r="BZ94" s="235">
        <v>0</v>
      </c>
      <c r="CA94" s="235">
        <v>0</v>
      </c>
      <c r="CB94" s="235">
        <v>0</v>
      </c>
      <c r="CC94" s="235">
        <v>0</v>
      </c>
      <c r="CD94" s="235">
        <v>0</v>
      </c>
      <c r="CE94" s="235">
        <v>0</v>
      </c>
      <c r="CF94" s="4"/>
      <c r="CG94" s="4"/>
      <c r="CH94" s="4"/>
      <c r="CI94" s="4"/>
      <c r="CJ94" s="4"/>
      <c r="CK94" s="4"/>
      <c r="CL94" s="4"/>
      <c r="CM94" s="4"/>
      <c r="CN94" s="240">
        <f t="shared" si="315"/>
        <v>87</v>
      </c>
    </row>
    <row r="95" spans="1:92" outlineLevel="1">
      <c r="A95" s="144"/>
      <c r="B95" s="42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4"/>
      <c r="T95" s="4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4"/>
      <c r="CG95" s="4"/>
      <c r="CH95" s="4"/>
      <c r="CI95" s="4"/>
      <c r="CJ95" s="4"/>
      <c r="CK95" s="4"/>
      <c r="CL95" s="4"/>
      <c r="CM95" s="4"/>
      <c r="CN95" s="240">
        <f t="shared" si="315"/>
        <v>88</v>
      </c>
    </row>
    <row r="96" spans="1:92" outlineLevel="1">
      <c r="A96" s="144"/>
      <c r="B96" s="45" t="s">
        <v>330</v>
      </c>
      <c r="C96" s="6"/>
      <c r="D96" s="6"/>
      <c r="E96" s="6"/>
      <c r="F96" s="6"/>
      <c r="G96" s="6"/>
      <c r="H96" s="57">
        <f t="shared" ref="H96:Q96" si="397">+H97/H89</f>
        <v>0.3987307564943034</v>
      </c>
      <c r="I96" s="57">
        <f t="shared" si="397"/>
        <v>0.3827593182098229</v>
      </c>
      <c r="J96" s="57">
        <f t="shared" si="397"/>
        <v>0.31440950944347273</v>
      </c>
      <c r="K96" s="57">
        <f t="shared" si="397"/>
        <v>0.32009244304966505</v>
      </c>
      <c r="L96" s="57">
        <f t="shared" si="397"/>
        <v>0.13878899506670983</v>
      </c>
      <c r="M96" s="57">
        <f t="shared" si="397"/>
        <v>2.9261731696099243E-2</v>
      </c>
      <c r="N96" s="57">
        <f t="shared" si="397"/>
        <v>0.30645999910601668</v>
      </c>
      <c r="O96" s="57">
        <f t="shared" si="397"/>
        <v>0.34837574751918282</v>
      </c>
      <c r="P96" s="57">
        <f t="shared" si="397"/>
        <v>0.35999999999999988</v>
      </c>
      <c r="Q96" s="57">
        <f t="shared" si="397"/>
        <v>0.35999999999999976</v>
      </c>
      <c r="R96" s="6"/>
      <c r="S96" s="4"/>
      <c r="T96" s="4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>
        <f t="shared" ref="AP96:CE96" si="398">MIN(AP45+0.05,0.4)</f>
        <v>0.39170991124757043</v>
      </c>
      <c r="AQ96" s="6">
        <f t="shared" si="398"/>
        <v>0.4</v>
      </c>
      <c r="AR96" s="6">
        <f t="shared" si="398"/>
        <v>0.4</v>
      </c>
      <c r="AS96" s="6">
        <f t="shared" si="398"/>
        <v>0.39532122905027928</v>
      </c>
      <c r="AT96" s="6">
        <f t="shared" si="398"/>
        <v>0.4</v>
      </c>
      <c r="AU96" s="6">
        <f t="shared" si="398"/>
        <v>0.4</v>
      </c>
      <c r="AV96" s="6">
        <f t="shared" si="398"/>
        <v>0.4</v>
      </c>
      <c r="AW96" s="6">
        <f t="shared" si="398"/>
        <v>0.39097127000734333</v>
      </c>
      <c r="AX96" s="6">
        <f t="shared" si="398"/>
        <v>0.38239079384299263</v>
      </c>
      <c r="AY96" s="6">
        <f t="shared" si="398"/>
        <v>0.35588208236065266</v>
      </c>
      <c r="AZ96" s="6">
        <f t="shared" si="398"/>
        <v>0.31212973749463846</v>
      </c>
      <c r="BA96" s="6">
        <f t="shared" si="398"/>
        <v>0.31126453316982289</v>
      </c>
      <c r="BB96" s="6">
        <f t="shared" si="398"/>
        <v>0.33666340730910932</v>
      </c>
      <c r="BC96" s="6">
        <f t="shared" si="398"/>
        <v>0.2966600370874245</v>
      </c>
      <c r="BD96" s="6">
        <f t="shared" si="398"/>
        <v>0.29035805297984885</v>
      </c>
      <c r="BE96" s="6">
        <f t="shared" si="398"/>
        <v>0.32225234757307231</v>
      </c>
      <c r="BF96" s="6">
        <f t="shared" si="398"/>
        <v>0.31358448834129532</v>
      </c>
      <c r="BG96" s="6">
        <f t="shared" si="398"/>
        <v>0.34741281048047318</v>
      </c>
      <c r="BH96" s="6">
        <f t="shared" si="398"/>
        <v>0.2180486017990283</v>
      </c>
      <c r="BI96" s="6">
        <f t="shared" si="398"/>
        <v>9.3954808814891655E-2</v>
      </c>
      <c r="BJ96" s="6">
        <f t="shared" si="398"/>
        <v>0.11075637746640815</v>
      </c>
      <c r="BK96" s="6">
        <f t="shared" si="398"/>
        <v>0.10058628743281296</v>
      </c>
      <c r="BL96" s="6">
        <f t="shared" si="398"/>
        <v>-4.9717333819640705E-3</v>
      </c>
      <c r="BM96" s="6">
        <f t="shared" si="398"/>
        <v>-7.2552718016720349E-2</v>
      </c>
      <c r="BN96" s="6">
        <f t="shared" si="398"/>
        <v>3.179157661435969E-2</v>
      </c>
      <c r="BO96" s="6">
        <f t="shared" si="398"/>
        <v>0.1266955741912095</v>
      </c>
      <c r="BP96" s="6">
        <f t="shared" si="398"/>
        <v>0.22015842179190631</v>
      </c>
      <c r="BQ96" s="6">
        <f t="shared" si="398"/>
        <v>0.32927266500978047</v>
      </c>
      <c r="BR96" s="6">
        <f t="shared" si="398"/>
        <v>0.35649150024466825</v>
      </c>
      <c r="BS96" s="6">
        <f t="shared" si="398"/>
        <v>0.29566393817583686</v>
      </c>
      <c r="BT96" s="6">
        <f t="shared" si="398"/>
        <v>0.32</v>
      </c>
      <c r="BU96" s="6">
        <f t="shared" si="398"/>
        <v>0.35</v>
      </c>
      <c r="BV96" s="6">
        <f t="shared" si="398"/>
        <v>0.35499999999999998</v>
      </c>
      <c r="BW96" s="6">
        <f t="shared" si="398"/>
        <v>0.36</v>
      </c>
      <c r="BX96" s="6">
        <f t="shared" si="398"/>
        <v>0.36</v>
      </c>
      <c r="BY96" s="6">
        <f t="shared" si="398"/>
        <v>0.36</v>
      </c>
      <c r="BZ96" s="6">
        <f t="shared" si="398"/>
        <v>0.36</v>
      </c>
      <c r="CA96" s="6">
        <f t="shared" si="398"/>
        <v>0.36</v>
      </c>
      <c r="CB96" s="6">
        <f t="shared" si="398"/>
        <v>0.36</v>
      </c>
      <c r="CC96" s="6">
        <f t="shared" si="398"/>
        <v>0.36</v>
      </c>
      <c r="CD96" s="6">
        <f t="shared" si="398"/>
        <v>0.36</v>
      </c>
      <c r="CE96" s="6">
        <f t="shared" si="398"/>
        <v>0.36</v>
      </c>
      <c r="CF96" s="4"/>
      <c r="CG96" s="4"/>
      <c r="CH96" s="4"/>
      <c r="CI96" s="4"/>
      <c r="CJ96" s="4"/>
      <c r="CK96" s="4"/>
      <c r="CL96" s="4"/>
      <c r="CM96" s="4"/>
      <c r="CN96" s="240">
        <f t="shared" si="315"/>
        <v>89</v>
      </c>
    </row>
    <row r="97" spans="1:99" outlineLevel="1">
      <c r="A97" s="144"/>
      <c r="B97" s="45" t="s">
        <v>331</v>
      </c>
      <c r="C97" s="6"/>
      <c r="D97" s="6"/>
      <c r="E97" s="6"/>
      <c r="F97" s="6"/>
      <c r="G97" s="6"/>
      <c r="H97" s="23">
        <f t="shared" ref="H97:Q97" si="399">SUMIF($T$5:$CF$5,H$5,$T97:$CF97)</f>
        <v>286.94206331703913</v>
      </c>
      <c r="I97" s="23">
        <f t="shared" si="399"/>
        <v>282.85096424561533</v>
      </c>
      <c r="J97" s="23">
        <f t="shared" si="399"/>
        <v>224.6872025086125</v>
      </c>
      <c r="K97" s="23">
        <f t="shared" si="399"/>
        <v>268.1635985822594</v>
      </c>
      <c r="L97" s="23">
        <f t="shared" si="399"/>
        <v>69.236681122220546</v>
      </c>
      <c r="M97" s="23">
        <f t="shared" si="399"/>
        <v>10.034837957069563</v>
      </c>
      <c r="N97" s="23">
        <f t="shared" si="399"/>
        <v>166.99232468792184</v>
      </c>
      <c r="O97" s="23">
        <f t="shared" si="399"/>
        <v>278.49253537220898</v>
      </c>
      <c r="P97" s="23">
        <f t="shared" si="399"/>
        <v>347.31433275522664</v>
      </c>
      <c r="Q97" s="23">
        <f t="shared" si="399"/>
        <v>356.05118612288578</v>
      </c>
      <c r="R97" s="6"/>
      <c r="S97" s="4"/>
      <c r="T97" s="4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152">
        <f t="shared" ref="AP97:CE97" si="400">AP89*AP96</f>
        <v>48.177577114072427</v>
      </c>
      <c r="AQ97" s="152">
        <f t="shared" si="400"/>
        <v>54.933552000000013</v>
      </c>
      <c r="AR97" s="152">
        <f t="shared" si="400"/>
        <v>63.408600000000007</v>
      </c>
      <c r="AS97" s="152">
        <f t="shared" si="400"/>
        <v>77.175203317039092</v>
      </c>
      <c r="AT97" s="152">
        <f t="shared" si="400"/>
        <v>74.982299999999995</v>
      </c>
      <c r="AU97" s="152">
        <f t="shared" si="400"/>
        <v>71.375959999999992</v>
      </c>
      <c r="AV97" s="152">
        <f t="shared" si="400"/>
        <v>74.04585999999999</v>
      </c>
      <c r="AW97" s="152">
        <f t="shared" si="400"/>
        <v>76.859798682104994</v>
      </c>
      <c r="AX97" s="152">
        <f t="shared" si="400"/>
        <v>69.193721215311783</v>
      </c>
      <c r="AY97" s="152">
        <f t="shared" si="400"/>
        <v>62.751584348198556</v>
      </c>
      <c r="AZ97" s="152">
        <f t="shared" si="400"/>
        <v>53.868623586153682</v>
      </c>
      <c r="BA97" s="152">
        <f t="shared" si="400"/>
        <v>54.364383275511159</v>
      </c>
      <c r="BB97" s="152">
        <f t="shared" si="400"/>
        <v>62.81401449863543</v>
      </c>
      <c r="BC97" s="152">
        <f t="shared" si="400"/>
        <v>53.64018114831223</v>
      </c>
      <c r="BD97" s="152">
        <f t="shared" si="400"/>
        <v>52.556421980127226</v>
      </c>
      <c r="BE97" s="152">
        <f t="shared" si="400"/>
        <v>67.435871656692257</v>
      </c>
      <c r="BF97" s="152">
        <f t="shared" si="400"/>
        <v>67.630739005132213</v>
      </c>
      <c r="BG97" s="152">
        <f t="shared" si="400"/>
        <v>80.540565940307701</v>
      </c>
      <c r="BH97" s="152">
        <f t="shared" si="400"/>
        <v>34.605883055438738</v>
      </c>
      <c r="BI97" s="152">
        <f t="shared" si="400"/>
        <v>11.12394495010261</v>
      </c>
      <c r="BJ97" s="152">
        <f t="shared" si="400"/>
        <v>13.078766513860527</v>
      </c>
      <c r="BK97" s="152">
        <f t="shared" si="400"/>
        <v>10.428086602818663</v>
      </c>
      <c r="BL97" s="152">
        <f t="shared" si="400"/>
        <v>-0.40421529791647648</v>
      </c>
      <c r="BM97" s="152">
        <f t="shared" si="400"/>
        <v>-5.1834444873408145</v>
      </c>
      <c r="BN97" s="152">
        <f t="shared" si="400"/>
        <v>2.8384739126179257</v>
      </c>
      <c r="BO97" s="152">
        <f t="shared" si="400"/>
        <v>12.784023829708927</v>
      </c>
      <c r="BP97" s="152">
        <f t="shared" si="400"/>
        <v>22.709987152644672</v>
      </c>
      <c r="BQ97" s="152">
        <f t="shared" si="400"/>
        <v>43.404340745297851</v>
      </c>
      <c r="BR97" s="152">
        <f t="shared" si="400"/>
        <v>54.159844620188636</v>
      </c>
      <c r="BS97" s="152">
        <f t="shared" si="400"/>
        <v>46.718152169790656</v>
      </c>
      <c r="BT97" s="152">
        <f t="shared" si="400"/>
        <v>50.295837061153442</v>
      </c>
      <c r="BU97" s="152">
        <f t="shared" si="400"/>
        <v>66.997700061638938</v>
      </c>
      <c r="BV97" s="152">
        <f t="shared" si="400"/>
        <v>77.479454652557791</v>
      </c>
      <c r="BW97" s="152">
        <f t="shared" si="400"/>
        <v>83.719543596858799</v>
      </c>
      <c r="BX97" s="152">
        <f t="shared" si="400"/>
        <v>85.094535235086241</v>
      </c>
      <c r="BY97" s="152">
        <f t="shared" si="400"/>
        <v>85.753238109225279</v>
      </c>
      <c r="BZ97" s="152">
        <f t="shared" si="400"/>
        <v>87.508804669316035</v>
      </c>
      <c r="CA97" s="152">
        <f t="shared" si="400"/>
        <v>88.957754741599089</v>
      </c>
      <c r="CB97" s="152">
        <f t="shared" si="400"/>
        <v>89.174932772125317</v>
      </c>
      <c r="CC97" s="152">
        <f t="shared" si="400"/>
        <v>88.52638780650986</v>
      </c>
      <c r="CD97" s="152">
        <f t="shared" si="400"/>
        <v>88.850660289317574</v>
      </c>
      <c r="CE97" s="152">
        <f t="shared" si="400"/>
        <v>89.499205254933045</v>
      </c>
      <c r="CF97" s="4"/>
      <c r="CG97" s="4"/>
      <c r="CH97" s="4"/>
      <c r="CI97" s="4"/>
      <c r="CJ97" s="4"/>
      <c r="CK97" s="4"/>
      <c r="CL97" s="4"/>
      <c r="CM97" s="4"/>
      <c r="CN97" s="240">
        <f t="shared" si="315"/>
        <v>90</v>
      </c>
    </row>
    <row r="98" spans="1:99" outlineLevel="1">
      <c r="A98" s="144"/>
      <c r="B98" s="41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57"/>
      <c r="N98" s="39"/>
      <c r="O98" s="39"/>
      <c r="P98" s="39"/>
      <c r="Q98" s="39"/>
      <c r="R98" s="39"/>
      <c r="S98" s="4"/>
      <c r="T98" s="4"/>
      <c r="U98" s="4"/>
      <c r="V98" s="4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57"/>
      <c r="BA98" s="57"/>
      <c r="BB98" s="57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4"/>
      <c r="BU98" s="57"/>
      <c r="BV98" s="57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240">
        <f t="shared" si="315"/>
        <v>91</v>
      </c>
    </row>
    <row r="99" spans="1:99" outlineLevel="1">
      <c r="A99" s="144" t="s">
        <v>33</v>
      </c>
      <c r="B99" s="173" t="s">
        <v>333</v>
      </c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57"/>
      <c r="N99" s="39"/>
      <c r="O99" s="39"/>
      <c r="P99" s="39"/>
      <c r="Q99" s="39"/>
      <c r="R99" s="39"/>
      <c r="S99" s="4"/>
      <c r="T99" s="4"/>
      <c r="U99" s="4"/>
      <c r="V99" s="4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57"/>
      <c r="BA99" s="57"/>
      <c r="BB99" s="57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4"/>
      <c r="BU99" s="57"/>
      <c r="BV99" s="57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240">
        <f t="shared" si="315"/>
        <v>92</v>
      </c>
    </row>
    <row r="100" spans="1:99" s="221" customFormat="1" hidden="1" outlineLevel="2">
      <c r="A100" s="144"/>
      <c r="B100" s="45" t="s">
        <v>319</v>
      </c>
      <c r="C100" s="152">
        <f t="shared" ref="C100:Q100" si="401">C120*C17</f>
        <v>-4.6542399999999997</v>
      </c>
      <c r="D100" s="152">
        <f t="shared" si="401"/>
        <v>-3.8952000000000009</v>
      </c>
      <c r="E100" s="152">
        <f t="shared" si="401"/>
        <v>-3.4825399999999997</v>
      </c>
      <c r="F100" s="152">
        <f t="shared" si="401"/>
        <v>-4.3764600000000007</v>
      </c>
      <c r="G100" s="152">
        <f t="shared" si="401"/>
        <v>-6.1934399999999989</v>
      </c>
      <c r="H100" s="152">
        <f t="shared" si="401"/>
        <v>-9.2565000000000026</v>
      </c>
      <c r="I100" s="152">
        <f t="shared" si="401"/>
        <v>-9.1287200000000013</v>
      </c>
      <c r="J100" s="152">
        <f t="shared" si="401"/>
        <v>-9.3500000000000014</v>
      </c>
      <c r="K100" s="152">
        <f t="shared" si="401"/>
        <v>-9.3896099999999993</v>
      </c>
      <c r="L100" s="152">
        <f t="shared" si="401"/>
        <v>-6.9487371315736173</v>
      </c>
      <c r="M100" s="152">
        <f t="shared" si="401"/>
        <v>-6.7281766972374868</v>
      </c>
      <c r="N100" s="152">
        <f t="shared" si="401"/>
        <v>-10.65083109676554</v>
      </c>
      <c r="O100" s="152">
        <f t="shared" si="401"/>
        <v>-10.656000000000004</v>
      </c>
      <c r="P100" s="152">
        <f t="shared" si="401"/>
        <v>-12.056281650000001</v>
      </c>
      <c r="Q100" s="152">
        <f t="shared" si="401"/>
        <v>-13.613138807043386</v>
      </c>
      <c r="R100" s="39"/>
      <c r="S100" s="4"/>
      <c r="T100" s="152">
        <f t="shared" ref="T100:AY100" si="402">T120*T17</f>
        <v>-0.94756999999999991</v>
      </c>
      <c r="U100" s="152">
        <f t="shared" si="402"/>
        <v>-0.77848000000000006</v>
      </c>
      <c r="V100" s="152">
        <f t="shared" si="402"/>
        <v>-0.98049999999999993</v>
      </c>
      <c r="W100" s="152">
        <f t="shared" si="402"/>
        <v>-1.0752200000000001</v>
      </c>
      <c r="X100" s="152">
        <f t="shared" si="402"/>
        <v>-1.1191</v>
      </c>
      <c r="Y100" s="152">
        <f t="shared" si="402"/>
        <v>-1.1491199999999999</v>
      </c>
      <c r="Z100" s="152">
        <f t="shared" si="402"/>
        <v>-1.21638</v>
      </c>
      <c r="AA100" s="152">
        <f t="shared" si="402"/>
        <v>-1.16964</v>
      </c>
      <c r="AB100" s="152">
        <f t="shared" si="402"/>
        <v>-0.86120000000000008</v>
      </c>
      <c r="AC100" s="152">
        <f t="shared" si="402"/>
        <v>-1.0432000000000001</v>
      </c>
      <c r="AD100" s="152">
        <f t="shared" si="402"/>
        <v>-0.99240000000000017</v>
      </c>
      <c r="AE100" s="152">
        <f t="shared" si="402"/>
        <v>-0.99840000000000007</v>
      </c>
      <c r="AF100" s="152">
        <f t="shared" si="402"/>
        <v>-0.98481999999999981</v>
      </c>
      <c r="AG100" s="152">
        <f t="shared" si="402"/>
        <v>-0.89256999999999997</v>
      </c>
      <c r="AH100" s="152">
        <f t="shared" si="402"/>
        <v>-1.0336099999999999</v>
      </c>
      <c r="AI100" s="152">
        <f t="shared" si="402"/>
        <v>-0.57154000000000005</v>
      </c>
      <c r="AJ100" s="152">
        <f t="shared" si="402"/>
        <v>-1.1377200000000001</v>
      </c>
      <c r="AK100" s="152">
        <f t="shared" si="402"/>
        <v>-1.0628600000000001</v>
      </c>
      <c r="AL100" s="152">
        <f t="shared" si="402"/>
        <v>-1.1092200000000001</v>
      </c>
      <c r="AM100" s="152">
        <f t="shared" si="402"/>
        <v>-1.0666599999999999</v>
      </c>
      <c r="AN100" s="152">
        <f t="shared" si="402"/>
        <v>-1.61808</v>
      </c>
      <c r="AO100" s="152">
        <f t="shared" si="402"/>
        <v>-1.14192</v>
      </c>
      <c r="AP100" s="152">
        <f t="shared" si="402"/>
        <v>-1.7803199999999999</v>
      </c>
      <c r="AQ100" s="152">
        <f t="shared" si="402"/>
        <v>-1.6531199999999999</v>
      </c>
      <c r="AR100" s="152">
        <f t="shared" si="402"/>
        <v>-2.4445000000000001</v>
      </c>
      <c r="AS100" s="152">
        <f t="shared" si="402"/>
        <v>-1.7135</v>
      </c>
      <c r="AT100" s="152">
        <f t="shared" si="402"/>
        <v>-1.8243500000000001</v>
      </c>
      <c r="AU100" s="152">
        <f t="shared" si="402"/>
        <v>-2.8583500000000002</v>
      </c>
      <c r="AV100" s="152">
        <f t="shared" si="402"/>
        <v>-2.8534000000000002</v>
      </c>
      <c r="AW100" s="152">
        <f t="shared" si="402"/>
        <v>-1.6122600000000002</v>
      </c>
      <c r="AX100" s="152">
        <f t="shared" si="402"/>
        <v>-2.5234200000000002</v>
      </c>
      <c r="AY100" s="152">
        <f t="shared" si="402"/>
        <v>-2.3765499999999999</v>
      </c>
      <c r="AZ100" s="152">
        <f t="shared" ref="AZ100:CE100" si="403">AZ120*AZ17</f>
        <v>-2.4585600000000003</v>
      </c>
      <c r="BA100" s="152">
        <f t="shared" si="403"/>
        <v>-1.8655350000000002</v>
      </c>
      <c r="BB100" s="152">
        <f t="shared" si="403"/>
        <v>-2.7251840000000001</v>
      </c>
      <c r="BC100" s="152">
        <f t="shared" si="403"/>
        <v>-2.1957599999999999</v>
      </c>
      <c r="BD100" s="152">
        <f t="shared" si="403"/>
        <v>-2.6886900000000002</v>
      </c>
      <c r="BE100" s="152">
        <f t="shared" si="403"/>
        <v>-2.3753250000000001</v>
      </c>
      <c r="BF100" s="152">
        <f t="shared" si="403"/>
        <v>-1.8036179999999997</v>
      </c>
      <c r="BG100" s="152">
        <f t="shared" si="403"/>
        <v>-2.5798199999999998</v>
      </c>
      <c r="BH100" s="152">
        <f t="shared" si="403"/>
        <v>-2.38842</v>
      </c>
      <c r="BI100" s="152">
        <f t="shared" si="403"/>
        <v>-1.665821</v>
      </c>
      <c r="BJ100" s="152">
        <f t="shared" si="403"/>
        <v>-0.91560000000000019</v>
      </c>
      <c r="BK100" s="152">
        <f t="shared" si="403"/>
        <v>-2.0021819999999999</v>
      </c>
      <c r="BL100" s="152">
        <f t="shared" si="403"/>
        <v>-2.1533519999999999</v>
      </c>
      <c r="BM100" s="152">
        <f t="shared" si="403"/>
        <v>-1.5741879999999999</v>
      </c>
      <c r="BN100" s="152">
        <f t="shared" si="403"/>
        <v>-1.3808799999999999</v>
      </c>
      <c r="BO100" s="152">
        <f t="shared" si="403"/>
        <v>-1.5724320000000001</v>
      </c>
      <c r="BP100" s="152">
        <f t="shared" si="403"/>
        <v>-2.33934</v>
      </c>
      <c r="BQ100" s="152">
        <f t="shared" si="403"/>
        <v>-2.673108</v>
      </c>
      <c r="BR100" s="152">
        <f t="shared" si="403"/>
        <v>-3.430755</v>
      </c>
      <c r="BS100" s="152">
        <f t="shared" si="403"/>
        <v>-2.2312479999999999</v>
      </c>
      <c r="BT100" s="152">
        <f t="shared" si="403"/>
        <v>-2.6639999999999997</v>
      </c>
      <c r="BU100" s="152">
        <f t="shared" si="403"/>
        <v>-2.6639999999999997</v>
      </c>
      <c r="BV100" s="152">
        <f t="shared" si="403"/>
        <v>-2.6639999999999997</v>
      </c>
      <c r="BW100" s="152">
        <f t="shared" si="403"/>
        <v>-2.6639999999999997</v>
      </c>
      <c r="BX100" s="152">
        <f t="shared" si="403"/>
        <v>-2.7972000000000001</v>
      </c>
      <c r="BY100" s="152">
        <f t="shared" si="403"/>
        <v>-2.9370600000000002</v>
      </c>
      <c r="BZ100" s="152">
        <f t="shared" si="403"/>
        <v>-3.0839130000000003</v>
      </c>
      <c r="CA100" s="152">
        <f t="shared" si="403"/>
        <v>-3.2381086500000005</v>
      </c>
      <c r="CB100" s="152">
        <f t="shared" si="403"/>
        <v>-3.302870823000001</v>
      </c>
      <c r="CC100" s="152">
        <f t="shared" si="403"/>
        <v>-3.3689282394600011</v>
      </c>
      <c r="CD100" s="152">
        <f t="shared" si="403"/>
        <v>-3.4363068042492015</v>
      </c>
      <c r="CE100" s="152">
        <f t="shared" si="403"/>
        <v>-3.5050329403341856</v>
      </c>
      <c r="CF100" s="4"/>
      <c r="CG100" s="4"/>
      <c r="CH100" s="4"/>
      <c r="CI100" s="4"/>
      <c r="CJ100" s="4"/>
      <c r="CK100" s="4"/>
      <c r="CL100" s="4"/>
      <c r="CM100" s="4"/>
      <c r="CN100" s="240">
        <f t="shared" si="315"/>
        <v>93</v>
      </c>
      <c r="CO100"/>
      <c r="CP100"/>
      <c r="CQ100"/>
      <c r="CR100"/>
      <c r="CS100"/>
      <c r="CT100"/>
      <c r="CU100" s="51"/>
    </row>
    <row r="101" spans="1:99" hidden="1" outlineLevel="2">
      <c r="A101" s="144"/>
      <c r="B101" s="45" t="s">
        <v>289</v>
      </c>
      <c r="C101" s="23">
        <f t="shared" ref="C101:Q101" si="404">SUMIF($T$5:$CF$5,C$5,$T101:$CF101)</f>
        <v>58.18788</v>
      </c>
      <c r="D101" s="23">
        <f t="shared" si="404"/>
        <v>70.371200000000016</v>
      </c>
      <c r="E101" s="23">
        <f t="shared" si="404"/>
        <v>83.388669999999991</v>
      </c>
      <c r="F101" s="23">
        <f t="shared" si="404"/>
        <v>30.95214</v>
      </c>
      <c r="G101" s="23">
        <f t="shared" si="404"/>
        <v>156.38231088592755</v>
      </c>
      <c r="H101" s="23">
        <f t="shared" si="404"/>
        <v>316.56893668296095</v>
      </c>
      <c r="I101" s="23">
        <f t="shared" si="404"/>
        <v>321.14203575438466</v>
      </c>
      <c r="J101" s="23">
        <f t="shared" si="404"/>
        <v>232.58479749138752</v>
      </c>
      <c r="K101" s="23">
        <f t="shared" si="404"/>
        <v>320.47640141774065</v>
      </c>
      <c r="L101" s="23">
        <f t="shared" si="404"/>
        <v>35.559318877779461</v>
      </c>
      <c r="M101" s="23">
        <f t="shared" si="404"/>
        <v>-22.657837957069567</v>
      </c>
      <c r="N101" s="23">
        <f t="shared" si="404"/>
        <v>229.99067531207817</v>
      </c>
      <c r="O101" s="23">
        <f t="shared" si="404"/>
        <v>341.61347446521864</v>
      </c>
      <c r="P101" s="23">
        <f t="shared" si="404"/>
        <v>395.87161481238951</v>
      </c>
      <c r="Q101" s="23">
        <f t="shared" si="404"/>
        <v>453.72694299402957</v>
      </c>
      <c r="R101" s="6"/>
      <c r="S101" s="4"/>
      <c r="T101" s="175">
        <f t="shared" ref="T101:AO101" si="405">T120*T15</f>
        <v>5.4715600000000002</v>
      </c>
      <c r="U101" s="175">
        <f t="shared" si="405"/>
        <v>6.4120999999999997</v>
      </c>
      <c r="V101" s="175">
        <f t="shared" si="405"/>
        <v>9.2170699999999997</v>
      </c>
      <c r="W101" s="175">
        <f t="shared" si="405"/>
        <v>9.9970299999999988</v>
      </c>
      <c r="X101" s="175">
        <f t="shared" si="405"/>
        <v>13.770819999999999</v>
      </c>
      <c r="Y101" s="175">
        <f t="shared" si="405"/>
        <v>14.076719999999998</v>
      </c>
      <c r="Z101" s="175">
        <f t="shared" si="405"/>
        <v>15.249779999999999</v>
      </c>
      <c r="AA101" s="175">
        <f t="shared" si="405"/>
        <v>15.090560000000002</v>
      </c>
      <c r="AB101" s="175">
        <f t="shared" si="405"/>
        <v>18.524000000000001</v>
      </c>
      <c r="AC101" s="175">
        <f t="shared" si="405"/>
        <v>18.156000000000002</v>
      </c>
      <c r="AD101" s="175">
        <f t="shared" si="405"/>
        <v>14.5844</v>
      </c>
      <c r="AE101" s="175">
        <f t="shared" si="405"/>
        <v>19.106800000000003</v>
      </c>
      <c r="AF101" s="175">
        <f t="shared" si="405"/>
        <v>17.29954</v>
      </c>
      <c r="AG101" s="175">
        <f t="shared" si="405"/>
        <v>22.506949999999996</v>
      </c>
      <c r="AH101" s="175">
        <f t="shared" si="405"/>
        <v>23.992379999999997</v>
      </c>
      <c r="AI101" s="175">
        <f t="shared" si="405"/>
        <v>19.5898</v>
      </c>
      <c r="AJ101" s="175">
        <f t="shared" si="405"/>
        <v>10.545760000000001</v>
      </c>
      <c r="AK101" s="175">
        <f t="shared" si="405"/>
        <v>5.1813000000000002</v>
      </c>
      <c r="AL101" s="175">
        <f t="shared" si="405"/>
        <v>6.2772199999999998</v>
      </c>
      <c r="AM101" s="175">
        <f t="shared" si="405"/>
        <v>8.9478600000000004</v>
      </c>
      <c r="AN101" s="175">
        <f t="shared" si="405"/>
        <v>24.190079999999998</v>
      </c>
      <c r="AO101" s="175">
        <f t="shared" si="405"/>
        <v>35.007359999999998</v>
      </c>
      <c r="AP101" s="152">
        <f t="shared" ref="AP101:CE101" si="406">AP15-AP97</f>
        <v>43.417422885927571</v>
      </c>
      <c r="AQ101" s="152">
        <f t="shared" si="406"/>
        <v>53.76744799999998</v>
      </c>
      <c r="AR101" s="152">
        <f t="shared" si="406"/>
        <v>69.324399999999997</v>
      </c>
      <c r="AS101" s="152">
        <f t="shared" si="406"/>
        <v>70.185796682960898</v>
      </c>
      <c r="AT101" s="152">
        <f t="shared" si="406"/>
        <v>92.443700000000021</v>
      </c>
      <c r="AU101" s="152">
        <f t="shared" si="406"/>
        <v>84.615039999999993</v>
      </c>
      <c r="AV101" s="152">
        <f t="shared" si="406"/>
        <v>94.60314000000001</v>
      </c>
      <c r="AW101" s="152">
        <f t="shared" si="406"/>
        <v>80.547201317894988</v>
      </c>
      <c r="AX101" s="152">
        <f t="shared" si="406"/>
        <v>75.74727878468822</v>
      </c>
      <c r="AY101" s="152">
        <f t="shared" si="406"/>
        <v>70.244415651801432</v>
      </c>
      <c r="AZ101" s="152">
        <f t="shared" si="406"/>
        <v>49.413376413846315</v>
      </c>
      <c r="BA101" s="152">
        <f t="shared" si="406"/>
        <v>56.419616724488833</v>
      </c>
      <c r="BB101" s="152">
        <f t="shared" si="406"/>
        <v>68.525985501364573</v>
      </c>
      <c r="BC101" s="152">
        <f t="shared" si="406"/>
        <v>58.225818851687784</v>
      </c>
      <c r="BD101" s="152">
        <f t="shared" si="406"/>
        <v>59.683578019872783</v>
      </c>
      <c r="BE101" s="152">
        <f t="shared" si="406"/>
        <v>80.776128343307732</v>
      </c>
      <c r="BF101" s="152">
        <f t="shared" si="406"/>
        <v>84.433260994867808</v>
      </c>
      <c r="BG101" s="152">
        <f t="shared" si="406"/>
        <v>95.583434059692294</v>
      </c>
      <c r="BH101" s="152">
        <f t="shared" si="406"/>
        <v>28.932116944561265</v>
      </c>
      <c r="BI101" s="152">
        <f t="shared" si="406"/>
        <v>0.99905504989739491</v>
      </c>
      <c r="BJ101" s="152">
        <f t="shared" si="406"/>
        <v>3.4072334861394555</v>
      </c>
      <c r="BK101" s="152">
        <f t="shared" si="406"/>
        <v>2.2209133971813522</v>
      </c>
      <c r="BL101" s="152">
        <f t="shared" si="406"/>
        <v>-9.2417847020835246</v>
      </c>
      <c r="BM101" s="152">
        <f t="shared" si="406"/>
        <v>-10.897555512659181</v>
      </c>
      <c r="BN101" s="152">
        <f t="shared" si="406"/>
        <v>-5.8124739126179437</v>
      </c>
      <c r="BO101" s="152">
        <f t="shared" si="406"/>
        <v>3.2939761702910832</v>
      </c>
      <c r="BP101" s="152">
        <f t="shared" si="406"/>
        <v>25.989012847355326</v>
      </c>
      <c r="BQ101" s="152">
        <f t="shared" si="406"/>
        <v>64.244659254702157</v>
      </c>
      <c r="BR101" s="152">
        <f t="shared" si="406"/>
        <v>85.514155379811342</v>
      </c>
      <c r="BS101" s="152">
        <f t="shared" si="406"/>
        <v>54.242847830209357</v>
      </c>
      <c r="BT101" s="223">
        <f t="shared" si="406"/>
        <v>67.270694835194803</v>
      </c>
      <c r="BU101" s="152">
        <f t="shared" si="406"/>
        <v>87.595154314794428</v>
      </c>
      <c r="BV101" s="152">
        <f t="shared" si="406"/>
        <v>92.27030889421647</v>
      </c>
      <c r="BW101" s="152">
        <f t="shared" si="406"/>
        <v>94.477316421012958</v>
      </c>
      <c r="BX101" s="152">
        <f t="shared" si="406"/>
        <v>94.286345360148047</v>
      </c>
      <c r="BY101" s="152">
        <f t="shared" si="406"/>
        <v>94.194858849850974</v>
      </c>
      <c r="BZ101" s="152">
        <f t="shared" si="406"/>
        <v>98.873428497471068</v>
      </c>
      <c r="CA101" s="152">
        <f t="shared" si="406"/>
        <v>108.51698210491939</v>
      </c>
      <c r="CB101" s="152">
        <f t="shared" si="406"/>
        <v>113.40921682609019</v>
      </c>
      <c r="CC101" s="152">
        <f t="shared" si="406"/>
        <v>113.49929251575901</v>
      </c>
      <c r="CD101" s="152">
        <f t="shared" si="406"/>
        <v>113.4542546709246</v>
      </c>
      <c r="CE101" s="152">
        <f t="shared" si="406"/>
        <v>113.36417898125576</v>
      </c>
      <c r="CF101" s="4"/>
      <c r="CG101" s="4"/>
      <c r="CH101" s="4"/>
      <c r="CI101" s="4"/>
      <c r="CJ101" s="4"/>
      <c r="CK101" s="4"/>
      <c r="CL101" s="4"/>
      <c r="CM101" s="4"/>
      <c r="CN101" s="240">
        <f t="shared" si="315"/>
        <v>94</v>
      </c>
    </row>
    <row r="102" spans="1:99" hidden="1" outlineLevel="2">
      <c r="A102" s="144"/>
      <c r="B102" s="45" t="s">
        <v>318</v>
      </c>
      <c r="C102" s="23">
        <f t="shared" ref="C102:Q102" si="407">+C100+C101</f>
        <v>53.533639999999998</v>
      </c>
      <c r="D102" s="23">
        <f t="shared" si="407"/>
        <v>66.476000000000013</v>
      </c>
      <c r="E102" s="23">
        <f t="shared" si="407"/>
        <v>79.90612999999999</v>
      </c>
      <c r="F102" s="23">
        <f t="shared" si="407"/>
        <v>26.575679999999998</v>
      </c>
      <c r="G102" s="23">
        <f t="shared" si="407"/>
        <v>150.18887088592754</v>
      </c>
      <c r="H102" s="23">
        <f t="shared" si="407"/>
        <v>307.31243668296094</v>
      </c>
      <c r="I102" s="23">
        <f t="shared" si="407"/>
        <v>312.01331575438468</v>
      </c>
      <c r="J102" s="23">
        <f t="shared" si="407"/>
        <v>223.23479749138752</v>
      </c>
      <c r="K102" s="23">
        <f t="shared" si="407"/>
        <v>311.08679141774064</v>
      </c>
      <c r="L102" s="23">
        <f t="shared" si="407"/>
        <v>28.610581746205845</v>
      </c>
      <c r="M102" s="23">
        <f t="shared" si="407"/>
        <v>-29.386014654307054</v>
      </c>
      <c r="N102" s="23">
        <f t="shared" si="407"/>
        <v>219.33984421531264</v>
      </c>
      <c r="O102" s="23">
        <f t="shared" si="407"/>
        <v>330.95747446521864</v>
      </c>
      <c r="P102" s="23">
        <f t="shared" si="407"/>
        <v>383.81533316238949</v>
      </c>
      <c r="Q102" s="23">
        <f t="shared" si="407"/>
        <v>440.11380418698616</v>
      </c>
      <c r="R102" s="6"/>
      <c r="S102" s="4"/>
      <c r="T102" s="23">
        <f t="shared" ref="T102:AY102" si="408">+T100+T101</f>
        <v>4.5239900000000004</v>
      </c>
      <c r="U102" s="23">
        <f t="shared" si="408"/>
        <v>5.6336199999999996</v>
      </c>
      <c r="V102" s="23">
        <f t="shared" si="408"/>
        <v>8.2365700000000004</v>
      </c>
      <c r="W102" s="23">
        <f t="shared" si="408"/>
        <v>8.9218099999999989</v>
      </c>
      <c r="X102" s="23">
        <f t="shared" si="408"/>
        <v>12.651719999999999</v>
      </c>
      <c r="Y102" s="23">
        <f t="shared" si="408"/>
        <v>12.927599999999998</v>
      </c>
      <c r="Z102" s="23">
        <f t="shared" si="408"/>
        <v>14.0334</v>
      </c>
      <c r="AA102" s="23">
        <f t="shared" si="408"/>
        <v>13.920920000000002</v>
      </c>
      <c r="AB102" s="23">
        <f t="shared" si="408"/>
        <v>17.662800000000001</v>
      </c>
      <c r="AC102" s="23">
        <f t="shared" si="408"/>
        <v>17.112800000000004</v>
      </c>
      <c r="AD102" s="23">
        <f t="shared" si="408"/>
        <v>13.592000000000001</v>
      </c>
      <c r="AE102" s="23">
        <f t="shared" si="408"/>
        <v>18.108400000000003</v>
      </c>
      <c r="AF102" s="23">
        <f t="shared" si="408"/>
        <v>16.314720000000001</v>
      </c>
      <c r="AG102" s="23">
        <f t="shared" si="408"/>
        <v>21.614379999999997</v>
      </c>
      <c r="AH102" s="23">
        <f t="shared" si="408"/>
        <v>22.958769999999998</v>
      </c>
      <c r="AI102" s="23">
        <f t="shared" si="408"/>
        <v>19.018260000000001</v>
      </c>
      <c r="AJ102" s="23">
        <f t="shared" si="408"/>
        <v>9.4080400000000015</v>
      </c>
      <c r="AK102" s="23">
        <f t="shared" si="408"/>
        <v>4.1184399999999997</v>
      </c>
      <c r="AL102" s="23">
        <f t="shared" si="408"/>
        <v>5.1679999999999993</v>
      </c>
      <c r="AM102" s="23">
        <f t="shared" si="408"/>
        <v>7.8812000000000006</v>
      </c>
      <c r="AN102" s="23">
        <f t="shared" si="408"/>
        <v>22.571999999999999</v>
      </c>
      <c r="AO102" s="23">
        <f t="shared" si="408"/>
        <v>33.86544</v>
      </c>
      <c r="AP102" s="23">
        <f t="shared" si="408"/>
        <v>41.637102885927568</v>
      </c>
      <c r="AQ102" s="23">
        <f t="shared" si="408"/>
        <v>52.114327999999979</v>
      </c>
      <c r="AR102" s="23">
        <f t="shared" si="408"/>
        <v>66.879899999999992</v>
      </c>
      <c r="AS102" s="23">
        <f t="shared" si="408"/>
        <v>68.472296682960902</v>
      </c>
      <c r="AT102" s="23">
        <f t="shared" si="408"/>
        <v>90.619350000000026</v>
      </c>
      <c r="AU102" s="23">
        <f t="shared" si="408"/>
        <v>81.756689999999992</v>
      </c>
      <c r="AV102" s="23">
        <f t="shared" si="408"/>
        <v>91.749740000000017</v>
      </c>
      <c r="AW102" s="23">
        <f t="shared" si="408"/>
        <v>78.934941317894982</v>
      </c>
      <c r="AX102" s="23">
        <f t="shared" si="408"/>
        <v>73.223858784688218</v>
      </c>
      <c r="AY102" s="23">
        <f t="shared" si="408"/>
        <v>67.867865651801438</v>
      </c>
      <c r="AZ102" s="23">
        <f t="shared" ref="AZ102:CE102" si="409">+AZ100+AZ101</f>
        <v>46.954816413846316</v>
      </c>
      <c r="BA102" s="23">
        <f t="shared" si="409"/>
        <v>54.554081724488832</v>
      </c>
      <c r="BB102" s="23">
        <f t="shared" si="409"/>
        <v>65.800801501364575</v>
      </c>
      <c r="BC102" s="23">
        <f t="shared" si="409"/>
        <v>56.030058851687784</v>
      </c>
      <c r="BD102" s="23">
        <f t="shared" si="409"/>
        <v>56.994888019872782</v>
      </c>
      <c r="BE102" s="23">
        <f t="shared" si="409"/>
        <v>78.400803343307729</v>
      </c>
      <c r="BF102" s="23">
        <f t="shared" si="409"/>
        <v>82.629642994867808</v>
      </c>
      <c r="BG102" s="23">
        <f t="shared" si="409"/>
        <v>93.003614059692296</v>
      </c>
      <c r="BH102" s="23">
        <f t="shared" si="409"/>
        <v>26.543696944561265</v>
      </c>
      <c r="BI102" s="23">
        <f t="shared" si="409"/>
        <v>-0.66676595010260509</v>
      </c>
      <c r="BJ102" s="23">
        <f t="shared" si="409"/>
        <v>2.4916334861394551</v>
      </c>
      <c r="BK102" s="23">
        <f t="shared" si="409"/>
        <v>0.21873139718135226</v>
      </c>
      <c r="BL102" s="23">
        <f t="shared" si="409"/>
        <v>-11.395136702083525</v>
      </c>
      <c r="BM102" s="23">
        <f t="shared" si="409"/>
        <v>-12.471743512659181</v>
      </c>
      <c r="BN102" s="23">
        <f t="shared" si="409"/>
        <v>-7.193353912617944</v>
      </c>
      <c r="BO102" s="23">
        <f t="shared" si="409"/>
        <v>1.7215441702910832</v>
      </c>
      <c r="BP102" s="23">
        <f t="shared" si="409"/>
        <v>23.649672847355326</v>
      </c>
      <c r="BQ102" s="23">
        <f t="shared" si="409"/>
        <v>61.571551254702158</v>
      </c>
      <c r="BR102" s="23">
        <f t="shared" si="409"/>
        <v>82.083400379811337</v>
      </c>
      <c r="BS102" s="23">
        <f t="shared" si="409"/>
        <v>52.011599830209356</v>
      </c>
      <c r="BT102" s="224">
        <f t="shared" si="409"/>
        <v>64.606694835194801</v>
      </c>
      <c r="BU102" s="23">
        <f t="shared" si="409"/>
        <v>84.931154314794426</v>
      </c>
      <c r="BV102" s="23">
        <f t="shared" si="409"/>
        <v>89.606308894216468</v>
      </c>
      <c r="BW102" s="23">
        <f t="shared" si="409"/>
        <v>91.813316421012956</v>
      </c>
      <c r="BX102" s="23">
        <f t="shared" si="409"/>
        <v>91.489145360148044</v>
      </c>
      <c r="BY102" s="23">
        <f t="shared" si="409"/>
        <v>91.257798849850971</v>
      </c>
      <c r="BZ102" s="23">
        <f t="shared" si="409"/>
        <v>95.789515497471072</v>
      </c>
      <c r="CA102" s="23">
        <f t="shared" si="409"/>
        <v>105.27887345491939</v>
      </c>
      <c r="CB102" s="23">
        <f t="shared" si="409"/>
        <v>110.10634600309018</v>
      </c>
      <c r="CC102" s="23">
        <f t="shared" si="409"/>
        <v>110.13036427629901</v>
      </c>
      <c r="CD102" s="23">
        <f t="shared" si="409"/>
        <v>110.0179478666754</v>
      </c>
      <c r="CE102" s="23">
        <f t="shared" si="409"/>
        <v>109.85914604092157</v>
      </c>
      <c r="CF102" s="4"/>
      <c r="CG102" s="4"/>
      <c r="CH102" s="4"/>
      <c r="CI102" s="4"/>
      <c r="CJ102" s="4"/>
      <c r="CK102" s="4"/>
      <c r="CL102" s="4"/>
      <c r="CM102" s="4"/>
      <c r="CN102" s="240">
        <f t="shared" si="315"/>
        <v>95</v>
      </c>
    </row>
    <row r="103" spans="1:99" hidden="1" outlineLevel="2">
      <c r="A103" s="144"/>
      <c r="B103" s="41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57"/>
      <c r="N103" s="39"/>
      <c r="O103" s="39"/>
      <c r="P103" s="39"/>
      <c r="Q103" s="39"/>
      <c r="R103" s="39"/>
      <c r="S103" s="4"/>
      <c r="T103" s="4"/>
      <c r="U103" s="4"/>
      <c r="V103" s="4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57"/>
      <c r="BA103" s="57"/>
      <c r="BB103" s="57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4"/>
      <c r="BU103" s="57"/>
      <c r="BV103" s="57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240">
        <f t="shared" si="315"/>
        <v>96</v>
      </c>
    </row>
    <row r="104" spans="1:99" hidden="1" outlineLevel="2">
      <c r="A104" s="144"/>
      <c r="B104" s="45" t="s">
        <v>284</v>
      </c>
      <c r="C104" s="6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"/>
      <c r="T104" s="48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49"/>
      <c r="BB104" s="49"/>
      <c r="BC104" s="49"/>
      <c r="BD104" s="49"/>
      <c r="BE104" s="49"/>
      <c r="BF104" s="49"/>
      <c r="BG104" s="49"/>
      <c r="BH104" s="49"/>
      <c r="BI104" s="49"/>
      <c r="BJ104" s="49"/>
      <c r="BK104" s="49"/>
      <c r="BL104" s="49"/>
      <c r="BM104" s="49"/>
      <c r="BN104" s="49"/>
      <c r="BO104" s="49"/>
      <c r="BP104" s="49"/>
      <c r="BQ104" s="49"/>
      <c r="BR104" s="49"/>
      <c r="BS104" s="49"/>
      <c r="BT104" s="49"/>
      <c r="BU104" s="49"/>
      <c r="BV104" s="49"/>
      <c r="BW104" s="49"/>
      <c r="BX104" s="49"/>
      <c r="BY104" s="49"/>
      <c r="BZ104" s="49"/>
      <c r="CA104" s="49"/>
      <c r="CB104" s="49"/>
      <c r="CC104" s="49"/>
      <c r="CD104" s="49"/>
      <c r="CE104" s="49"/>
      <c r="CF104" s="4"/>
      <c r="CG104" s="4"/>
      <c r="CH104" s="4"/>
      <c r="CI104" s="4"/>
      <c r="CJ104" s="4"/>
      <c r="CK104" s="4"/>
      <c r="CL104" s="4"/>
      <c r="CM104" s="4"/>
      <c r="CN104" s="240">
        <f t="shared" si="315"/>
        <v>97</v>
      </c>
    </row>
    <row r="105" spans="1:99" hidden="1" outlineLevel="2">
      <c r="A105" s="144"/>
      <c r="B105" s="42" t="s">
        <v>285</v>
      </c>
      <c r="C105" s="56">
        <f t="shared" ref="C105:Q105" si="410">C148*1000/C$76</f>
        <v>3246.4918032786891</v>
      </c>
      <c r="D105" s="56">
        <f t="shared" si="410"/>
        <v>2350.6094069529649</v>
      </c>
      <c r="E105" s="56">
        <f t="shared" si="410"/>
        <v>2548.2220324508967</v>
      </c>
      <c r="F105" s="56">
        <f t="shared" si="410"/>
        <v>1710.96</v>
      </c>
      <c r="G105" s="56">
        <f t="shared" si="410"/>
        <v>2875.5187087307413</v>
      </c>
      <c r="H105" s="56">
        <f t="shared" si="410"/>
        <v>3182.7699665231949</v>
      </c>
      <c r="I105" s="56">
        <f t="shared" si="410"/>
        <v>2718.2045454545455</v>
      </c>
      <c r="J105" s="56">
        <f t="shared" si="410"/>
        <v>2488.8230215827339</v>
      </c>
      <c r="K105" s="56">
        <f t="shared" si="410"/>
        <v>2928.7535258562793</v>
      </c>
      <c r="L105" s="56">
        <f t="shared" si="410"/>
        <v>1733.0551305918573</v>
      </c>
      <c r="M105" s="56">
        <f t="shared" si="410"/>
        <v>1388.8204342273307</v>
      </c>
      <c r="N105" s="56">
        <f t="shared" si="410"/>
        <v>2064.9872897353075</v>
      </c>
      <c r="O105" s="56">
        <f t="shared" si="410"/>
        <v>2197.4947722424595</v>
      </c>
      <c r="P105" s="56">
        <f t="shared" si="410"/>
        <v>2361.9448516371085</v>
      </c>
      <c r="Q105" s="56">
        <f t="shared" si="410"/>
        <v>2271.4674028524973</v>
      </c>
      <c r="R105" s="56"/>
      <c r="S105" s="4"/>
      <c r="T105" s="56">
        <f t="shared" ref="T105:AY105" si="411">T148*1000*4/T$76</f>
        <v>2711.5826086956522</v>
      </c>
      <c r="U105" s="56">
        <f t="shared" si="411"/>
        <v>2989.8782608695651</v>
      </c>
      <c r="V105" s="56">
        <f t="shared" si="411"/>
        <v>3445.0782608695654</v>
      </c>
      <c r="W105" s="56">
        <f t="shared" si="411"/>
        <v>3484.3826086956524</v>
      </c>
      <c r="X105" s="56">
        <f t="shared" si="411"/>
        <v>3991.6869565217389</v>
      </c>
      <c r="Y105" s="56">
        <f t="shared" si="411"/>
        <v>2898.7151515151513</v>
      </c>
      <c r="Z105" s="56">
        <f t="shared" si="411"/>
        <v>3101.3090909090911</v>
      </c>
      <c r="AA105" s="56">
        <f t="shared" si="411"/>
        <v>3220.0727272727272</v>
      </c>
      <c r="AB105" s="56">
        <f t="shared" si="411"/>
        <v>3449.8666666666668</v>
      </c>
      <c r="AC105" s="56">
        <f t="shared" si="411"/>
        <v>2069.3579335793356</v>
      </c>
      <c r="AD105" s="56">
        <f t="shared" si="411"/>
        <v>1989.9483394833949</v>
      </c>
      <c r="AE105" s="56">
        <f t="shared" si="411"/>
        <v>2323.2324723247234</v>
      </c>
      <c r="AF105" s="56">
        <f t="shared" si="411"/>
        <v>2497.8745387453873</v>
      </c>
      <c r="AG105" s="56">
        <f t="shared" si="411"/>
        <v>2470.4533333333334</v>
      </c>
      <c r="AH105" s="56">
        <f t="shared" si="411"/>
        <v>2712.8266666666668</v>
      </c>
      <c r="AI105" s="56">
        <f t="shared" si="411"/>
        <v>2506.8666666666668</v>
      </c>
      <c r="AJ105" s="56">
        <f t="shared" si="411"/>
        <v>2014.3866666666668</v>
      </c>
      <c r="AK105" s="56">
        <f t="shared" si="411"/>
        <v>1466.4933333333333</v>
      </c>
      <c r="AL105" s="56">
        <f t="shared" si="411"/>
        <v>1551.0133333333333</v>
      </c>
      <c r="AM105" s="56">
        <f t="shared" si="411"/>
        <v>1811.9466666666667</v>
      </c>
      <c r="AN105" s="56">
        <f t="shared" si="411"/>
        <v>2552.04</v>
      </c>
      <c r="AO105" s="56">
        <f t="shared" si="411"/>
        <v>3007.1733333333332</v>
      </c>
      <c r="AP105" s="56">
        <f t="shared" si="411"/>
        <v>3063.4171428571431</v>
      </c>
      <c r="AQ105" s="56">
        <f t="shared" si="411"/>
        <v>2855.6222760290557</v>
      </c>
      <c r="AR105" s="56">
        <f t="shared" si="411"/>
        <v>3005.6086021505375</v>
      </c>
      <c r="AS105" s="56">
        <f t="shared" si="411"/>
        <v>3286.7555555555555</v>
      </c>
      <c r="AT105" s="56">
        <f t="shared" si="411"/>
        <v>3492.9190207156307</v>
      </c>
      <c r="AU105" s="56">
        <f t="shared" si="411"/>
        <v>2959.8</v>
      </c>
      <c r="AV105" s="56">
        <f t="shared" si="411"/>
        <v>2797.0969696969696</v>
      </c>
      <c r="AW105" s="56">
        <f t="shared" si="411"/>
        <v>2797.8363636363638</v>
      </c>
      <c r="AX105" s="56">
        <f t="shared" si="411"/>
        <v>2642.7636363636366</v>
      </c>
      <c r="AY105" s="56">
        <f t="shared" si="411"/>
        <v>2635.121212121212</v>
      </c>
      <c r="AZ105" s="56">
        <f t="shared" ref="AZ105:CE105" si="412">AZ148*1000*4/AZ$76</f>
        <v>2317.7117647058822</v>
      </c>
      <c r="BA105" s="56">
        <f t="shared" si="412"/>
        <v>2494.294117647059</v>
      </c>
      <c r="BB105" s="56">
        <f t="shared" si="412"/>
        <v>2581.2281690140844</v>
      </c>
      <c r="BC105" s="56">
        <f t="shared" si="412"/>
        <v>2555.0591549295773</v>
      </c>
      <c r="BD105" s="56">
        <f t="shared" si="412"/>
        <v>2630.8169014084506</v>
      </c>
      <c r="BE105" s="56">
        <f t="shared" si="412"/>
        <v>3024.4</v>
      </c>
      <c r="BF105" s="56">
        <f t="shared" si="412"/>
        <v>3076.8426666666664</v>
      </c>
      <c r="BG105" s="56">
        <f t="shared" si="412"/>
        <v>2968.3558897243101</v>
      </c>
      <c r="BH105" s="56">
        <f t="shared" si="412"/>
        <v>1983.5687586071219</v>
      </c>
      <c r="BI105" s="56">
        <f t="shared" si="412"/>
        <v>1711.2207228168143</v>
      </c>
      <c r="BJ105" s="56">
        <f t="shared" si="412"/>
        <v>1658.340718105424</v>
      </c>
      <c r="BK105" s="56">
        <f t="shared" si="412"/>
        <v>1536.3932411674348</v>
      </c>
      <c r="BL105" s="56">
        <f t="shared" si="412"/>
        <v>1264.663063063063</v>
      </c>
      <c r="BM105" s="56">
        <f t="shared" si="412"/>
        <v>1044.5134328358208</v>
      </c>
      <c r="BN105" s="56">
        <f t="shared" si="412"/>
        <v>1451.8311111111111</v>
      </c>
      <c r="BO105" s="56">
        <f t="shared" si="412"/>
        <v>1863.4133333333334</v>
      </c>
      <c r="BP105" s="56">
        <f t="shared" si="412"/>
        <v>2081.44</v>
      </c>
      <c r="BQ105" s="56">
        <f t="shared" si="412"/>
        <v>2222.4836036036036</v>
      </c>
      <c r="BR105" s="56">
        <f t="shared" si="412"/>
        <v>2247.342887964247</v>
      </c>
      <c r="BS105" s="56">
        <f t="shared" si="412"/>
        <v>1777.1762162162163</v>
      </c>
      <c r="BT105" s="56">
        <f t="shared" si="412"/>
        <v>1882.9474577993708</v>
      </c>
      <c r="BU105" s="56">
        <f t="shared" si="412"/>
        <v>2201.5893814178316</v>
      </c>
      <c r="BV105" s="56">
        <f t="shared" si="412"/>
        <v>2322.0092903998016</v>
      </c>
      <c r="BW105" s="56">
        <f t="shared" si="412"/>
        <v>2370.4271369188132</v>
      </c>
      <c r="BX105" s="56">
        <f t="shared" si="412"/>
        <v>2386.1773275056107</v>
      </c>
      <c r="BY105" s="56">
        <f t="shared" si="412"/>
        <v>2393.7226067053707</v>
      </c>
      <c r="BZ105" s="56">
        <f t="shared" si="412"/>
        <v>2369.3911732628267</v>
      </c>
      <c r="CA105" s="56">
        <f t="shared" si="412"/>
        <v>2305.9376657015732</v>
      </c>
      <c r="CB105" s="56">
        <f t="shared" si="412"/>
        <v>2273.0339365858681</v>
      </c>
      <c r="CC105" s="56">
        <f t="shared" si="412"/>
        <v>2266.7678016523855</v>
      </c>
      <c r="CD105" s="56">
        <f t="shared" si="412"/>
        <v>2269.900869119127</v>
      </c>
      <c r="CE105" s="56">
        <f t="shared" si="412"/>
        <v>2276.1670040526092</v>
      </c>
      <c r="CF105" s="4"/>
      <c r="CG105" s="4"/>
      <c r="CH105" s="4"/>
      <c r="CI105" s="4"/>
      <c r="CJ105" s="4"/>
      <c r="CK105" s="4"/>
      <c r="CL105" s="4"/>
      <c r="CM105" s="4"/>
      <c r="CN105" s="240">
        <f t="shared" si="315"/>
        <v>98</v>
      </c>
    </row>
    <row r="106" spans="1:99" hidden="1" outlineLevel="2">
      <c r="A106" s="144"/>
      <c r="B106" s="42" t="s">
        <v>286</v>
      </c>
      <c r="C106" s="56">
        <f t="shared" ref="C106:Q106" si="413">C150*1000/C$76</f>
        <v>3246.4918032786891</v>
      </c>
      <c r="D106" s="56">
        <f t="shared" si="413"/>
        <v>1050.1895408804853</v>
      </c>
      <c r="E106" s="56">
        <f t="shared" si="413"/>
        <v>1007.8623647510343</v>
      </c>
      <c r="F106" s="56">
        <f t="shared" si="413"/>
        <v>520.13280364483535</v>
      </c>
      <c r="G106" s="56">
        <f t="shared" si="413"/>
        <v>1234.7871751444188</v>
      </c>
      <c r="H106" s="56">
        <f t="shared" si="413"/>
        <v>1388.1075343645218</v>
      </c>
      <c r="I106" s="56">
        <f t="shared" si="413"/>
        <v>1136.0965333959434</v>
      </c>
      <c r="J106" s="56">
        <f t="shared" si="413"/>
        <v>881.82862329421005</v>
      </c>
      <c r="K106" s="56">
        <f t="shared" si="413"/>
        <v>1017.419276814295</v>
      </c>
      <c r="L106" s="56">
        <f t="shared" si="413"/>
        <v>349.32300357248522</v>
      </c>
      <c r="M106" s="56">
        <f t="shared" si="413"/>
        <v>228.29976866388728</v>
      </c>
      <c r="N106" s="56">
        <f t="shared" si="413"/>
        <v>716.15559649637578</v>
      </c>
      <c r="O106" s="56">
        <f t="shared" si="413"/>
        <v>809.8849398697954</v>
      </c>
      <c r="P106" s="56">
        <f t="shared" si="413"/>
        <v>876.84987655317764</v>
      </c>
      <c r="Q106" s="56">
        <f t="shared" si="413"/>
        <v>830.48670333521068</v>
      </c>
      <c r="R106" s="56"/>
      <c r="S106" s="4"/>
      <c r="T106" s="56">
        <f t="shared" ref="T106:AY106" si="414">T150*1000*4/T$76</f>
        <v>0</v>
      </c>
      <c r="U106" s="56">
        <f t="shared" si="414"/>
        <v>0</v>
      </c>
      <c r="V106" s="56">
        <f t="shared" si="414"/>
        <v>0</v>
      </c>
      <c r="W106" s="56">
        <f t="shared" si="414"/>
        <v>0</v>
      </c>
      <c r="X106" s="56">
        <f t="shared" si="414"/>
        <v>0</v>
      </c>
      <c r="Y106" s="56">
        <f t="shared" si="414"/>
        <v>0</v>
      </c>
      <c r="Z106" s="56">
        <f t="shared" si="414"/>
        <v>0</v>
      </c>
      <c r="AA106" s="56">
        <f t="shared" si="414"/>
        <v>0</v>
      </c>
      <c r="AB106" s="56">
        <f t="shared" si="414"/>
        <v>1595.3152414082062</v>
      </c>
      <c r="AC106" s="56">
        <f t="shared" si="414"/>
        <v>963.0448054334081</v>
      </c>
      <c r="AD106" s="56">
        <f t="shared" si="414"/>
        <v>828.12096985400171</v>
      </c>
      <c r="AE106" s="56">
        <f t="shared" si="414"/>
        <v>1027.4997455567261</v>
      </c>
      <c r="AF106" s="56">
        <f t="shared" si="414"/>
        <v>948.1021525068694</v>
      </c>
      <c r="AG106" s="56">
        <f t="shared" si="414"/>
        <v>1038.195486804944</v>
      </c>
      <c r="AH106" s="56">
        <f t="shared" si="414"/>
        <v>1088.0642933123117</v>
      </c>
      <c r="AI106" s="56">
        <f t="shared" si="414"/>
        <v>951.31070586307578</v>
      </c>
      <c r="AJ106" s="56">
        <f t="shared" si="414"/>
        <v>649.16168445178175</v>
      </c>
      <c r="AK106" s="56">
        <f t="shared" si="414"/>
        <v>417.21387099991074</v>
      </c>
      <c r="AL106" s="56">
        <f t="shared" si="414"/>
        <v>451.89780078037302</v>
      </c>
      <c r="AM106" s="56">
        <f t="shared" si="414"/>
        <v>562.25785834727537</v>
      </c>
      <c r="AN106" s="56">
        <f t="shared" si="414"/>
        <v>964.1074970911684</v>
      </c>
      <c r="AO106" s="56">
        <f t="shared" si="414"/>
        <v>1294.1006077860729</v>
      </c>
      <c r="AP106" s="56">
        <f t="shared" si="414"/>
        <v>1344.1805602344712</v>
      </c>
      <c r="AQ106" s="56">
        <f t="shared" si="414"/>
        <v>1295.6157195559451</v>
      </c>
      <c r="AR106" s="56">
        <f t="shared" si="414"/>
        <v>1386.8052267008354</v>
      </c>
      <c r="AS106" s="56">
        <f t="shared" si="414"/>
        <v>1421.3655220975643</v>
      </c>
      <c r="AT106" s="56">
        <f t="shared" si="414"/>
        <v>1496.4572351794634</v>
      </c>
      <c r="AU106" s="56">
        <f t="shared" si="414"/>
        <v>1265.7894977028968</v>
      </c>
      <c r="AV106" s="56">
        <f t="shared" si="414"/>
        <v>1242.9188235002562</v>
      </c>
      <c r="AW106" s="56">
        <f t="shared" si="414"/>
        <v>1177.5542900177886</v>
      </c>
      <c r="AX106" s="56">
        <f t="shared" si="414"/>
        <v>1092.2544047214478</v>
      </c>
      <c r="AY106" s="56">
        <f t="shared" si="414"/>
        <v>1031.658615344279</v>
      </c>
      <c r="AZ106" s="56">
        <f t="shared" ref="AZ106:CE106" si="415">AZ150*1000*4/AZ$76</f>
        <v>825.33437725904423</v>
      </c>
      <c r="BA106" s="56">
        <f t="shared" si="415"/>
        <v>891.61705317471365</v>
      </c>
      <c r="BB106" s="56">
        <f t="shared" si="415"/>
        <v>960.67627296230683</v>
      </c>
      <c r="BC106" s="56">
        <f t="shared" si="415"/>
        <v>847.71330459114154</v>
      </c>
      <c r="BD106" s="56">
        <f t="shared" si="415"/>
        <v>862.1199776575786</v>
      </c>
      <c r="BE106" s="56">
        <f t="shared" si="415"/>
        <v>1048.2149216496716</v>
      </c>
      <c r="BF106" s="56">
        <f t="shared" si="415"/>
        <v>1046.8458657524068</v>
      </c>
      <c r="BG106" s="56">
        <f t="shared" si="415"/>
        <v>1100.15072595742</v>
      </c>
      <c r="BH106" s="56">
        <f t="shared" si="415"/>
        <v>519.25738390037122</v>
      </c>
      <c r="BI106" s="56">
        <f t="shared" si="415"/>
        <v>287.15218189581981</v>
      </c>
      <c r="BJ106" s="56">
        <f t="shared" si="415"/>
        <v>295.75711028066792</v>
      </c>
      <c r="BK106" s="56">
        <f t="shared" si="415"/>
        <v>265.71922110465681</v>
      </c>
      <c r="BL106" s="56">
        <f t="shared" si="415"/>
        <v>178.62330016205695</v>
      </c>
      <c r="BM106" s="56">
        <f t="shared" si="415"/>
        <v>109.92530153328525</v>
      </c>
      <c r="BN106" s="56">
        <f t="shared" si="415"/>
        <v>246.46583606872179</v>
      </c>
      <c r="BO106" s="56">
        <f t="shared" si="415"/>
        <v>403.58616737381578</v>
      </c>
      <c r="BP106" s="56">
        <f t="shared" si="415"/>
        <v>586.18341171265035</v>
      </c>
      <c r="BQ106" s="56">
        <f t="shared" si="415"/>
        <v>821.12653241411226</v>
      </c>
      <c r="BR106" s="56">
        <f t="shared" si="415"/>
        <v>852.47570020891726</v>
      </c>
      <c r="BS106" s="56">
        <f t="shared" si="415"/>
        <v>595.17015943073727</v>
      </c>
      <c r="BT106" s="56">
        <f t="shared" si="415"/>
        <v>667.03230835511329</v>
      </c>
      <c r="BU106" s="56">
        <f t="shared" si="415"/>
        <v>817.87944417789015</v>
      </c>
      <c r="BV106" s="56">
        <f t="shared" si="415"/>
        <v>862.0659796786797</v>
      </c>
      <c r="BW106" s="56">
        <f t="shared" si="415"/>
        <v>886.81819510264165</v>
      </c>
      <c r="BX106" s="56">
        <f t="shared" si="415"/>
        <v>891.48261570058003</v>
      </c>
      <c r="BY106" s="56">
        <f t="shared" si="415"/>
        <v>893.57574270234841</v>
      </c>
      <c r="BZ106" s="56">
        <f t="shared" si="415"/>
        <v>878.98977189873176</v>
      </c>
      <c r="CA106" s="56">
        <f t="shared" si="415"/>
        <v>847.35680785325508</v>
      </c>
      <c r="CB106" s="56">
        <f t="shared" si="415"/>
        <v>831.60517631695677</v>
      </c>
      <c r="CC106" s="56">
        <f t="shared" si="415"/>
        <v>829.10698933574793</v>
      </c>
      <c r="CD106" s="56">
        <f t="shared" si="415"/>
        <v>829.79135040276901</v>
      </c>
      <c r="CE106" s="56">
        <f t="shared" si="415"/>
        <v>831.44329728536968</v>
      </c>
      <c r="CF106" s="4"/>
      <c r="CG106" s="4"/>
      <c r="CH106" s="4"/>
      <c r="CI106" s="4"/>
      <c r="CJ106" s="4"/>
      <c r="CK106" s="4"/>
      <c r="CL106" s="4"/>
      <c r="CM106" s="4"/>
      <c r="CN106" s="240">
        <f t="shared" si="315"/>
        <v>99</v>
      </c>
    </row>
    <row r="107" spans="1:99" hidden="1" outlineLevel="2">
      <c r="A107" s="144"/>
      <c r="B107" s="42" t="s">
        <v>287</v>
      </c>
      <c r="C107" s="56">
        <f t="shared" ref="C107:Q107" si="416">C152*1000/C$76</f>
        <v>0</v>
      </c>
      <c r="D107" s="56">
        <f t="shared" si="416"/>
        <v>719.54192229038858</v>
      </c>
      <c r="E107" s="56">
        <f t="shared" si="416"/>
        <v>694.74637062339878</v>
      </c>
      <c r="F107" s="56">
        <f t="shared" si="416"/>
        <v>271.51</v>
      </c>
      <c r="G107" s="56">
        <f t="shared" si="416"/>
        <v>949.7402787967718</v>
      </c>
      <c r="H107" s="56">
        <f t="shared" si="416"/>
        <v>1154.492587278814</v>
      </c>
      <c r="I107" s="56">
        <f t="shared" si="416"/>
        <v>915.14090909090896</v>
      </c>
      <c r="J107" s="56">
        <f t="shared" si="416"/>
        <v>657.94532374100709</v>
      </c>
      <c r="K107" s="56">
        <f t="shared" si="416"/>
        <v>790.6514439220955</v>
      </c>
      <c r="L107" s="56">
        <f t="shared" si="416"/>
        <v>154.52933478332997</v>
      </c>
      <c r="M107" s="56">
        <f t="shared" si="416"/>
        <v>-25.794125159642412</v>
      </c>
      <c r="N107" s="56">
        <f t="shared" si="416"/>
        <v>532.88543982549606</v>
      </c>
      <c r="O107" s="56">
        <f t="shared" si="416"/>
        <v>654.46544573870983</v>
      </c>
      <c r="P107" s="56">
        <f t="shared" si="416"/>
        <v>732.20290400750343</v>
      </c>
      <c r="Q107" s="56">
        <f t="shared" si="416"/>
        <v>704.15489488427431</v>
      </c>
      <c r="R107" s="56"/>
      <c r="S107" s="4"/>
      <c r="T107" s="56">
        <f t="shared" ref="T107:AY107" si="417">T152*1000*4/T$76</f>
        <v>0</v>
      </c>
      <c r="U107" s="56">
        <f t="shared" si="417"/>
        <v>0</v>
      </c>
      <c r="V107" s="56">
        <f t="shared" si="417"/>
        <v>0</v>
      </c>
      <c r="W107" s="56">
        <f t="shared" si="417"/>
        <v>0</v>
      </c>
      <c r="X107" s="56">
        <f t="shared" si="417"/>
        <v>0</v>
      </c>
      <c r="Y107" s="56">
        <f t="shared" si="417"/>
        <v>0</v>
      </c>
      <c r="Z107" s="56">
        <f t="shared" si="417"/>
        <v>0</v>
      </c>
      <c r="AA107" s="56">
        <f t="shared" si="417"/>
        <v>0</v>
      </c>
      <c r="AB107" s="56">
        <f t="shared" si="417"/>
        <v>1122.6666666666667</v>
      </c>
      <c r="AC107" s="56">
        <f t="shared" si="417"/>
        <v>669.96309963099634</v>
      </c>
      <c r="AD107" s="56">
        <f t="shared" si="417"/>
        <v>538.16974169741695</v>
      </c>
      <c r="AE107" s="56">
        <f t="shared" si="417"/>
        <v>705.04797047970476</v>
      </c>
      <c r="AF107" s="56">
        <f t="shared" si="417"/>
        <v>622.78966789667902</v>
      </c>
      <c r="AG107" s="56">
        <f t="shared" si="417"/>
        <v>731.93333333333328</v>
      </c>
      <c r="AH107" s="56">
        <f t="shared" si="417"/>
        <v>780.24</v>
      </c>
      <c r="AI107" s="56">
        <f t="shared" si="417"/>
        <v>637.06666666666672</v>
      </c>
      <c r="AJ107" s="56">
        <f t="shared" si="417"/>
        <v>370.0266666666667</v>
      </c>
      <c r="AK107" s="56">
        <f t="shared" si="417"/>
        <v>181.8</v>
      </c>
      <c r="AL107" s="56">
        <f t="shared" si="417"/>
        <v>220.25333333333333</v>
      </c>
      <c r="AM107" s="56">
        <f t="shared" si="417"/>
        <v>313.95999999999998</v>
      </c>
      <c r="AN107" s="56">
        <f t="shared" si="417"/>
        <v>671.94666666666672</v>
      </c>
      <c r="AO107" s="56">
        <f t="shared" si="417"/>
        <v>972.42666666666662</v>
      </c>
      <c r="AP107" s="56">
        <f t="shared" si="417"/>
        <v>1046.8</v>
      </c>
      <c r="AQ107" s="56">
        <f t="shared" si="417"/>
        <v>1052.7941888619855</v>
      </c>
      <c r="AR107" s="56">
        <f t="shared" si="417"/>
        <v>1141.7892473118279</v>
      </c>
      <c r="AS107" s="56">
        <f t="shared" si="417"/>
        <v>1190.7959595959596</v>
      </c>
      <c r="AT107" s="56">
        <f t="shared" si="417"/>
        <v>1261.2128060263656</v>
      </c>
      <c r="AU107" s="56">
        <f t="shared" si="417"/>
        <v>1039.94</v>
      </c>
      <c r="AV107" s="56">
        <f t="shared" si="417"/>
        <v>1022.1151515151515</v>
      </c>
      <c r="AW107" s="56">
        <f t="shared" si="417"/>
        <v>953.98181818181797</v>
      </c>
      <c r="AX107" s="56">
        <f t="shared" si="417"/>
        <v>878.43030303030298</v>
      </c>
      <c r="AY107" s="56">
        <f t="shared" si="417"/>
        <v>806.03636363636349</v>
      </c>
      <c r="AZ107" s="56">
        <f t="shared" ref="AZ107:CE107" si="418">AZ152*1000*4/AZ$76</f>
        <v>607.5411764705882</v>
      </c>
      <c r="BA107" s="56">
        <f t="shared" si="418"/>
        <v>651.67058823529408</v>
      </c>
      <c r="BB107" s="56">
        <f t="shared" si="418"/>
        <v>739.94366197183103</v>
      </c>
      <c r="BC107" s="56">
        <f t="shared" si="418"/>
        <v>630.23098591549308</v>
      </c>
      <c r="BD107" s="56">
        <f t="shared" si="418"/>
        <v>632.33802816901414</v>
      </c>
      <c r="BE107" s="56">
        <f t="shared" si="418"/>
        <v>823.4</v>
      </c>
      <c r="BF107" s="56">
        <f t="shared" si="418"/>
        <v>811.00800000000015</v>
      </c>
      <c r="BG107" s="56">
        <f t="shared" si="418"/>
        <v>882.82706766917306</v>
      </c>
      <c r="BH107" s="56">
        <f t="shared" si="418"/>
        <v>333.33595645616111</v>
      </c>
      <c r="BI107" s="56">
        <f t="shared" si="418"/>
        <v>75.216379711493758</v>
      </c>
      <c r="BJ107" s="56">
        <f t="shared" si="418"/>
        <v>100.75477463712747</v>
      </c>
      <c r="BK107" s="56">
        <f t="shared" si="418"/>
        <v>77.720430107526965</v>
      </c>
      <c r="BL107" s="56">
        <f t="shared" si="418"/>
        <v>-69.520720720720718</v>
      </c>
      <c r="BM107" s="56">
        <f t="shared" si="418"/>
        <v>-128.00796019900494</v>
      </c>
      <c r="BN107" s="56">
        <f t="shared" si="418"/>
        <v>-26.435555555555716</v>
      </c>
      <c r="BO107" s="56">
        <f t="shared" si="418"/>
        <v>142.91555555555564</v>
      </c>
      <c r="BP107" s="56">
        <f t="shared" si="418"/>
        <v>354.17454545454547</v>
      </c>
      <c r="BQ107" s="56">
        <f t="shared" si="418"/>
        <v>620.67891891891895</v>
      </c>
      <c r="BR107" s="56">
        <f t="shared" si="418"/>
        <v>688.79149329634754</v>
      </c>
      <c r="BS107" s="56">
        <f t="shared" si="418"/>
        <v>436.58810810810814</v>
      </c>
      <c r="BT107" s="56">
        <f t="shared" si="418"/>
        <v>508.3958136058302</v>
      </c>
      <c r="BU107" s="56">
        <f t="shared" si="418"/>
        <v>660.47681442534952</v>
      </c>
      <c r="BV107" s="56">
        <f t="shared" si="418"/>
        <v>708.21283357193954</v>
      </c>
      <c r="BW107" s="56">
        <f t="shared" si="418"/>
        <v>734.8324124448319</v>
      </c>
      <c r="BX107" s="56">
        <f t="shared" si="418"/>
        <v>739.7149715267393</v>
      </c>
      <c r="BY107" s="56">
        <f t="shared" si="418"/>
        <v>742.05400807866488</v>
      </c>
      <c r="BZ107" s="56">
        <f t="shared" si="418"/>
        <v>734.51126371147632</v>
      </c>
      <c r="CA107" s="56">
        <f t="shared" si="418"/>
        <v>714.84067636748773</v>
      </c>
      <c r="CB107" s="56">
        <f t="shared" si="418"/>
        <v>704.64052034161909</v>
      </c>
      <c r="CC107" s="56">
        <f t="shared" si="418"/>
        <v>702.69801851223963</v>
      </c>
      <c r="CD107" s="56">
        <f t="shared" si="418"/>
        <v>703.6692694269293</v>
      </c>
      <c r="CE107" s="56">
        <f t="shared" si="418"/>
        <v>705.61177125630888</v>
      </c>
      <c r="CF107" s="4"/>
      <c r="CG107" s="4"/>
      <c r="CH107" s="4"/>
      <c r="CI107" s="4"/>
      <c r="CJ107" s="4"/>
      <c r="CK107" s="4"/>
      <c r="CL107" s="4"/>
      <c r="CM107" s="4"/>
      <c r="CN107" s="240">
        <f t="shared" si="315"/>
        <v>100</v>
      </c>
    </row>
    <row r="108" spans="1:99" hidden="1" outlineLevel="2">
      <c r="A108" s="144"/>
      <c r="B108" s="42" t="s">
        <v>288</v>
      </c>
      <c r="C108" s="56">
        <f t="shared" ref="C108:Q108" si="419">C154*1000/C$76</f>
        <v>1004.1049180327867</v>
      </c>
      <c r="D108" s="56">
        <f t="shared" si="419"/>
        <v>476.4498977505113</v>
      </c>
      <c r="E108" s="56">
        <f t="shared" si="419"/>
        <v>377.96413321947051</v>
      </c>
      <c r="F108" s="56">
        <f t="shared" si="419"/>
        <v>-67.756666666666661</v>
      </c>
      <c r="G108" s="56">
        <f t="shared" si="419"/>
        <v>637.25311812179018</v>
      </c>
      <c r="H108" s="56">
        <f t="shared" si="419"/>
        <v>863.24055475848877</v>
      </c>
      <c r="I108" s="56">
        <f t="shared" si="419"/>
        <v>636.7136363636364</v>
      </c>
      <c r="J108" s="56">
        <f t="shared" si="419"/>
        <v>397.47625899280575</v>
      </c>
      <c r="K108" s="56">
        <f t="shared" si="419"/>
        <v>523.84687709872401</v>
      </c>
      <c r="L108" s="56">
        <f t="shared" si="419"/>
        <v>-196.09164470167551</v>
      </c>
      <c r="M108" s="56">
        <f t="shared" si="419"/>
        <v>-416.45772669220952</v>
      </c>
      <c r="N108" s="56">
        <f t="shared" si="419"/>
        <v>337.56583749318344</v>
      </c>
      <c r="O108" s="56">
        <f t="shared" si="419"/>
        <v>492.91464360926807</v>
      </c>
      <c r="P108" s="56">
        <f t="shared" si="419"/>
        <v>563.10507654724938</v>
      </c>
      <c r="Q108" s="56">
        <f t="shared" si="419"/>
        <v>514.41164526770126</v>
      </c>
      <c r="R108" s="56"/>
      <c r="S108" s="4"/>
      <c r="T108" s="56">
        <f t="shared" ref="T108:AY108" si="420">T154*1000*4/T$76</f>
        <v>514.36521739130433</v>
      </c>
      <c r="U108" s="56">
        <f t="shared" si="420"/>
        <v>602.78260869565213</v>
      </c>
      <c r="V108" s="56">
        <f t="shared" si="420"/>
        <v>866.46956521739128</v>
      </c>
      <c r="W108" s="56">
        <f t="shared" si="420"/>
        <v>939.7913043478261</v>
      </c>
      <c r="X108" s="56">
        <f t="shared" si="420"/>
        <v>1260.4869565217391</v>
      </c>
      <c r="Y108" s="56">
        <f t="shared" si="420"/>
        <v>898.0363636363636</v>
      </c>
      <c r="Z108" s="56">
        <f t="shared" si="420"/>
        <v>972.87272727272727</v>
      </c>
      <c r="AA108" s="56">
        <f t="shared" si="420"/>
        <v>962.71515151515155</v>
      </c>
      <c r="AB108" s="56">
        <f t="shared" si="420"/>
        <v>855.41818181818178</v>
      </c>
      <c r="AC108" s="56">
        <f t="shared" si="420"/>
        <v>463.85239852398524</v>
      </c>
      <c r="AD108" s="56">
        <f t="shared" si="420"/>
        <v>303.4391143911439</v>
      </c>
      <c r="AE108" s="56">
        <f t="shared" si="420"/>
        <v>431.32103321033208</v>
      </c>
      <c r="AF108" s="56">
        <f t="shared" si="420"/>
        <v>305.34317343173433</v>
      </c>
      <c r="AG108" s="56">
        <f t="shared" si="420"/>
        <v>426.10666666666668</v>
      </c>
      <c r="AH108" s="56">
        <f t="shared" si="420"/>
        <v>461.92</v>
      </c>
      <c r="AI108" s="56">
        <f t="shared" si="420"/>
        <v>311.46666666666664</v>
      </c>
      <c r="AJ108" s="56">
        <f t="shared" si="420"/>
        <v>81.986666666666665</v>
      </c>
      <c r="AK108" s="56">
        <f t="shared" si="420"/>
        <v>-202.82666666666665</v>
      </c>
      <c r="AL108" s="56">
        <f t="shared" si="420"/>
        <v>-127.2</v>
      </c>
      <c r="AM108" s="56">
        <f t="shared" si="420"/>
        <v>-22.986666666666668</v>
      </c>
      <c r="AN108" s="56">
        <f t="shared" si="420"/>
        <v>332.77333333333331</v>
      </c>
      <c r="AO108" s="56">
        <f t="shared" si="420"/>
        <v>617.90666666666664</v>
      </c>
      <c r="AP108" s="56">
        <f t="shared" si="420"/>
        <v>745.42857142857133</v>
      </c>
      <c r="AQ108" s="56">
        <f t="shared" si="420"/>
        <v>780.80387409200966</v>
      </c>
      <c r="AR108" s="56">
        <f t="shared" si="420"/>
        <v>859.49247311827958</v>
      </c>
      <c r="AS108" s="56">
        <f t="shared" si="420"/>
        <v>884.92121212121208</v>
      </c>
      <c r="AT108" s="56">
        <f t="shared" si="420"/>
        <v>963.29190207156307</v>
      </c>
      <c r="AU108" s="56">
        <f t="shared" si="420"/>
        <v>759.71333333333337</v>
      </c>
      <c r="AV108" s="56">
        <f t="shared" si="420"/>
        <v>748.67272727272723</v>
      </c>
      <c r="AW108" s="56">
        <f t="shared" si="420"/>
        <v>681.0363636363636</v>
      </c>
      <c r="AX108" s="56">
        <f t="shared" si="420"/>
        <v>598.23030303030305</v>
      </c>
      <c r="AY108" s="56">
        <f t="shared" si="420"/>
        <v>518.91515151515148</v>
      </c>
      <c r="AZ108" s="56">
        <f t="shared" ref="AZ108:CE108" si="421">AZ154*1000*4/AZ$76</f>
        <v>344.12352941176471</v>
      </c>
      <c r="BA108" s="56">
        <f t="shared" si="421"/>
        <v>388.95882352941175</v>
      </c>
      <c r="BB108" s="56">
        <f t="shared" si="421"/>
        <v>485.53802816901407</v>
      </c>
      <c r="BC108" s="56">
        <f t="shared" si="421"/>
        <v>368.67042253521123</v>
      </c>
      <c r="BD108" s="56">
        <f t="shared" si="421"/>
        <v>365.61126760563383</v>
      </c>
      <c r="BE108" s="56">
        <f t="shared" si="421"/>
        <v>553.98333333333335</v>
      </c>
      <c r="BF108" s="56">
        <f t="shared" si="421"/>
        <v>548.52800000000002</v>
      </c>
      <c r="BG108" s="56">
        <f t="shared" si="421"/>
        <v>614.2456140350879</v>
      </c>
      <c r="BH108" s="56">
        <f t="shared" si="421"/>
        <v>30.753492032264415</v>
      </c>
      <c r="BI108" s="56">
        <f t="shared" si="421"/>
        <v>-305.58709477276255</v>
      </c>
      <c r="BJ108" s="56">
        <f t="shared" si="421"/>
        <v>-270.37433155080214</v>
      </c>
      <c r="BK108" s="56">
        <f t="shared" si="421"/>
        <v>-278.65437788018431</v>
      </c>
      <c r="BL108" s="56">
        <f t="shared" si="421"/>
        <v>-455.95675675675676</v>
      </c>
      <c r="BM108" s="56">
        <f t="shared" si="421"/>
        <v>-522.90547263681594</v>
      </c>
      <c r="BN108" s="56">
        <f t="shared" si="421"/>
        <v>-432.24</v>
      </c>
      <c r="BO108" s="56">
        <f t="shared" si="421"/>
        <v>-233.09333333333333</v>
      </c>
      <c r="BP108" s="56">
        <f t="shared" si="421"/>
        <v>66.945454545454552</v>
      </c>
      <c r="BQ108" s="56">
        <f t="shared" si="421"/>
        <v>408.79855855855857</v>
      </c>
      <c r="BR108" s="56">
        <f t="shared" si="421"/>
        <v>514.58899676375404</v>
      </c>
      <c r="BS108" s="56">
        <f t="shared" si="421"/>
        <v>289.82054054054055</v>
      </c>
      <c r="BT108" s="56">
        <f t="shared" si="421"/>
        <v>361.8705140858911</v>
      </c>
      <c r="BU108" s="56">
        <f t="shared" si="421"/>
        <v>500.34228151765279</v>
      </c>
      <c r="BV108" s="56">
        <f t="shared" si="421"/>
        <v>537.9359833001289</v>
      </c>
      <c r="BW108" s="56">
        <f t="shared" si="421"/>
        <v>566.21101926781034</v>
      </c>
      <c r="BX108" s="56">
        <f t="shared" si="421"/>
        <v>570.62886549852533</v>
      </c>
      <c r="BY108" s="56">
        <f t="shared" si="421"/>
        <v>572.5429277904891</v>
      </c>
      <c r="BZ108" s="56">
        <f t="shared" si="421"/>
        <v>572.14404926193231</v>
      </c>
      <c r="CA108" s="56">
        <f t="shared" si="421"/>
        <v>539.91290614536388</v>
      </c>
      <c r="CB108" s="56">
        <f t="shared" si="421"/>
        <v>512.73552208797662</v>
      </c>
      <c r="CC108" s="56">
        <f t="shared" si="421"/>
        <v>512.31933834648521</v>
      </c>
      <c r="CD108" s="56">
        <f t="shared" si="421"/>
        <v>514.68638862028956</v>
      </c>
      <c r="CE108" s="56">
        <f t="shared" si="421"/>
        <v>517.90533201605365</v>
      </c>
      <c r="CF108" s="4"/>
      <c r="CG108" s="4"/>
      <c r="CH108" s="4"/>
      <c r="CI108" s="4"/>
      <c r="CJ108" s="4"/>
      <c r="CK108" s="4"/>
      <c r="CL108" s="4"/>
      <c r="CM108" s="4"/>
      <c r="CN108" s="240">
        <f t="shared" si="315"/>
        <v>101</v>
      </c>
    </row>
    <row r="109" spans="1:99" hidden="1" outlineLevel="2">
      <c r="A109" s="144"/>
      <c r="B109" s="42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4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4"/>
      <c r="CG109" s="4"/>
      <c r="CH109" s="4"/>
      <c r="CI109" s="4"/>
      <c r="CJ109" s="4"/>
      <c r="CK109" s="4"/>
      <c r="CL109" s="4"/>
      <c r="CM109" s="4"/>
      <c r="CN109" s="240">
        <f t="shared" si="315"/>
        <v>102</v>
      </c>
    </row>
    <row r="110" spans="1:99" s="157" customFormat="1" hidden="1" outlineLevel="2">
      <c r="A110" s="144"/>
      <c r="B110" s="45" t="s">
        <v>280</v>
      </c>
      <c r="C110" s="184">
        <f t="shared" ref="C110:Q112" si="422">AVERAGEIF($T$5:$CF$5,C$5,$T110:$CF110)</f>
        <v>25</v>
      </c>
      <c r="D110" s="184">
        <f t="shared" si="422"/>
        <v>25</v>
      </c>
      <c r="E110" s="184">
        <f t="shared" si="422"/>
        <v>30</v>
      </c>
      <c r="F110" s="184">
        <f t="shared" si="422"/>
        <v>30</v>
      </c>
      <c r="G110" s="184">
        <f t="shared" si="422"/>
        <v>30</v>
      </c>
      <c r="H110" s="184">
        <f t="shared" si="422"/>
        <v>30.703560371517028</v>
      </c>
      <c r="I110" s="184">
        <f t="shared" si="422"/>
        <v>29.704968944099381</v>
      </c>
      <c r="J110" s="184">
        <f t="shared" si="422"/>
        <v>32.781926406926409</v>
      </c>
      <c r="K110" s="184">
        <f t="shared" si="422"/>
        <v>32.358942687747039</v>
      </c>
      <c r="L110" s="184">
        <f t="shared" si="422"/>
        <v>45</v>
      </c>
      <c r="M110" s="184">
        <f t="shared" si="422"/>
        <v>45</v>
      </c>
      <c r="N110" s="184">
        <f t="shared" si="422"/>
        <v>44</v>
      </c>
      <c r="O110" s="184">
        <f t="shared" si="422"/>
        <v>44</v>
      </c>
      <c r="P110" s="184">
        <f t="shared" si="422"/>
        <v>44</v>
      </c>
      <c r="Q110" s="184">
        <f t="shared" si="422"/>
        <v>44</v>
      </c>
      <c r="R110" s="184"/>
      <c r="S110" s="184"/>
      <c r="T110" s="185">
        <v>25</v>
      </c>
      <c r="U110" s="185">
        <v>25</v>
      </c>
      <c r="V110" s="185">
        <v>25</v>
      </c>
      <c r="W110" s="185">
        <v>25</v>
      </c>
      <c r="X110" s="185">
        <v>25</v>
      </c>
      <c r="Y110" s="185">
        <v>25</v>
      </c>
      <c r="Z110" s="185">
        <v>25</v>
      </c>
      <c r="AA110" s="185">
        <v>25</v>
      </c>
      <c r="AB110" s="185">
        <v>25</v>
      </c>
      <c r="AC110" s="185">
        <v>25</v>
      </c>
      <c r="AD110" s="185">
        <v>25</v>
      </c>
      <c r="AE110" s="185">
        <v>25</v>
      </c>
      <c r="AF110" s="185">
        <v>30</v>
      </c>
      <c r="AG110" s="185">
        <v>30</v>
      </c>
      <c r="AH110" s="185">
        <v>30</v>
      </c>
      <c r="AI110" s="185">
        <v>30</v>
      </c>
      <c r="AJ110" s="185">
        <v>30</v>
      </c>
      <c r="AK110" s="185">
        <v>30</v>
      </c>
      <c r="AL110" s="185">
        <v>30</v>
      </c>
      <c r="AM110" s="185">
        <v>30</v>
      </c>
      <c r="AN110" s="185">
        <v>30</v>
      </c>
      <c r="AO110" s="185">
        <v>30</v>
      </c>
      <c r="AP110" s="185">
        <v>30</v>
      </c>
      <c r="AQ110" s="185">
        <v>30</v>
      </c>
      <c r="AR110" s="185">
        <v>30</v>
      </c>
      <c r="AS110" s="185">
        <v>30</v>
      </c>
      <c r="AT110" s="184">
        <f t="shared" ref="AT110:BG110" si="423">+AT76/AT112</f>
        <v>31.235294117647058</v>
      </c>
      <c r="AU110" s="184">
        <f t="shared" si="423"/>
        <v>31.578947368421051</v>
      </c>
      <c r="AV110" s="184">
        <f t="shared" si="423"/>
        <v>31.428571428571427</v>
      </c>
      <c r="AW110" s="184">
        <f t="shared" si="423"/>
        <v>28.695652173913043</v>
      </c>
      <c r="AX110" s="184">
        <f t="shared" si="423"/>
        <v>30</v>
      </c>
      <c r="AY110" s="184">
        <f t="shared" si="423"/>
        <v>28.695652173913043</v>
      </c>
      <c r="AZ110" s="184">
        <f t="shared" si="423"/>
        <v>30.90909090909091</v>
      </c>
      <c r="BA110" s="184">
        <f t="shared" si="423"/>
        <v>30.90909090909091</v>
      </c>
      <c r="BB110" s="184">
        <f t="shared" si="423"/>
        <v>33.80952380952381</v>
      </c>
      <c r="BC110" s="184">
        <f t="shared" si="423"/>
        <v>35.5</v>
      </c>
      <c r="BD110" s="184">
        <f t="shared" si="423"/>
        <v>32.272727272727273</v>
      </c>
      <c r="BE110" s="184">
        <f t="shared" si="423"/>
        <v>31.304347826086957</v>
      </c>
      <c r="BF110" s="184">
        <f t="shared" si="423"/>
        <v>32.608695652173914</v>
      </c>
      <c r="BG110" s="184">
        <f t="shared" si="423"/>
        <v>33.25</v>
      </c>
      <c r="BH110" s="185">
        <v>45</v>
      </c>
      <c r="BI110" s="185">
        <v>45</v>
      </c>
      <c r="BJ110" s="185">
        <v>45</v>
      </c>
      <c r="BK110" s="185">
        <v>45</v>
      </c>
      <c r="BL110" s="185">
        <v>45</v>
      </c>
      <c r="BM110" s="185">
        <v>45</v>
      </c>
      <c r="BN110" s="185">
        <v>45</v>
      </c>
      <c r="BO110" s="185">
        <v>45</v>
      </c>
      <c r="BP110" s="185">
        <v>44</v>
      </c>
      <c r="BQ110" s="185">
        <v>44</v>
      </c>
      <c r="BR110" s="185">
        <v>44</v>
      </c>
      <c r="BS110" s="185">
        <v>44</v>
      </c>
      <c r="BT110" s="185">
        <v>44</v>
      </c>
      <c r="BU110" s="185">
        <v>44</v>
      </c>
      <c r="BV110" s="185">
        <v>44</v>
      </c>
      <c r="BW110" s="185">
        <v>44</v>
      </c>
      <c r="BX110" s="185">
        <v>44</v>
      </c>
      <c r="BY110" s="185">
        <v>44</v>
      </c>
      <c r="BZ110" s="185">
        <v>44</v>
      </c>
      <c r="CA110" s="185">
        <v>44</v>
      </c>
      <c r="CB110" s="185">
        <v>44</v>
      </c>
      <c r="CC110" s="185">
        <v>44</v>
      </c>
      <c r="CD110" s="185">
        <v>44</v>
      </c>
      <c r="CE110" s="185">
        <v>44</v>
      </c>
      <c r="CF110" s="4"/>
      <c r="CG110" s="4"/>
      <c r="CH110" s="4"/>
      <c r="CI110" s="4"/>
      <c r="CJ110" s="4"/>
      <c r="CK110" s="4"/>
      <c r="CL110" s="4"/>
      <c r="CM110" s="4"/>
      <c r="CN110" s="240">
        <f t="shared" si="315"/>
        <v>103</v>
      </c>
      <c r="CO110"/>
      <c r="CP110"/>
      <c r="CQ110"/>
      <c r="CR110"/>
      <c r="CS110"/>
      <c r="CT110"/>
      <c r="CU110" s="156"/>
    </row>
    <row r="111" spans="1:99" hidden="1" outlineLevel="2">
      <c r="A111" s="144"/>
      <c r="B111" s="45" t="s">
        <v>281</v>
      </c>
      <c r="C111" s="95">
        <f t="shared" si="422"/>
        <v>6.5</v>
      </c>
      <c r="D111" s="95">
        <f t="shared" si="422"/>
        <v>10</v>
      </c>
      <c r="E111" s="95">
        <f t="shared" si="422"/>
        <v>9.75</v>
      </c>
      <c r="F111" s="95">
        <f t="shared" si="422"/>
        <v>10</v>
      </c>
      <c r="G111" s="95">
        <f t="shared" si="422"/>
        <v>11.5</v>
      </c>
      <c r="H111" s="95">
        <f t="shared" si="422"/>
        <v>17.25</v>
      </c>
      <c r="I111" s="95">
        <f t="shared" si="422"/>
        <v>22.25</v>
      </c>
      <c r="J111" s="95">
        <f t="shared" si="422"/>
        <v>21.25</v>
      </c>
      <c r="K111" s="95">
        <f t="shared" si="422"/>
        <v>23</v>
      </c>
      <c r="L111" s="95">
        <f t="shared" si="422"/>
        <v>20.5</v>
      </c>
      <c r="M111" s="95">
        <f t="shared" si="422"/>
        <v>21</v>
      </c>
      <c r="N111" s="95">
        <f t="shared" si="422"/>
        <v>21</v>
      </c>
      <c r="O111" s="95">
        <f t="shared" si="422"/>
        <v>21.75</v>
      </c>
      <c r="P111" s="95">
        <f t="shared" si="422"/>
        <v>23.5</v>
      </c>
      <c r="Q111" s="95">
        <f t="shared" si="422"/>
        <v>26</v>
      </c>
      <c r="R111" s="57"/>
      <c r="S111" s="4"/>
      <c r="T111" s="50">
        <f t="shared" ref="T111:AY111" si="424">ROUND(T75/T110,0)</f>
        <v>5</v>
      </c>
      <c r="U111" s="50">
        <f t="shared" si="424"/>
        <v>5</v>
      </c>
      <c r="V111" s="50">
        <f t="shared" si="424"/>
        <v>5</v>
      </c>
      <c r="W111" s="50">
        <f t="shared" si="424"/>
        <v>5</v>
      </c>
      <c r="X111" s="50">
        <f t="shared" si="424"/>
        <v>5</v>
      </c>
      <c r="Y111" s="50">
        <f t="shared" si="424"/>
        <v>7</v>
      </c>
      <c r="Z111" s="50">
        <f t="shared" si="424"/>
        <v>7</v>
      </c>
      <c r="AA111" s="50">
        <f t="shared" si="424"/>
        <v>7</v>
      </c>
      <c r="AB111" s="50">
        <f t="shared" si="424"/>
        <v>7</v>
      </c>
      <c r="AC111" s="50">
        <f t="shared" si="424"/>
        <v>11</v>
      </c>
      <c r="AD111" s="50">
        <f t="shared" si="424"/>
        <v>11</v>
      </c>
      <c r="AE111" s="50">
        <f t="shared" si="424"/>
        <v>11</v>
      </c>
      <c r="AF111" s="50">
        <f t="shared" si="424"/>
        <v>9</v>
      </c>
      <c r="AG111" s="50">
        <f t="shared" si="424"/>
        <v>10</v>
      </c>
      <c r="AH111" s="50">
        <f t="shared" si="424"/>
        <v>10</v>
      </c>
      <c r="AI111" s="50">
        <f t="shared" si="424"/>
        <v>10</v>
      </c>
      <c r="AJ111" s="50">
        <f t="shared" si="424"/>
        <v>10</v>
      </c>
      <c r="AK111" s="50">
        <f t="shared" si="424"/>
        <v>10</v>
      </c>
      <c r="AL111" s="50">
        <f t="shared" si="424"/>
        <v>10</v>
      </c>
      <c r="AM111" s="50">
        <f t="shared" si="424"/>
        <v>10</v>
      </c>
      <c r="AN111" s="50">
        <f t="shared" si="424"/>
        <v>10</v>
      </c>
      <c r="AO111" s="50">
        <f t="shared" si="424"/>
        <v>10</v>
      </c>
      <c r="AP111" s="50">
        <f t="shared" si="424"/>
        <v>12</v>
      </c>
      <c r="AQ111" s="50">
        <f t="shared" si="424"/>
        <v>14</v>
      </c>
      <c r="AR111" s="50">
        <f t="shared" si="424"/>
        <v>16</v>
      </c>
      <c r="AS111" s="50">
        <f t="shared" si="424"/>
        <v>17</v>
      </c>
      <c r="AT111" s="50">
        <f t="shared" si="424"/>
        <v>17</v>
      </c>
      <c r="AU111" s="50">
        <f t="shared" si="424"/>
        <v>19</v>
      </c>
      <c r="AV111" s="50">
        <f t="shared" si="424"/>
        <v>21</v>
      </c>
      <c r="AW111" s="50">
        <f t="shared" si="424"/>
        <v>23</v>
      </c>
      <c r="AX111" s="50">
        <f t="shared" si="424"/>
        <v>22</v>
      </c>
      <c r="AY111" s="50">
        <f t="shared" si="424"/>
        <v>23</v>
      </c>
      <c r="AZ111" s="50">
        <f t="shared" ref="AZ111:BT111" si="425">ROUND(AZ75/AZ110,0)</f>
        <v>22</v>
      </c>
      <c r="BA111" s="50">
        <f t="shared" si="425"/>
        <v>22</v>
      </c>
      <c r="BB111" s="50">
        <f t="shared" si="425"/>
        <v>21</v>
      </c>
      <c r="BC111" s="50">
        <f t="shared" si="425"/>
        <v>20</v>
      </c>
      <c r="BD111" s="50">
        <f t="shared" si="425"/>
        <v>22</v>
      </c>
      <c r="BE111" s="50">
        <f t="shared" si="425"/>
        <v>23</v>
      </c>
      <c r="BF111" s="50">
        <f t="shared" si="425"/>
        <v>23</v>
      </c>
      <c r="BG111" s="50">
        <f t="shared" si="425"/>
        <v>24</v>
      </c>
      <c r="BH111" s="50">
        <f t="shared" si="425"/>
        <v>20</v>
      </c>
      <c r="BI111" s="50">
        <f t="shared" si="425"/>
        <v>20</v>
      </c>
      <c r="BJ111" s="50">
        <f t="shared" si="425"/>
        <v>21</v>
      </c>
      <c r="BK111" s="50">
        <f t="shared" si="425"/>
        <v>21</v>
      </c>
      <c r="BL111" s="50">
        <f t="shared" si="425"/>
        <v>21</v>
      </c>
      <c r="BM111" s="50">
        <f t="shared" si="425"/>
        <v>21</v>
      </c>
      <c r="BN111" s="50">
        <f t="shared" si="425"/>
        <v>21</v>
      </c>
      <c r="BO111" s="50">
        <f t="shared" si="425"/>
        <v>21</v>
      </c>
      <c r="BP111" s="50">
        <f t="shared" si="425"/>
        <v>21</v>
      </c>
      <c r="BQ111" s="50">
        <f t="shared" si="425"/>
        <v>21</v>
      </c>
      <c r="BR111" s="50">
        <f t="shared" si="425"/>
        <v>21</v>
      </c>
      <c r="BS111" s="50">
        <f t="shared" si="425"/>
        <v>21</v>
      </c>
      <c r="BT111" s="50">
        <f t="shared" si="425"/>
        <v>21</v>
      </c>
      <c r="BU111" s="50">
        <f t="shared" ref="BU111:CE111" si="426">ROUND(BU75/BU110,0)</f>
        <v>22</v>
      </c>
      <c r="BV111" s="50">
        <f t="shared" si="426"/>
        <v>22</v>
      </c>
      <c r="BW111" s="50">
        <f t="shared" si="426"/>
        <v>22</v>
      </c>
      <c r="BX111" s="50">
        <f t="shared" si="426"/>
        <v>22</v>
      </c>
      <c r="BY111" s="50">
        <f t="shared" si="426"/>
        <v>22</v>
      </c>
      <c r="BZ111" s="50">
        <f t="shared" si="426"/>
        <v>24</v>
      </c>
      <c r="CA111" s="50">
        <f t="shared" si="426"/>
        <v>26</v>
      </c>
      <c r="CB111" s="50">
        <f t="shared" si="426"/>
        <v>26</v>
      </c>
      <c r="CC111" s="50">
        <f t="shared" si="426"/>
        <v>26</v>
      </c>
      <c r="CD111" s="50">
        <f t="shared" si="426"/>
        <v>26</v>
      </c>
      <c r="CE111" s="50">
        <f t="shared" si="426"/>
        <v>26</v>
      </c>
      <c r="CF111" s="4"/>
      <c r="CG111" s="4"/>
      <c r="CH111" s="4"/>
      <c r="CI111" s="4"/>
      <c r="CJ111" s="4"/>
      <c r="CK111" s="4"/>
      <c r="CL111" s="4"/>
      <c r="CM111" s="4"/>
      <c r="CN111" s="240">
        <f t="shared" si="315"/>
        <v>104</v>
      </c>
    </row>
    <row r="112" spans="1:99" hidden="1" outlineLevel="2">
      <c r="A112" s="144"/>
      <c r="B112" s="45" t="s">
        <v>278</v>
      </c>
      <c r="C112" s="95">
        <f t="shared" si="422"/>
        <v>6.5</v>
      </c>
      <c r="D112" s="95">
        <f t="shared" si="422"/>
        <v>10</v>
      </c>
      <c r="E112" s="95">
        <f t="shared" si="422"/>
        <v>9.75</v>
      </c>
      <c r="F112" s="95">
        <f t="shared" si="422"/>
        <v>10</v>
      </c>
      <c r="G112" s="95">
        <f t="shared" si="422"/>
        <v>11.5</v>
      </c>
      <c r="H112" s="95">
        <f t="shared" si="422"/>
        <v>17.25</v>
      </c>
      <c r="I112" s="95">
        <f t="shared" si="422"/>
        <v>22.25</v>
      </c>
      <c r="J112" s="95">
        <f t="shared" si="422"/>
        <v>21.25</v>
      </c>
      <c r="K112" s="95">
        <f t="shared" si="422"/>
        <v>23</v>
      </c>
      <c r="L112" s="95">
        <f t="shared" si="422"/>
        <v>15</v>
      </c>
      <c r="M112" s="95">
        <f t="shared" si="422"/>
        <v>10.75</v>
      </c>
      <c r="N112" s="95">
        <f t="shared" si="422"/>
        <v>17</v>
      </c>
      <c r="O112" s="95">
        <f t="shared" si="422"/>
        <v>21.5</v>
      </c>
      <c r="P112" s="95">
        <f t="shared" si="422"/>
        <v>23</v>
      </c>
      <c r="Q112" s="95">
        <f t="shared" si="422"/>
        <v>26</v>
      </c>
      <c r="R112" s="57"/>
      <c r="S112" s="4"/>
      <c r="T112" s="154">
        <f t="shared" ref="T112:AS112" si="427">ROUND(T76/T110,0)</f>
        <v>5</v>
      </c>
      <c r="U112" s="154">
        <f t="shared" si="427"/>
        <v>5</v>
      </c>
      <c r="V112" s="154">
        <f t="shared" si="427"/>
        <v>5</v>
      </c>
      <c r="W112" s="154">
        <f t="shared" si="427"/>
        <v>5</v>
      </c>
      <c r="X112" s="154">
        <f t="shared" si="427"/>
        <v>5</v>
      </c>
      <c r="Y112" s="154">
        <f t="shared" si="427"/>
        <v>7</v>
      </c>
      <c r="Z112" s="154">
        <f t="shared" si="427"/>
        <v>7</v>
      </c>
      <c r="AA112" s="154">
        <f t="shared" si="427"/>
        <v>7</v>
      </c>
      <c r="AB112" s="154">
        <f t="shared" si="427"/>
        <v>7</v>
      </c>
      <c r="AC112" s="154">
        <f t="shared" si="427"/>
        <v>11</v>
      </c>
      <c r="AD112" s="154">
        <f t="shared" si="427"/>
        <v>11</v>
      </c>
      <c r="AE112" s="154">
        <f t="shared" si="427"/>
        <v>11</v>
      </c>
      <c r="AF112" s="154">
        <f t="shared" si="427"/>
        <v>9</v>
      </c>
      <c r="AG112" s="154">
        <f t="shared" si="427"/>
        <v>10</v>
      </c>
      <c r="AH112" s="154">
        <f t="shared" si="427"/>
        <v>10</v>
      </c>
      <c r="AI112" s="154">
        <f t="shared" si="427"/>
        <v>10</v>
      </c>
      <c r="AJ112" s="154">
        <f t="shared" si="427"/>
        <v>10</v>
      </c>
      <c r="AK112" s="154">
        <f t="shared" si="427"/>
        <v>10</v>
      </c>
      <c r="AL112" s="154">
        <f t="shared" si="427"/>
        <v>10</v>
      </c>
      <c r="AM112" s="154">
        <f t="shared" si="427"/>
        <v>10</v>
      </c>
      <c r="AN112" s="154">
        <f t="shared" si="427"/>
        <v>10</v>
      </c>
      <c r="AO112" s="154">
        <f t="shared" si="427"/>
        <v>10</v>
      </c>
      <c r="AP112" s="154">
        <f t="shared" si="427"/>
        <v>12</v>
      </c>
      <c r="AQ112" s="154">
        <f t="shared" si="427"/>
        <v>14</v>
      </c>
      <c r="AR112" s="154">
        <f t="shared" si="427"/>
        <v>16</v>
      </c>
      <c r="AS112" s="154">
        <f t="shared" si="427"/>
        <v>17</v>
      </c>
      <c r="AT112" s="153">
        <v>17</v>
      </c>
      <c r="AU112" s="153">
        <v>19</v>
      </c>
      <c r="AV112" s="153">
        <v>21</v>
      </c>
      <c r="AW112" s="153">
        <v>23</v>
      </c>
      <c r="AX112" s="153">
        <v>22</v>
      </c>
      <c r="AY112" s="153">
        <v>23</v>
      </c>
      <c r="AZ112" s="153">
        <v>22</v>
      </c>
      <c r="BA112" s="153">
        <v>22</v>
      </c>
      <c r="BB112" s="153">
        <v>21</v>
      </c>
      <c r="BC112" s="153">
        <v>20</v>
      </c>
      <c r="BD112" s="153">
        <v>22</v>
      </c>
      <c r="BE112" s="153">
        <v>23</v>
      </c>
      <c r="BF112" s="153">
        <v>23</v>
      </c>
      <c r="BG112" s="153">
        <v>24</v>
      </c>
      <c r="BH112" s="154">
        <f t="shared" ref="BH112:BT112" si="428">ROUND(BH76/BH110,0)</f>
        <v>17</v>
      </c>
      <c r="BI112" s="154">
        <f t="shared" si="428"/>
        <v>14</v>
      </c>
      <c r="BJ112" s="154">
        <f t="shared" si="428"/>
        <v>15</v>
      </c>
      <c r="BK112" s="154">
        <f t="shared" si="428"/>
        <v>14</v>
      </c>
      <c r="BL112" s="154">
        <f t="shared" si="428"/>
        <v>12</v>
      </c>
      <c r="BM112" s="154">
        <f t="shared" si="428"/>
        <v>11</v>
      </c>
      <c r="BN112" s="154">
        <f t="shared" si="428"/>
        <v>10</v>
      </c>
      <c r="BO112" s="154">
        <f t="shared" si="428"/>
        <v>10</v>
      </c>
      <c r="BP112" s="154">
        <f t="shared" si="428"/>
        <v>13</v>
      </c>
      <c r="BQ112" s="154">
        <f t="shared" si="428"/>
        <v>16</v>
      </c>
      <c r="BR112" s="154">
        <f t="shared" si="428"/>
        <v>18</v>
      </c>
      <c r="BS112" s="154">
        <f t="shared" si="428"/>
        <v>21</v>
      </c>
      <c r="BT112" s="154">
        <f t="shared" si="428"/>
        <v>21</v>
      </c>
      <c r="BU112" s="154">
        <f t="shared" ref="BU112:CE112" si="429">ROUND(BU76/BU110,0)</f>
        <v>21</v>
      </c>
      <c r="BV112" s="154">
        <f t="shared" si="429"/>
        <v>22</v>
      </c>
      <c r="BW112" s="154">
        <f t="shared" si="429"/>
        <v>22</v>
      </c>
      <c r="BX112" s="154">
        <f t="shared" si="429"/>
        <v>22</v>
      </c>
      <c r="BY112" s="154">
        <f t="shared" si="429"/>
        <v>22</v>
      </c>
      <c r="BZ112" s="154">
        <f t="shared" si="429"/>
        <v>23</v>
      </c>
      <c r="CA112" s="154">
        <f t="shared" si="429"/>
        <v>25</v>
      </c>
      <c r="CB112" s="154">
        <f t="shared" si="429"/>
        <v>26</v>
      </c>
      <c r="CC112" s="154">
        <f t="shared" si="429"/>
        <v>26</v>
      </c>
      <c r="CD112" s="154">
        <f t="shared" si="429"/>
        <v>26</v>
      </c>
      <c r="CE112" s="154">
        <f t="shared" si="429"/>
        <v>26</v>
      </c>
      <c r="CF112" s="4"/>
      <c r="CG112" s="4"/>
      <c r="CH112" s="4"/>
      <c r="CI112" s="4"/>
      <c r="CJ112" s="4"/>
      <c r="CK112" s="4"/>
      <c r="CL112" s="4"/>
      <c r="CM112" s="4"/>
      <c r="CN112" s="240">
        <f t="shared" si="315"/>
        <v>105</v>
      </c>
    </row>
    <row r="113" spans="1:92" hidden="1" outlineLevel="2">
      <c r="A113" s="144"/>
      <c r="B113" s="4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57"/>
      <c r="S113" s="4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  <c r="AZ113" s="95"/>
      <c r="BA113" s="95"/>
      <c r="BB113" s="95"/>
      <c r="BC113" s="95"/>
      <c r="BD113" s="95"/>
      <c r="BE113" s="95"/>
      <c r="BF113" s="95"/>
      <c r="BG113" s="9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  <c r="BR113" s="155"/>
      <c r="BS113" s="155"/>
      <c r="BT113" s="95"/>
      <c r="BU113" s="95"/>
      <c r="BV113" s="95"/>
      <c r="BW113" s="95"/>
      <c r="BX113" s="95"/>
      <c r="BY113" s="95"/>
      <c r="BZ113" s="95"/>
      <c r="CA113" s="95"/>
      <c r="CB113" s="95"/>
      <c r="CC113" s="95"/>
      <c r="CD113" s="95"/>
      <c r="CE113" s="95"/>
      <c r="CF113" s="4"/>
      <c r="CG113" s="4"/>
      <c r="CH113" s="4"/>
      <c r="CI113" s="4"/>
      <c r="CJ113" s="4"/>
      <c r="CK113" s="4"/>
      <c r="CL113" s="4"/>
      <c r="CM113" s="4"/>
      <c r="CN113" s="240">
        <f t="shared" si="315"/>
        <v>106</v>
      </c>
    </row>
    <row r="114" spans="1:92" hidden="1" outlineLevel="2">
      <c r="A114" s="144"/>
      <c r="B114" s="45" t="s">
        <v>279</v>
      </c>
      <c r="C114" s="50">
        <f t="shared" ref="C114:Q114" si="430">+C73/C112</f>
        <v>34.879907692307697</v>
      </c>
      <c r="D114" s="50">
        <f t="shared" si="430"/>
        <v>27.60904</v>
      </c>
      <c r="E114" s="50">
        <f t="shared" si="430"/>
        <v>36.878007179487177</v>
      </c>
      <c r="F114" s="50">
        <f t="shared" si="430"/>
        <v>22.338794</v>
      </c>
      <c r="G114" s="50">
        <f t="shared" si="430"/>
        <v>45.762114782608698</v>
      </c>
      <c r="H114" s="50">
        <f t="shared" si="430"/>
        <v>55.893005797101459</v>
      </c>
      <c r="I114" s="50">
        <f t="shared" si="430"/>
        <v>47.417364044943824</v>
      </c>
      <c r="J114" s="50">
        <f t="shared" si="430"/>
        <v>47.769395905882348</v>
      </c>
      <c r="K114" s="50">
        <f t="shared" si="430"/>
        <v>58.377729260869557</v>
      </c>
      <c r="L114" s="50">
        <f t="shared" si="430"/>
        <v>45.09533973333334</v>
      </c>
      <c r="M114" s="50">
        <f t="shared" si="430"/>
        <v>31.322805767441864</v>
      </c>
      <c r="N114" s="50">
        <f t="shared" si="430"/>
        <v>58.437858176470584</v>
      </c>
      <c r="O114" s="50">
        <f t="shared" si="430"/>
        <v>59.661559674496729</v>
      </c>
      <c r="P114" s="50">
        <f t="shared" si="430"/>
        <v>62.287477781759989</v>
      </c>
      <c r="Q114" s="50">
        <f t="shared" si="430"/>
        <v>62.429093873723069</v>
      </c>
      <c r="R114" s="57"/>
      <c r="S114" s="4"/>
      <c r="T114" s="50">
        <f t="shared" ref="T114:AY114" si="431">+T73*4/T112</f>
        <v>27.329680000000003</v>
      </c>
      <c r="U114" s="50">
        <f t="shared" si="431"/>
        <v>30.175720000000002</v>
      </c>
      <c r="V114" s="50">
        <f t="shared" si="431"/>
        <v>34.277096</v>
      </c>
      <c r="W114" s="50">
        <f t="shared" si="431"/>
        <v>34.799832000000002</v>
      </c>
      <c r="X114" s="50">
        <f t="shared" si="431"/>
        <v>41.351296000000005</v>
      </c>
      <c r="Y114" s="50">
        <f t="shared" si="431"/>
        <v>31.71697142857143</v>
      </c>
      <c r="Z114" s="50">
        <f t="shared" si="431"/>
        <v>33.485382857142859</v>
      </c>
      <c r="AA114" s="50">
        <f t="shared" si="431"/>
        <v>34.814948571428566</v>
      </c>
      <c r="AB114" s="50">
        <f t="shared" si="431"/>
        <v>39.095999999999997</v>
      </c>
      <c r="AC114" s="50">
        <f t="shared" si="431"/>
        <v>24.877236363636367</v>
      </c>
      <c r="AD114" s="50">
        <f t="shared" si="431"/>
        <v>23.557963636363635</v>
      </c>
      <c r="AE114" s="50">
        <f t="shared" si="431"/>
        <v>27.082036363636362</v>
      </c>
      <c r="AF114" s="50">
        <f t="shared" si="431"/>
        <v>35.939142222222216</v>
      </c>
      <c r="AG114" s="50">
        <f t="shared" si="431"/>
        <v>35.208995999999999</v>
      </c>
      <c r="AH114" s="50">
        <f t="shared" si="431"/>
        <v>38.903587999999999</v>
      </c>
      <c r="AI114" s="50">
        <f t="shared" si="431"/>
        <v>37.366416000000001</v>
      </c>
      <c r="AJ114" s="50">
        <f t="shared" si="431"/>
        <v>26.793192000000005</v>
      </c>
      <c r="AK114" s="50">
        <f t="shared" si="431"/>
        <v>19.306736000000001</v>
      </c>
      <c r="AL114" s="50">
        <f t="shared" si="431"/>
        <v>20.088168</v>
      </c>
      <c r="AM114" s="50">
        <f t="shared" si="431"/>
        <v>23.167079999999999</v>
      </c>
      <c r="AN114" s="50">
        <f t="shared" si="431"/>
        <v>40.923648</v>
      </c>
      <c r="AO114" s="50">
        <f t="shared" si="431"/>
        <v>48.556032000000002</v>
      </c>
      <c r="AP114" s="50">
        <f t="shared" si="431"/>
        <v>48.351999999999997</v>
      </c>
      <c r="AQ114" s="50">
        <f t="shared" si="431"/>
        <v>45.002605714285714</v>
      </c>
      <c r="AR114" s="50">
        <f t="shared" si="431"/>
        <v>47.720124999999996</v>
      </c>
      <c r="AS114" s="50">
        <f t="shared" si="431"/>
        <v>54.473999999999997</v>
      </c>
      <c r="AT114" s="50">
        <f t="shared" si="431"/>
        <v>64.995117647058834</v>
      </c>
      <c r="AU114" s="50">
        <f t="shared" si="431"/>
        <v>55.901073684210537</v>
      </c>
      <c r="AV114" s="50">
        <f t="shared" si="431"/>
        <v>52.648828571428581</v>
      </c>
      <c r="AW114" s="50">
        <f t="shared" si="431"/>
        <v>46.096726956521735</v>
      </c>
      <c r="AX114" s="50">
        <f t="shared" si="431"/>
        <v>46.382858181818186</v>
      </c>
      <c r="AY114" s="50">
        <f t="shared" si="431"/>
        <v>44.950973913043484</v>
      </c>
      <c r="AZ114" s="50">
        <f t="shared" ref="AZ114:CE114" si="432">+AZ73*4/AZ112</f>
        <v>40.259440000000005</v>
      </c>
      <c r="BA114" s="50">
        <f t="shared" si="432"/>
        <v>45.340630909090912</v>
      </c>
      <c r="BB114" s="50">
        <f t="shared" si="432"/>
        <v>51.731412000000006</v>
      </c>
      <c r="BC114" s="50">
        <f t="shared" si="432"/>
        <v>54.541871999999998</v>
      </c>
      <c r="BD114" s="50">
        <f t="shared" si="432"/>
        <v>51.993534545454537</v>
      </c>
      <c r="BE114" s="50">
        <f t="shared" si="432"/>
        <v>58.283099999999997</v>
      </c>
      <c r="BF114" s="50">
        <f t="shared" si="432"/>
        <v>62.824015304347817</v>
      </c>
      <c r="BG114" s="50">
        <f t="shared" si="432"/>
        <v>60.059570000000001</v>
      </c>
      <c r="BH114" s="50">
        <f t="shared" si="432"/>
        <v>51.62018823529413</v>
      </c>
      <c r="BI114" s="50">
        <f t="shared" si="432"/>
        <v>44.974068571428575</v>
      </c>
      <c r="BJ114" s="50">
        <f t="shared" si="432"/>
        <v>40.86936</v>
      </c>
      <c r="BK114" s="50">
        <f t="shared" si="432"/>
        <v>41.821416000000006</v>
      </c>
      <c r="BL114" s="50">
        <f t="shared" si="432"/>
        <v>31.389769999999999</v>
      </c>
      <c r="BM114" s="50">
        <f t="shared" si="432"/>
        <v>21.735696000000004</v>
      </c>
      <c r="BN114" s="50">
        <f t="shared" si="432"/>
        <v>29.618865599999999</v>
      </c>
      <c r="BO114" s="50">
        <f t="shared" si="432"/>
        <v>43.492209599999995</v>
      </c>
      <c r="BP114" s="50">
        <f t="shared" si="432"/>
        <v>56.321558769230769</v>
      </c>
      <c r="BQ114" s="50">
        <f t="shared" si="432"/>
        <v>63.410789999999999</v>
      </c>
      <c r="BR114" s="50">
        <f t="shared" si="432"/>
        <v>67.509856666666664</v>
      </c>
      <c r="BS114" s="50">
        <f t="shared" si="432"/>
        <v>48.183049142857136</v>
      </c>
      <c r="BT114" s="50">
        <f t="shared" si="432"/>
        <v>53.001354057142862</v>
      </c>
      <c r="BU114" s="50">
        <f t="shared" si="432"/>
        <v>61.692859887999994</v>
      </c>
      <c r="BV114" s="50">
        <f t="shared" si="432"/>
        <v>61.50993033743999</v>
      </c>
      <c r="BW114" s="50">
        <f t="shared" si="432"/>
        <v>62.231689624319991</v>
      </c>
      <c r="BX114" s="50">
        <f t="shared" si="432"/>
        <v>62.231689624319991</v>
      </c>
      <c r="BY114" s="50">
        <f t="shared" si="432"/>
        <v>62.231689624319991</v>
      </c>
      <c r="BZ114" s="50">
        <f t="shared" si="432"/>
        <v>62.287477781759989</v>
      </c>
      <c r="CA114" s="50">
        <f t="shared" si="432"/>
        <v>62.385664938854397</v>
      </c>
      <c r="CB114" s="50">
        <f t="shared" si="432"/>
        <v>62.429093873723069</v>
      </c>
      <c r="CC114" s="50">
        <f t="shared" si="432"/>
        <v>62.429093873723069</v>
      </c>
      <c r="CD114" s="50">
        <f t="shared" si="432"/>
        <v>62.429093873723069</v>
      </c>
      <c r="CE114" s="50">
        <f t="shared" si="432"/>
        <v>62.429093873723069</v>
      </c>
      <c r="CF114" s="4"/>
      <c r="CG114" s="4"/>
      <c r="CH114" s="4"/>
      <c r="CI114" s="4"/>
      <c r="CJ114" s="4"/>
      <c r="CK114" s="4"/>
      <c r="CL114" s="4"/>
      <c r="CM114" s="4"/>
      <c r="CN114" s="240">
        <f t="shared" si="315"/>
        <v>107</v>
      </c>
    </row>
    <row r="115" spans="1:92" hidden="1" outlineLevel="2">
      <c r="A115" s="144"/>
      <c r="B115" s="45" t="s">
        <v>282</v>
      </c>
      <c r="C115" s="158">
        <f t="shared" ref="C115:Q115" si="433">IFERROR(+C150*C120/C112,"NM")</f>
        <v>28.943723076923082</v>
      </c>
      <c r="D115" s="158">
        <f t="shared" si="433"/>
        <v>10.270853709811147</v>
      </c>
      <c r="E115" s="158">
        <f t="shared" si="433"/>
        <v>12.407302562579975</v>
      </c>
      <c r="F115" s="158">
        <f t="shared" si="433"/>
        <v>5.9295139615511232</v>
      </c>
      <c r="G115" s="158">
        <f t="shared" si="433"/>
        <v>17.561894814488795</v>
      </c>
      <c r="H115" s="158">
        <f t="shared" si="433"/>
        <v>23.136131447766935</v>
      </c>
      <c r="I115" s="158">
        <f t="shared" si="433"/>
        <v>17.860969320534874</v>
      </c>
      <c r="J115" s="158">
        <f t="shared" si="433"/>
        <v>15.862540764904086</v>
      </c>
      <c r="K115" s="158">
        <f t="shared" si="433"/>
        <v>18.772049191534709</v>
      </c>
      <c r="L115" s="158">
        <f t="shared" si="433"/>
        <v>8.4527986397489094</v>
      </c>
      <c r="M115" s="158">
        <f t="shared" si="433"/>
        <v>4.8006038540197382</v>
      </c>
      <c r="N115" s="158">
        <f t="shared" si="433"/>
        <v>19.546027914927517</v>
      </c>
      <c r="O115" s="158">
        <f t="shared" si="433"/>
        <v>21.129333045198408</v>
      </c>
      <c r="P115" s="158">
        <f t="shared" si="433"/>
        <v>22.907893644490144</v>
      </c>
      <c r="Q115" s="158">
        <f t="shared" si="433"/>
        <v>21.745974908869666</v>
      </c>
      <c r="R115" s="57"/>
      <c r="S115" s="4"/>
      <c r="T115" s="172"/>
      <c r="U115" s="172"/>
      <c r="V115" s="172"/>
      <c r="W115" s="172"/>
      <c r="X115" s="172"/>
      <c r="Y115" s="172"/>
      <c r="Z115" s="172"/>
      <c r="AA115" s="172"/>
      <c r="AB115" s="158">
        <f t="shared" ref="AB115:BG115" si="434">IFERROR(+AB150*4*AB120/AB112,"NM")</f>
        <v>15.041543704705946</v>
      </c>
      <c r="AC115" s="158">
        <f t="shared" si="434"/>
        <v>9.4903688099074035</v>
      </c>
      <c r="AD115" s="158">
        <f t="shared" si="434"/>
        <v>8.1607557392885255</v>
      </c>
      <c r="AE115" s="158">
        <f t="shared" si="434"/>
        <v>10.125542947122648</v>
      </c>
      <c r="AF115" s="158">
        <f t="shared" si="434"/>
        <v>11.704847796115361</v>
      </c>
      <c r="AG115" s="158">
        <f t="shared" si="434"/>
        <v>12.769804487700812</v>
      </c>
      <c r="AH115" s="158">
        <f t="shared" si="434"/>
        <v>13.383190807741434</v>
      </c>
      <c r="AI115" s="158">
        <f t="shared" si="434"/>
        <v>11.701121682115831</v>
      </c>
      <c r="AJ115" s="158">
        <f t="shared" si="434"/>
        <v>7.4004432027503118</v>
      </c>
      <c r="AK115" s="158">
        <f t="shared" si="434"/>
        <v>4.7562381293989819</v>
      </c>
      <c r="AL115" s="158">
        <f t="shared" si="434"/>
        <v>5.151634928896252</v>
      </c>
      <c r="AM115" s="158">
        <f t="shared" si="434"/>
        <v>6.40973958515894</v>
      </c>
      <c r="AN115" s="158">
        <f t="shared" si="434"/>
        <v>13.883147958112826</v>
      </c>
      <c r="AO115" s="158">
        <f t="shared" si="434"/>
        <v>18.635048752119449</v>
      </c>
      <c r="AP115" s="158">
        <f t="shared" si="434"/>
        <v>18.818527843282595</v>
      </c>
      <c r="AQ115" s="158">
        <f t="shared" si="434"/>
        <v>18.345918588912184</v>
      </c>
      <c r="AR115" s="158">
        <f t="shared" si="434"/>
        <v>20.152013450496515</v>
      </c>
      <c r="AS115" s="158">
        <f t="shared" si="434"/>
        <v>20.693409807008656</v>
      </c>
      <c r="AT115" s="158">
        <f t="shared" si="434"/>
        <v>25.708255031421313</v>
      </c>
      <c r="AU115" s="158">
        <f t="shared" si="434"/>
        <v>21.984764960102947</v>
      </c>
      <c r="AV115" s="158">
        <f t="shared" si="434"/>
        <v>21.484739663361569</v>
      </c>
      <c r="AW115" s="158">
        <f t="shared" si="434"/>
        <v>17.90906481079228</v>
      </c>
      <c r="AX115" s="158">
        <f t="shared" si="434"/>
        <v>17.694521356487456</v>
      </c>
      <c r="AY115" s="158">
        <f t="shared" si="434"/>
        <v>16.2822642334771</v>
      </c>
      <c r="AZ115" s="158">
        <f t="shared" si="434"/>
        <v>13.26537435449082</v>
      </c>
      <c r="BA115" s="158">
        <f t="shared" si="434"/>
        <v>15.01969454120677</v>
      </c>
      <c r="BB115" s="158">
        <f t="shared" si="434"/>
        <v>17.961444050151933</v>
      </c>
      <c r="BC115" s="158">
        <f t="shared" si="434"/>
        <v>16.852540495271896</v>
      </c>
      <c r="BD115" s="158">
        <f t="shared" si="434"/>
        <v>15.859088861728274</v>
      </c>
      <c r="BE115" s="158">
        <f t="shared" si="434"/>
        <v>18.867868589694091</v>
      </c>
      <c r="BF115" s="158">
        <f t="shared" si="434"/>
        <v>19.867313930475021</v>
      </c>
      <c r="BG115" s="158">
        <f t="shared" si="434"/>
        <v>20.850606633708001</v>
      </c>
      <c r="BH115" s="158">
        <f t="shared" ref="BH115:CA115" si="435">IFERROR(+BH150*4*BH120/BH112,"NM")</f>
        <v>12.575894580683089</v>
      </c>
      <c r="BI115" s="158">
        <f t="shared" si="435"/>
        <v>6.9951563694640226</v>
      </c>
      <c r="BJ115" s="158">
        <f t="shared" si="435"/>
        <v>6.7750560037544005</v>
      </c>
      <c r="BK115" s="158">
        <f t="shared" si="435"/>
        <v>6.7463453046261321</v>
      </c>
      <c r="BL115" s="158">
        <f t="shared" si="435"/>
        <v>4.1141411609825767</v>
      </c>
      <c r="BM115" s="158">
        <f t="shared" si="435"/>
        <v>2.0990236327780818</v>
      </c>
      <c r="BN115" s="158">
        <f t="shared" si="435"/>
        <v>4.6692952643219341</v>
      </c>
      <c r="BO115" s="158">
        <f t="shared" si="435"/>
        <v>8.9353977456562816</v>
      </c>
      <c r="BP115" s="158">
        <f t="shared" si="435"/>
        <v>15.22724139502785</v>
      </c>
      <c r="BQ115" s="158">
        <f t="shared" si="435"/>
        <v>22.643847141526042</v>
      </c>
      <c r="BR115" s="158">
        <f t="shared" si="435"/>
        <v>24.777472625228498</v>
      </c>
      <c r="BS115" s="158">
        <f t="shared" si="435"/>
        <v>15.519770443060557</v>
      </c>
      <c r="BT115" s="158">
        <f t="shared" si="435"/>
        <v>17.393661526440958</v>
      </c>
      <c r="BU115" s="158">
        <f t="shared" si="435"/>
        <v>21.586564796668444</v>
      </c>
      <c r="BV115" s="158">
        <f t="shared" si="435"/>
        <v>22.240518579364771</v>
      </c>
      <c r="BW115" s="158">
        <f t="shared" si="435"/>
        <v>23.147567288897314</v>
      </c>
      <c r="BX115" s="158">
        <f t="shared" si="435"/>
        <v>23.269317147268229</v>
      </c>
      <c r="BY115" s="158">
        <f t="shared" si="435"/>
        <v>23.32395156769984</v>
      </c>
      <c r="BZ115" s="158">
        <f t="shared" si="435"/>
        <v>22.963798875587386</v>
      </c>
      <c r="CA115" s="158">
        <f t="shared" si="435"/>
        <v>22.172277177011409</v>
      </c>
      <c r="CB115" s="158">
        <f>IFERROR(+CB150*CB120/CB112,"NM")</f>
        <v>5.4438154234286928</v>
      </c>
      <c r="CC115" s="158">
        <f>IFERROR(+CC150*CC120/CC112,"NM")</f>
        <v>5.4274619071132424</v>
      </c>
      <c r="CD115" s="158">
        <f>IFERROR(+CD150*CD120/CD112,"NM")</f>
        <v>5.4319418399442805</v>
      </c>
      <c r="CE115" s="158">
        <f>IFERROR(+CE150*CE120/CE112,"NM")</f>
        <v>5.4427557383834584</v>
      </c>
      <c r="CF115" s="4"/>
      <c r="CG115" s="4"/>
      <c r="CH115" s="4"/>
      <c r="CI115" s="4"/>
      <c r="CJ115" s="4"/>
      <c r="CK115" s="4"/>
      <c r="CL115" s="4"/>
      <c r="CM115" s="4"/>
      <c r="CN115" s="240">
        <f t="shared" si="315"/>
        <v>108</v>
      </c>
    </row>
    <row r="116" spans="1:92" hidden="1" outlineLevel="2">
      <c r="A116" s="144"/>
      <c r="B116" s="45" t="s">
        <v>291</v>
      </c>
      <c r="C116" s="158">
        <f t="shared" ref="C116:Q116" si="436">IFERROR(+C15*C120/C112,"NM")</f>
        <v>8.9519815384615367</v>
      </c>
      <c r="D116" s="158">
        <f t="shared" si="436"/>
        <v>7.0371199999999998</v>
      </c>
      <c r="E116" s="158">
        <f t="shared" si="436"/>
        <v>8.5526841025641023</v>
      </c>
      <c r="F116" s="158">
        <f t="shared" si="436"/>
        <v>3.0952139999999999</v>
      </c>
      <c r="G116" s="158">
        <f t="shared" si="436"/>
        <v>13.507784347826087</v>
      </c>
      <c r="H116" s="158">
        <f t="shared" si="436"/>
        <v>19.242379710144927</v>
      </c>
      <c r="I116" s="158">
        <f t="shared" si="436"/>
        <v>14.387248988764044</v>
      </c>
      <c r="J116" s="158">
        <f t="shared" si="436"/>
        <v>11.835275294117647</v>
      </c>
      <c r="K116" s="158">
        <f t="shared" si="436"/>
        <v>14.588034782608695</v>
      </c>
      <c r="L116" s="158">
        <f t="shared" si="436"/>
        <v>3.7392480240334223</v>
      </c>
      <c r="M116" s="158">
        <f t="shared" si="436"/>
        <v>-0.54238940922778967</v>
      </c>
      <c r="N116" s="158">
        <f t="shared" si="436"/>
        <v>14.54403726403091</v>
      </c>
      <c r="O116" s="158">
        <f t="shared" si="436"/>
        <v>17.074546875523595</v>
      </c>
      <c r="P116" s="158">
        <f t="shared" si="436"/>
        <v>19.128960041740378</v>
      </c>
      <c r="Q116" s="158">
        <f t="shared" si="436"/>
        <v>18.43802509373899</v>
      </c>
      <c r="R116" s="57"/>
      <c r="S116" s="4"/>
      <c r="T116" s="158">
        <f t="shared" ref="T116:AY116" si="437">IFERROR(+T15*4*T120/T112,"NM")</f>
        <v>4.3772479999999998</v>
      </c>
      <c r="U116" s="158">
        <f t="shared" si="437"/>
        <v>5.1296799999999996</v>
      </c>
      <c r="V116" s="158">
        <f t="shared" si="437"/>
        <v>7.3736559999999995</v>
      </c>
      <c r="W116" s="158">
        <f t="shared" si="437"/>
        <v>7.9976239999999992</v>
      </c>
      <c r="X116" s="158">
        <f t="shared" si="437"/>
        <v>11.016655999999999</v>
      </c>
      <c r="Y116" s="158">
        <f t="shared" si="437"/>
        <v>8.0438399999999994</v>
      </c>
      <c r="Z116" s="158">
        <f t="shared" si="437"/>
        <v>8.7141599999999997</v>
      </c>
      <c r="AA116" s="158">
        <f t="shared" si="437"/>
        <v>8.6231771428571431</v>
      </c>
      <c r="AB116" s="158">
        <f t="shared" si="437"/>
        <v>10.585142857142857</v>
      </c>
      <c r="AC116" s="158">
        <f t="shared" si="437"/>
        <v>6.602181818181819</v>
      </c>
      <c r="AD116" s="158">
        <f t="shared" si="437"/>
        <v>5.3034181818181816</v>
      </c>
      <c r="AE116" s="158">
        <f t="shared" si="437"/>
        <v>6.9479272727272736</v>
      </c>
      <c r="AF116" s="158">
        <f t="shared" si="437"/>
        <v>7.6886844444444442</v>
      </c>
      <c r="AG116" s="158">
        <f t="shared" si="437"/>
        <v>9.0027799999999978</v>
      </c>
      <c r="AH116" s="158">
        <f t="shared" si="437"/>
        <v>9.5969519999999982</v>
      </c>
      <c r="AI116" s="158">
        <f t="shared" si="437"/>
        <v>7.8359199999999998</v>
      </c>
      <c r="AJ116" s="158">
        <f t="shared" si="437"/>
        <v>4.2183040000000007</v>
      </c>
      <c r="AK116" s="158">
        <f t="shared" si="437"/>
        <v>2.0725199999999999</v>
      </c>
      <c r="AL116" s="158">
        <f t="shared" si="437"/>
        <v>2.510888</v>
      </c>
      <c r="AM116" s="158">
        <f t="shared" si="437"/>
        <v>3.5791440000000003</v>
      </c>
      <c r="AN116" s="158">
        <f t="shared" si="437"/>
        <v>9.6760319999999993</v>
      </c>
      <c r="AO116" s="158">
        <f t="shared" si="437"/>
        <v>14.002943999999999</v>
      </c>
      <c r="AP116" s="158">
        <f t="shared" si="437"/>
        <v>14.655199999999999</v>
      </c>
      <c r="AQ116" s="158">
        <f t="shared" si="437"/>
        <v>14.907565714285713</v>
      </c>
      <c r="AR116" s="158">
        <f t="shared" si="437"/>
        <v>16.591625000000001</v>
      </c>
      <c r="AS116" s="158">
        <f t="shared" si="437"/>
        <v>17.336588235294116</v>
      </c>
      <c r="AT116" s="158">
        <f t="shared" si="437"/>
        <v>21.666894117647061</v>
      </c>
      <c r="AU116" s="158">
        <f t="shared" si="437"/>
        <v>18.062115789473683</v>
      </c>
      <c r="AV116" s="158">
        <f t="shared" si="437"/>
        <v>17.667990476190475</v>
      </c>
      <c r="AW116" s="158">
        <f t="shared" si="437"/>
        <v>14.508819130434782</v>
      </c>
      <c r="AX116" s="158">
        <f t="shared" si="437"/>
        <v>14.230570909090909</v>
      </c>
      <c r="AY116" s="158">
        <f t="shared" si="437"/>
        <v>12.721356521739128</v>
      </c>
      <c r="AZ116" s="158">
        <f t="shared" ref="AZ116:CE116" si="438">IFERROR(+AZ15*4*AZ120/AZ112,"NM")</f>
        <v>9.7648436363636364</v>
      </c>
      <c r="BA116" s="158">
        <f t="shared" si="438"/>
        <v>10.977687272727273</v>
      </c>
      <c r="BB116" s="158">
        <f t="shared" si="438"/>
        <v>13.834480000000001</v>
      </c>
      <c r="BC116" s="158">
        <f t="shared" si="438"/>
        <v>12.528992000000002</v>
      </c>
      <c r="BD116" s="158">
        <f t="shared" si="438"/>
        <v>11.632145454545453</v>
      </c>
      <c r="BE116" s="158">
        <f t="shared" si="438"/>
        <v>14.821199999999999</v>
      </c>
      <c r="BF116" s="158">
        <f t="shared" si="438"/>
        <v>15.391521391304348</v>
      </c>
      <c r="BG116" s="158">
        <f t="shared" si="438"/>
        <v>16.731779999999997</v>
      </c>
      <c r="BH116" s="158">
        <f t="shared" si="438"/>
        <v>8.0730635294117654</v>
      </c>
      <c r="BI116" s="158">
        <f t="shared" si="438"/>
        <v>1.832304857142858</v>
      </c>
      <c r="BJ116" s="158">
        <f t="shared" si="438"/>
        <v>2.3080399999999979</v>
      </c>
      <c r="BK116" s="158">
        <f t="shared" si="438"/>
        <v>1.9732440000000027</v>
      </c>
      <c r="BL116" s="158">
        <f t="shared" si="438"/>
        <v>-1.6012360000000001</v>
      </c>
      <c r="BM116" s="158">
        <f t="shared" si="438"/>
        <v>-2.4443119999999996</v>
      </c>
      <c r="BN116" s="158">
        <f t="shared" si="438"/>
        <v>-0.50082160000000298</v>
      </c>
      <c r="BO116" s="158">
        <f t="shared" si="438"/>
        <v>3.1641504000000018</v>
      </c>
      <c r="BP116" s="158">
        <f t="shared" si="438"/>
        <v>9.200364923076922</v>
      </c>
      <c r="BQ116" s="158">
        <f t="shared" si="438"/>
        <v>17.116191000000001</v>
      </c>
      <c r="BR116" s="158">
        <f t="shared" si="438"/>
        <v>20.019939999999998</v>
      </c>
      <c r="BS116" s="158">
        <f t="shared" si="438"/>
        <v>11.384554666666668</v>
      </c>
      <c r="BT116" s="158">
        <f t="shared" si="438"/>
        <v>13.257026072883459</v>
      </c>
      <c r="BU116" s="158">
        <f t="shared" si="438"/>
        <v>17.432184722066388</v>
      </c>
      <c r="BV116" s="158">
        <f t="shared" si="438"/>
        <v>18.271247276307339</v>
      </c>
      <c r="BW116" s="158">
        <f t="shared" si="438"/>
        <v>19.180462023741832</v>
      </c>
      <c r="BX116" s="158">
        <f t="shared" si="438"/>
        <v>19.307905693159764</v>
      </c>
      <c r="BY116" s="158">
        <f t="shared" si="438"/>
        <v>19.368958799958751</v>
      </c>
      <c r="BZ116" s="158">
        <f t="shared" si="438"/>
        <v>19.189266440823992</v>
      </c>
      <c r="CA116" s="158">
        <f t="shared" si="438"/>
        <v>18.704807074102231</v>
      </c>
      <c r="CB116" s="158">
        <f t="shared" si="438"/>
        <v>18.450741009560549</v>
      </c>
      <c r="CC116" s="158">
        <f t="shared" si="438"/>
        <v>18.399877346274334</v>
      </c>
      <c r="CD116" s="158">
        <f t="shared" si="438"/>
        <v>18.425309177917441</v>
      </c>
      <c r="CE116" s="158">
        <f t="shared" si="438"/>
        <v>18.476172841203656</v>
      </c>
      <c r="CF116" s="4"/>
      <c r="CG116" s="4"/>
      <c r="CH116" s="4"/>
      <c r="CI116" s="4"/>
      <c r="CJ116" s="4"/>
      <c r="CK116" s="4"/>
      <c r="CL116" s="4"/>
      <c r="CM116" s="4"/>
      <c r="CN116" s="240">
        <f t="shared" si="315"/>
        <v>109</v>
      </c>
    </row>
    <row r="117" spans="1:92" hidden="1" outlineLevel="2">
      <c r="A117" s="144"/>
      <c r="B117" s="45"/>
      <c r="C117" s="6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120"/>
      <c r="P117" s="120"/>
      <c r="Q117" s="120"/>
      <c r="R117" s="49"/>
      <c r="S117" s="4"/>
      <c r="T117" s="48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"/>
      <c r="CG117" s="4"/>
      <c r="CH117" s="4"/>
      <c r="CI117" s="4"/>
      <c r="CJ117" s="4"/>
      <c r="CK117" s="4"/>
      <c r="CL117" s="4"/>
      <c r="CM117" s="4"/>
      <c r="CN117" s="240">
        <f t="shared" si="315"/>
        <v>110</v>
      </c>
    </row>
    <row r="118" spans="1:92" outlineLevel="1" collapsed="1">
      <c r="A118" s="144" t="s">
        <v>33</v>
      </c>
      <c r="B118" s="40" t="s">
        <v>243</v>
      </c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4"/>
      <c r="T118" s="4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240">
        <f t="shared" si="315"/>
        <v>111</v>
      </c>
    </row>
    <row r="119" spans="1:92" hidden="1" outlineLevel="2">
      <c r="A119" s="144"/>
      <c r="B119" s="40" t="s">
        <v>193</v>
      </c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4"/>
      <c r="T119" s="4"/>
      <c r="U119" s="4"/>
      <c r="V119" s="4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240">
        <f t="shared" si="315"/>
        <v>112</v>
      </c>
    </row>
    <row r="120" spans="1:92" hidden="1" outlineLevel="2">
      <c r="A120" s="144"/>
      <c r="B120" s="39" t="s">
        <v>9</v>
      </c>
      <c r="C120" s="151">
        <v>0.38</v>
      </c>
      <c r="D120" s="151">
        <v>0.4</v>
      </c>
      <c r="E120" s="151">
        <v>0.41</v>
      </c>
      <c r="F120" s="151">
        <v>0.38</v>
      </c>
      <c r="G120" s="151">
        <v>0.48</v>
      </c>
      <c r="H120" s="151">
        <v>0.55000000000000004</v>
      </c>
      <c r="I120" s="151">
        <v>0.53</v>
      </c>
      <c r="J120" s="151">
        <v>0.55000000000000004</v>
      </c>
      <c r="K120" s="151">
        <v>0.56999999999999995</v>
      </c>
      <c r="L120" s="62">
        <f t="shared" ref="L120:Q124" si="439">+L129/L$12</f>
        <v>0.53521814153690339</v>
      </c>
      <c r="M120" s="62">
        <f t="shared" si="439"/>
        <v>0.46190970048314478</v>
      </c>
      <c r="N120" s="62">
        <f t="shared" si="439"/>
        <v>0.62281919751859771</v>
      </c>
      <c r="O120" s="125">
        <f t="shared" si="439"/>
        <v>0.59200000000000019</v>
      </c>
      <c r="P120" s="125">
        <f t="shared" si="439"/>
        <v>0.59199999999999997</v>
      </c>
      <c r="Q120" s="125">
        <f t="shared" si="439"/>
        <v>0.59199999999999986</v>
      </c>
      <c r="R120" s="151"/>
      <c r="S120" s="4"/>
      <c r="T120" s="63">
        <v>0.37</v>
      </c>
      <c r="U120" s="63">
        <v>0.37</v>
      </c>
      <c r="V120" s="63">
        <v>0.37</v>
      </c>
      <c r="W120" s="63">
        <v>0.37</v>
      </c>
      <c r="X120" s="63">
        <v>0.38</v>
      </c>
      <c r="Y120" s="63">
        <v>0.38</v>
      </c>
      <c r="Z120" s="63">
        <v>0.38</v>
      </c>
      <c r="AA120" s="63">
        <v>0.38</v>
      </c>
      <c r="AB120" s="63">
        <v>0.4</v>
      </c>
      <c r="AC120" s="63">
        <v>0.4</v>
      </c>
      <c r="AD120" s="63">
        <v>0.4</v>
      </c>
      <c r="AE120" s="63">
        <v>0.4</v>
      </c>
      <c r="AF120" s="63">
        <v>0.41</v>
      </c>
      <c r="AG120" s="63">
        <v>0.41</v>
      </c>
      <c r="AH120" s="63">
        <v>0.41</v>
      </c>
      <c r="AI120" s="63">
        <v>0.41</v>
      </c>
      <c r="AJ120" s="63">
        <v>0.38</v>
      </c>
      <c r="AK120" s="63">
        <v>0.38</v>
      </c>
      <c r="AL120" s="63">
        <v>0.38</v>
      </c>
      <c r="AM120" s="63">
        <v>0.38</v>
      </c>
      <c r="AN120" s="63">
        <v>0.48</v>
      </c>
      <c r="AO120" s="63">
        <v>0.48</v>
      </c>
      <c r="AP120" s="63">
        <v>0.48</v>
      </c>
      <c r="AQ120" s="63">
        <v>0.48</v>
      </c>
      <c r="AR120" s="63">
        <v>0.5</v>
      </c>
      <c r="AS120" s="63">
        <v>0.5</v>
      </c>
      <c r="AT120" s="63">
        <v>0.55000000000000004</v>
      </c>
      <c r="AU120" s="63">
        <v>0.55000000000000004</v>
      </c>
      <c r="AV120" s="63">
        <v>0.55000000000000004</v>
      </c>
      <c r="AW120" s="63">
        <v>0.53</v>
      </c>
      <c r="AX120" s="63">
        <v>0.54</v>
      </c>
      <c r="AY120" s="63">
        <v>0.55000000000000004</v>
      </c>
      <c r="AZ120" s="151">
        <v>0.52</v>
      </c>
      <c r="BA120" s="151">
        <v>0.54500000000000004</v>
      </c>
      <c r="BB120" s="151">
        <v>0.55300000000000005</v>
      </c>
      <c r="BC120" s="151">
        <v>0.56000000000000005</v>
      </c>
      <c r="BD120" s="151">
        <v>0.56999999999999995</v>
      </c>
      <c r="BE120" s="151">
        <v>0.57499999999999996</v>
      </c>
      <c r="BF120" s="151">
        <v>0.58199999999999996</v>
      </c>
      <c r="BG120" s="151">
        <v>0.56999999999999995</v>
      </c>
      <c r="BH120" s="151">
        <v>0.54</v>
      </c>
      <c r="BI120" s="151">
        <v>0.52900000000000003</v>
      </c>
      <c r="BJ120" s="151">
        <v>0.52500000000000002</v>
      </c>
      <c r="BK120" s="151">
        <v>0.54600000000000004</v>
      </c>
      <c r="BL120" s="151">
        <v>0.498</v>
      </c>
      <c r="BM120" s="151">
        <v>0.41799999999999998</v>
      </c>
      <c r="BN120" s="151">
        <v>0.42099999999999999</v>
      </c>
      <c r="BO120" s="151">
        <v>0.49199999999999999</v>
      </c>
      <c r="BP120" s="151">
        <v>0.61399999999999999</v>
      </c>
      <c r="BQ120" s="151">
        <v>0.63600000000000001</v>
      </c>
      <c r="BR120" s="151">
        <v>0.64500000000000002</v>
      </c>
      <c r="BS120" s="151">
        <v>0.59199999999999997</v>
      </c>
      <c r="BT120" s="115">
        <f t="shared" ref="BT120:BW123" si="440">BS120</f>
        <v>0.59199999999999997</v>
      </c>
      <c r="BU120" s="115">
        <f t="shared" si="440"/>
        <v>0.59199999999999997</v>
      </c>
      <c r="BV120" s="115">
        <f t="shared" si="440"/>
        <v>0.59199999999999997</v>
      </c>
      <c r="BW120" s="115">
        <f t="shared" si="440"/>
        <v>0.59199999999999997</v>
      </c>
      <c r="BX120" s="115">
        <f t="shared" ref="BX120:BX126" si="441">BW120</f>
        <v>0.59199999999999997</v>
      </c>
      <c r="BY120" s="115">
        <f t="shared" ref="BY120:BY126" si="442">BX120</f>
        <v>0.59199999999999997</v>
      </c>
      <c r="BZ120" s="115">
        <f t="shared" ref="BZ120:BZ126" si="443">BY120</f>
        <v>0.59199999999999997</v>
      </c>
      <c r="CA120" s="115">
        <f t="shared" ref="CA120:CA126" si="444">BZ120</f>
        <v>0.59199999999999997</v>
      </c>
      <c r="CB120" s="115">
        <f t="shared" ref="CB120:CB126" si="445">CA120</f>
        <v>0.59199999999999997</v>
      </c>
      <c r="CC120" s="115">
        <f t="shared" ref="CC120:CC126" si="446">CB120</f>
        <v>0.59199999999999997</v>
      </c>
      <c r="CD120" s="115">
        <f t="shared" ref="CD120:CD126" si="447">CC120</f>
        <v>0.59199999999999997</v>
      </c>
      <c r="CE120" s="115">
        <f t="shared" ref="CE120:CE126" si="448">CD120</f>
        <v>0.59199999999999997</v>
      </c>
      <c r="CF120" s="4"/>
      <c r="CG120" s="4"/>
      <c r="CH120" s="4"/>
      <c r="CI120" s="4"/>
      <c r="CJ120" s="4"/>
      <c r="CK120" s="4"/>
      <c r="CL120" s="4"/>
      <c r="CM120" s="4"/>
      <c r="CN120" s="240">
        <f t="shared" si="315"/>
        <v>113</v>
      </c>
    </row>
    <row r="121" spans="1:92" hidden="1" outlineLevel="2">
      <c r="A121" s="144"/>
      <c r="B121" s="39" t="s">
        <v>167</v>
      </c>
      <c r="C121" s="151">
        <v>0.06</v>
      </c>
      <c r="D121" s="151">
        <v>7.0000000000000007E-2</v>
      </c>
      <c r="E121" s="151">
        <v>0.09</v>
      </c>
      <c r="F121" s="151">
        <v>0.15</v>
      </c>
      <c r="G121" s="151">
        <v>0.12</v>
      </c>
      <c r="H121" s="151">
        <v>0.12</v>
      </c>
      <c r="I121" s="151">
        <v>0.14000000000000001</v>
      </c>
      <c r="J121" s="151">
        <v>0.16</v>
      </c>
      <c r="K121" s="151">
        <v>0.15</v>
      </c>
      <c r="L121" s="62">
        <f t="shared" si="439"/>
        <v>0.18203830389922773</v>
      </c>
      <c r="M121" s="62">
        <f t="shared" si="439"/>
        <v>0.23278368501482904</v>
      </c>
      <c r="N121" s="62">
        <f t="shared" si="439"/>
        <v>0.18467967254817028</v>
      </c>
      <c r="O121" s="125">
        <f t="shared" si="439"/>
        <v>0.20800000000000002</v>
      </c>
      <c r="P121" s="125">
        <f t="shared" si="439"/>
        <v>0.20799999999999996</v>
      </c>
      <c r="Q121" s="125">
        <f t="shared" si="439"/>
        <v>0.20799999999999996</v>
      </c>
      <c r="R121" s="151"/>
      <c r="S121" s="4"/>
      <c r="T121" s="151" t="s">
        <v>168</v>
      </c>
      <c r="U121" s="151" t="s">
        <v>168</v>
      </c>
      <c r="V121" s="151" t="s">
        <v>168</v>
      </c>
      <c r="W121" s="151" t="s">
        <v>168</v>
      </c>
      <c r="X121" s="151" t="s">
        <v>168</v>
      </c>
      <c r="Y121" s="151" t="s">
        <v>168</v>
      </c>
      <c r="Z121" s="151" t="s">
        <v>168</v>
      </c>
      <c r="AA121" s="151" t="s">
        <v>168</v>
      </c>
      <c r="AB121" s="151" t="s">
        <v>168</v>
      </c>
      <c r="AC121" s="151" t="s">
        <v>168</v>
      </c>
      <c r="AD121" s="151" t="s">
        <v>168</v>
      </c>
      <c r="AE121" s="151" t="s">
        <v>168</v>
      </c>
      <c r="AF121" s="151" t="s">
        <v>168</v>
      </c>
      <c r="AG121" s="151" t="s">
        <v>168</v>
      </c>
      <c r="AH121" s="151" t="s">
        <v>168</v>
      </c>
      <c r="AI121" s="151" t="s">
        <v>168</v>
      </c>
      <c r="AJ121" s="151" t="s">
        <v>168</v>
      </c>
      <c r="AK121" s="151" t="s">
        <v>168</v>
      </c>
      <c r="AL121" s="151" t="s">
        <v>168</v>
      </c>
      <c r="AM121" s="151" t="s">
        <v>168</v>
      </c>
      <c r="AN121" s="151" t="s">
        <v>168</v>
      </c>
      <c r="AO121" s="151" t="s">
        <v>168</v>
      </c>
      <c r="AP121" s="151" t="s">
        <v>168</v>
      </c>
      <c r="AQ121" s="151" t="s">
        <v>168</v>
      </c>
      <c r="AR121" s="151" t="s">
        <v>168</v>
      </c>
      <c r="AS121" s="151" t="s">
        <v>168</v>
      </c>
      <c r="AT121" s="151">
        <v>0.11</v>
      </c>
      <c r="AU121" s="151" t="s">
        <v>168</v>
      </c>
      <c r="AV121" s="151" t="s">
        <v>168</v>
      </c>
      <c r="AW121" s="151">
        <v>0.14000000000000001</v>
      </c>
      <c r="AX121" s="151">
        <v>0.15</v>
      </c>
      <c r="AY121" s="151">
        <v>0.15</v>
      </c>
      <c r="AZ121" s="151">
        <v>0.16</v>
      </c>
      <c r="BA121" s="151">
        <v>0.14399999999999999</v>
      </c>
      <c r="BB121" s="151">
        <v>0.154</v>
      </c>
      <c r="BC121" s="151">
        <v>0.156</v>
      </c>
      <c r="BD121" s="151">
        <v>0.15</v>
      </c>
      <c r="BE121" s="151">
        <v>0.152</v>
      </c>
      <c r="BF121" s="151">
        <v>0.156</v>
      </c>
      <c r="BG121" s="151">
        <v>0.155</v>
      </c>
      <c r="BH121" s="151">
        <v>0.18099999999999999</v>
      </c>
      <c r="BI121" s="151">
        <v>0.17599999999999999</v>
      </c>
      <c r="BJ121" s="151">
        <v>0.186</v>
      </c>
      <c r="BK121" s="151">
        <v>0.186</v>
      </c>
      <c r="BL121" s="151">
        <v>0.22500000000000001</v>
      </c>
      <c r="BM121" s="151">
        <v>0.245</v>
      </c>
      <c r="BN121" s="151">
        <v>0.24099999999999999</v>
      </c>
      <c r="BO121" s="151">
        <v>0.22500000000000001</v>
      </c>
      <c r="BP121" s="151">
        <v>0.17599999999999999</v>
      </c>
      <c r="BQ121" s="151">
        <v>0.18</v>
      </c>
      <c r="BR121" s="151">
        <v>0.17299999999999999</v>
      </c>
      <c r="BS121" s="151">
        <v>0.20799999999999999</v>
      </c>
      <c r="BT121" s="115">
        <f t="shared" si="440"/>
        <v>0.20799999999999999</v>
      </c>
      <c r="BU121" s="115">
        <f t="shared" si="440"/>
        <v>0.20799999999999999</v>
      </c>
      <c r="BV121" s="115">
        <f t="shared" si="440"/>
        <v>0.20799999999999999</v>
      </c>
      <c r="BW121" s="115">
        <f t="shared" si="440"/>
        <v>0.20799999999999999</v>
      </c>
      <c r="BX121" s="115">
        <f t="shared" si="441"/>
        <v>0.20799999999999999</v>
      </c>
      <c r="BY121" s="115">
        <f t="shared" si="442"/>
        <v>0.20799999999999999</v>
      </c>
      <c r="BZ121" s="115">
        <f t="shared" si="443"/>
        <v>0.20799999999999999</v>
      </c>
      <c r="CA121" s="115">
        <f t="shared" si="444"/>
        <v>0.20799999999999999</v>
      </c>
      <c r="CB121" s="115">
        <f t="shared" si="445"/>
        <v>0.20799999999999999</v>
      </c>
      <c r="CC121" s="115">
        <f t="shared" si="446"/>
        <v>0.20799999999999999</v>
      </c>
      <c r="CD121" s="115">
        <f t="shared" si="447"/>
        <v>0.20799999999999999</v>
      </c>
      <c r="CE121" s="115">
        <f t="shared" si="448"/>
        <v>0.20799999999999999</v>
      </c>
      <c r="CF121" s="4"/>
      <c r="CG121" s="4"/>
      <c r="CH121" s="4"/>
      <c r="CI121" s="4"/>
      <c r="CJ121" s="4"/>
      <c r="CK121" s="4"/>
      <c r="CL121" s="4"/>
      <c r="CM121" s="4"/>
      <c r="CN121" s="240">
        <f t="shared" si="315"/>
        <v>114</v>
      </c>
    </row>
    <row r="122" spans="1:92" hidden="1" outlineLevel="2">
      <c r="A122" s="144"/>
      <c r="B122" s="39" t="s">
        <v>11</v>
      </c>
      <c r="C122" s="151">
        <v>0.1</v>
      </c>
      <c r="D122" s="151">
        <v>0.09</v>
      </c>
      <c r="E122" s="151">
        <v>0.09</v>
      </c>
      <c r="F122" s="151">
        <v>0.09</v>
      </c>
      <c r="G122" s="151">
        <v>0.1</v>
      </c>
      <c r="H122" s="151">
        <v>0.11</v>
      </c>
      <c r="I122" s="151">
        <v>0.11</v>
      </c>
      <c r="J122" s="151">
        <v>0.09</v>
      </c>
      <c r="K122" s="151">
        <v>0.09</v>
      </c>
      <c r="L122" s="62">
        <f t="shared" si="439"/>
        <v>8.9510745031016581E-2</v>
      </c>
      <c r="M122" s="62">
        <f t="shared" si="439"/>
        <v>9.6626266506075656E-2</v>
      </c>
      <c r="N122" s="62">
        <f t="shared" si="439"/>
        <v>6.8618447405917785E-2</v>
      </c>
      <c r="O122" s="125">
        <f t="shared" si="439"/>
        <v>7.0000000000000034E-2</v>
      </c>
      <c r="P122" s="125">
        <f t="shared" si="439"/>
        <v>7.0000000000000007E-2</v>
      </c>
      <c r="Q122" s="125">
        <f t="shared" si="439"/>
        <v>6.9999999999999993E-2</v>
      </c>
      <c r="R122" s="151"/>
      <c r="S122" s="4"/>
      <c r="T122" s="151" t="s">
        <v>168</v>
      </c>
      <c r="U122" s="151" t="s">
        <v>168</v>
      </c>
      <c r="V122" s="151" t="s">
        <v>168</v>
      </c>
      <c r="W122" s="151" t="s">
        <v>168</v>
      </c>
      <c r="X122" s="151" t="s">
        <v>168</v>
      </c>
      <c r="Y122" s="151" t="s">
        <v>168</v>
      </c>
      <c r="Z122" s="151" t="s">
        <v>168</v>
      </c>
      <c r="AA122" s="151" t="s">
        <v>168</v>
      </c>
      <c r="AB122" s="151" t="s">
        <v>168</v>
      </c>
      <c r="AC122" s="151" t="s">
        <v>168</v>
      </c>
      <c r="AD122" s="151" t="s">
        <v>168</v>
      </c>
      <c r="AE122" s="151" t="s">
        <v>168</v>
      </c>
      <c r="AF122" s="151" t="s">
        <v>168</v>
      </c>
      <c r="AG122" s="151" t="s">
        <v>168</v>
      </c>
      <c r="AH122" s="151" t="s">
        <v>168</v>
      </c>
      <c r="AI122" s="151" t="s">
        <v>168</v>
      </c>
      <c r="AJ122" s="151" t="s">
        <v>168</v>
      </c>
      <c r="AK122" s="151" t="s">
        <v>168</v>
      </c>
      <c r="AL122" s="151" t="s">
        <v>168</v>
      </c>
      <c r="AM122" s="151" t="s">
        <v>168</v>
      </c>
      <c r="AN122" s="151" t="s">
        <v>168</v>
      </c>
      <c r="AO122" s="151" t="s">
        <v>168</v>
      </c>
      <c r="AP122" s="151">
        <v>0.11</v>
      </c>
      <c r="AQ122" s="151">
        <v>0.11</v>
      </c>
      <c r="AR122" s="151">
        <v>0.1</v>
      </c>
      <c r="AS122" s="151">
        <v>0.12</v>
      </c>
      <c r="AT122" s="151">
        <v>0.11</v>
      </c>
      <c r="AU122" s="151">
        <v>0.11</v>
      </c>
      <c r="AV122" s="151">
        <v>0.14000000000000001</v>
      </c>
      <c r="AW122" s="151">
        <v>0.11</v>
      </c>
      <c r="AX122" s="151">
        <v>0.11</v>
      </c>
      <c r="AY122" s="151">
        <v>0.11</v>
      </c>
      <c r="AZ122" s="151">
        <v>0.1</v>
      </c>
      <c r="BA122" s="151">
        <v>9.5000000000000001E-2</v>
      </c>
      <c r="BB122" s="151">
        <v>8.7999999999999995E-2</v>
      </c>
      <c r="BC122" s="151">
        <v>8.8999999999999996E-2</v>
      </c>
      <c r="BD122" s="151">
        <v>0.09</v>
      </c>
      <c r="BE122" s="151">
        <v>8.7999999999999995E-2</v>
      </c>
      <c r="BF122" s="151">
        <v>7.9000000000000001E-2</v>
      </c>
      <c r="BG122" s="151">
        <v>9.0999999999999998E-2</v>
      </c>
      <c r="BH122" s="151">
        <v>9.2999999999999999E-2</v>
      </c>
      <c r="BI122" s="151">
        <v>9.7000000000000003E-2</v>
      </c>
      <c r="BJ122" s="151">
        <v>8.3000000000000004E-2</v>
      </c>
      <c r="BK122" s="151">
        <v>8.3000000000000004E-2</v>
      </c>
      <c r="BL122" s="151">
        <v>7.0999999999999994E-2</v>
      </c>
      <c r="BM122" s="151">
        <v>9.8000000000000004E-2</v>
      </c>
      <c r="BN122" s="151">
        <v>0.105</v>
      </c>
      <c r="BO122" s="151">
        <v>0.111</v>
      </c>
      <c r="BP122" s="151">
        <v>7.1999999999999995E-2</v>
      </c>
      <c r="BQ122" s="151">
        <v>6.5000000000000002E-2</v>
      </c>
      <c r="BR122" s="151">
        <v>6.9000000000000006E-2</v>
      </c>
      <c r="BS122" s="151">
        <v>7.0000000000000007E-2</v>
      </c>
      <c r="BT122" s="115">
        <f t="shared" si="440"/>
        <v>7.0000000000000007E-2</v>
      </c>
      <c r="BU122" s="115">
        <f t="shared" si="440"/>
        <v>7.0000000000000007E-2</v>
      </c>
      <c r="BV122" s="115">
        <f t="shared" si="440"/>
        <v>7.0000000000000007E-2</v>
      </c>
      <c r="BW122" s="115">
        <f t="shared" si="440"/>
        <v>7.0000000000000007E-2</v>
      </c>
      <c r="BX122" s="115">
        <f t="shared" si="441"/>
        <v>7.0000000000000007E-2</v>
      </c>
      <c r="BY122" s="115">
        <f t="shared" si="442"/>
        <v>7.0000000000000007E-2</v>
      </c>
      <c r="BZ122" s="115">
        <f t="shared" si="443"/>
        <v>7.0000000000000007E-2</v>
      </c>
      <c r="CA122" s="115">
        <f t="shared" si="444"/>
        <v>7.0000000000000007E-2</v>
      </c>
      <c r="CB122" s="115">
        <f t="shared" si="445"/>
        <v>7.0000000000000007E-2</v>
      </c>
      <c r="CC122" s="115">
        <f t="shared" si="446"/>
        <v>7.0000000000000007E-2</v>
      </c>
      <c r="CD122" s="115">
        <f t="shared" si="447"/>
        <v>7.0000000000000007E-2</v>
      </c>
      <c r="CE122" s="115">
        <f t="shared" si="448"/>
        <v>7.0000000000000007E-2</v>
      </c>
      <c r="CF122" s="4"/>
      <c r="CG122" s="4"/>
      <c r="CH122" s="4"/>
      <c r="CI122" s="4"/>
      <c r="CJ122" s="4"/>
      <c r="CK122" s="4"/>
      <c r="CL122" s="4"/>
      <c r="CM122" s="4"/>
      <c r="CN122" s="240">
        <f t="shared" si="315"/>
        <v>115</v>
      </c>
    </row>
    <row r="123" spans="1:92" hidden="1" outlineLevel="2">
      <c r="A123" s="144"/>
      <c r="B123" s="39" t="s">
        <v>12</v>
      </c>
      <c r="C123" s="151">
        <v>0.08</v>
      </c>
      <c r="D123" s="151">
        <v>7.0000000000000007E-2</v>
      </c>
      <c r="E123" s="151">
        <v>0.08</v>
      </c>
      <c r="F123" s="151">
        <v>7.0000000000000007E-2</v>
      </c>
      <c r="G123" s="151">
        <v>0.05</v>
      </c>
      <c r="H123" s="151">
        <v>0.04</v>
      </c>
      <c r="I123" s="151">
        <v>0.04</v>
      </c>
      <c r="J123" s="151">
        <v>0.04</v>
      </c>
      <c r="K123" s="151">
        <v>0.03</v>
      </c>
      <c r="L123" s="62">
        <f t="shared" si="439"/>
        <v>4.2152949740473469E-2</v>
      </c>
      <c r="M123" s="62">
        <f t="shared" si="439"/>
        <v>5.122574742034694E-2</v>
      </c>
      <c r="N123" s="62">
        <f t="shared" si="439"/>
        <v>1.8154782986998089E-2</v>
      </c>
      <c r="O123" s="125">
        <f t="shared" si="439"/>
        <v>2.0000000000000007E-2</v>
      </c>
      <c r="P123" s="125">
        <f t="shared" si="439"/>
        <v>0.02</v>
      </c>
      <c r="Q123" s="125">
        <f t="shared" si="439"/>
        <v>1.9999999999999997E-2</v>
      </c>
      <c r="R123" s="151"/>
      <c r="S123" s="4"/>
      <c r="T123" s="151" t="s">
        <v>168</v>
      </c>
      <c r="U123" s="151" t="s">
        <v>168</v>
      </c>
      <c r="V123" s="151" t="s">
        <v>168</v>
      </c>
      <c r="W123" s="151" t="s">
        <v>168</v>
      </c>
      <c r="X123" s="151" t="s">
        <v>168</v>
      </c>
      <c r="Y123" s="151" t="s">
        <v>168</v>
      </c>
      <c r="Z123" s="151" t="s">
        <v>168</v>
      </c>
      <c r="AA123" s="151" t="s">
        <v>168</v>
      </c>
      <c r="AB123" s="151" t="s">
        <v>168</v>
      </c>
      <c r="AC123" s="151" t="s">
        <v>168</v>
      </c>
      <c r="AD123" s="151" t="s">
        <v>168</v>
      </c>
      <c r="AE123" s="151" t="s">
        <v>168</v>
      </c>
      <c r="AF123" s="151" t="s">
        <v>168</v>
      </c>
      <c r="AG123" s="151" t="s">
        <v>168</v>
      </c>
      <c r="AH123" s="151" t="s">
        <v>168</v>
      </c>
      <c r="AI123" s="151" t="s">
        <v>168</v>
      </c>
      <c r="AJ123" s="151" t="s">
        <v>168</v>
      </c>
      <c r="AK123" s="151" t="s">
        <v>168</v>
      </c>
      <c r="AL123" s="151" t="s">
        <v>168</v>
      </c>
      <c r="AM123" s="151" t="s">
        <v>168</v>
      </c>
      <c r="AN123" s="151" t="s">
        <v>168</v>
      </c>
      <c r="AO123" s="151" t="s">
        <v>168</v>
      </c>
      <c r="AP123" s="151" t="s">
        <v>168</v>
      </c>
      <c r="AQ123" s="151" t="s">
        <v>168</v>
      </c>
      <c r="AR123" s="151" t="s">
        <v>168</v>
      </c>
      <c r="AS123" s="151" t="s">
        <v>168</v>
      </c>
      <c r="AT123" s="151" t="s">
        <v>168</v>
      </c>
      <c r="AU123" s="151" t="s">
        <v>168</v>
      </c>
      <c r="AV123" s="151" t="s">
        <v>168</v>
      </c>
      <c r="AW123" s="151" t="s">
        <v>168</v>
      </c>
      <c r="AX123" s="151" t="s">
        <v>168</v>
      </c>
      <c r="AY123" s="151">
        <v>0.04</v>
      </c>
      <c r="AZ123" s="151">
        <v>0.05</v>
      </c>
      <c r="BA123" s="151" t="s">
        <v>168</v>
      </c>
      <c r="BB123" s="151" t="s">
        <v>168</v>
      </c>
      <c r="BC123" s="151" t="s">
        <v>168</v>
      </c>
      <c r="BD123" s="151">
        <v>3.5000000000000003E-2</v>
      </c>
      <c r="BE123" s="151" t="s">
        <v>168</v>
      </c>
      <c r="BF123" s="151" t="s">
        <v>168</v>
      </c>
      <c r="BG123" s="151">
        <v>0.04</v>
      </c>
      <c r="BH123" s="151">
        <v>3.6999999999999998E-2</v>
      </c>
      <c r="BI123" s="151">
        <v>5.2999999999999999E-2</v>
      </c>
      <c r="BJ123" s="151">
        <v>4.2999999999999997E-2</v>
      </c>
      <c r="BK123" s="151">
        <v>3.6999999999999998E-2</v>
      </c>
      <c r="BL123" s="151">
        <v>3.6999999999999998E-2</v>
      </c>
      <c r="BM123" s="151">
        <v>5.6000000000000001E-2</v>
      </c>
      <c r="BN123" s="151">
        <v>7.8E-2</v>
      </c>
      <c r="BO123" s="151">
        <v>3.9E-2</v>
      </c>
      <c r="BP123" s="151">
        <v>2.9000000000000001E-2</v>
      </c>
      <c r="BQ123" s="151">
        <v>2.3E-2</v>
      </c>
      <c r="BR123" s="151">
        <v>2.5999999999999999E-2</v>
      </c>
      <c r="BS123" s="151">
        <v>0.02</v>
      </c>
      <c r="BT123" s="115">
        <f t="shared" si="440"/>
        <v>0.02</v>
      </c>
      <c r="BU123" s="115">
        <f t="shared" si="440"/>
        <v>0.02</v>
      </c>
      <c r="BV123" s="115">
        <f t="shared" si="440"/>
        <v>0.02</v>
      </c>
      <c r="BW123" s="115">
        <f t="shared" si="440"/>
        <v>0.02</v>
      </c>
      <c r="BX123" s="115">
        <f t="shared" si="441"/>
        <v>0.02</v>
      </c>
      <c r="BY123" s="115">
        <f t="shared" si="442"/>
        <v>0.02</v>
      </c>
      <c r="BZ123" s="115">
        <f t="shared" si="443"/>
        <v>0.02</v>
      </c>
      <c r="CA123" s="115">
        <f t="shared" si="444"/>
        <v>0.02</v>
      </c>
      <c r="CB123" s="115">
        <f t="shared" si="445"/>
        <v>0.02</v>
      </c>
      <c r="CC123" s="115">
        <f t="shared" si="446"/>
        <v>0.02</v>
      </c>
      <c r="CD123" s="115">
        <f t="shared" si="447"/>
        <v>0.02</v>
      </c>
      <c r="CE123" s="115">
        <f t="shared" si="448"/>
        <v>0.02</v>
      </c>
      <c r="CF123" s="4"/>
      <c r="CG123" s="4"/>
      <c r="CH123" s="4"/>
      <c r="CI123" s="4"/>
      <c r="CJ123" s="4"/>
      <c r="CK123" s="4"/>
      <c r="CL123" s="4"/>
      <c r="CM123" s="4"/>
      <c r="CN123" s="240">
        <f t="shared" si="315"/>
        <v>116</v>
      </c>
    </row>
    <row r="124" spans="1:92" hidden="1" outlineLevel="2">
      <c r="A124" s="144"/>
      <c r="B124" s="39" t="s">
        <v>10</v>
      </c>
      <c r="C124" s="151">
        <v>0.13</v>
      </c>
      <c r="D124" s="151">
        <v>0.13</v>
      </c>
      <c r="E124" s="151">
        <v>0.11</v>
      </c>
      <c r="F124" s="151">
        <v>0.08</v>
      </c>
      <c r="G124" s="151">
        <v>0.08</v>
      </c>
      <c r="H124" s="151">
        <v>0.06</v>
      </c>
      <c r="I124" s="151">
        <v>0.05</v>
      </c>
      <c r="J124" s="151">
        <v>0.04</v>
      </c>
      <c r="K124" s="151">
        <v>0.04</v>
      </c>
      <c r="L124" s="62">
        <f t="shared" si="439"/>
        <v>3.5653926129889858E-2</v>
      </c>
      <c r="M124" s="62">
        <f t="shared" si="439"/>
        <v>1.5620406214762114E-2</v>
      </c>
      <c r="N124" s="62">
        <f t="shared" si="439"/>
        <v>1.8971594638255245E-2</v>
      </c>
      <c r="O124" s="125">
        <f t="shared" si="439"/>
        <v>2.3000000000000007E-2</v>
      </c>
      <c r="P124" s="125">
        <f t="shared" si="439"/>
        <v>2.2999999999999996E-2</v>
      </c>
      <c r="Q124" s="125">
        <f t="shared" si="439"/>
        <v>2.2999999999999996E-2</v>
      </c>
      <c r="R124" s="151"/>
      <c r="S124" s="4"/>
      <c r="T124" s="151" t="s">
        <v>168</v>
      </c>
      <c r="U124" s="151" t="s">
        <v>168</v>
      </c>
      <c r="V124" s="151" t="s">
        <v>168</v>
      </c>
      <c r="W124" s="151" t="s">
        <v>168</v>
      </c>
      <c r="X124" s="151" t="s">
        <v>168</v>
      </c>
      <c r="Y124" s="151" t="s">
        <v>168</v>
      </c>
      <c r="Z124" s="151">
        <v>0.12</v>
      </c>
      <c r="AA124" s="151" t="s">
        <v>168</v>
      </c>
      <c r="AB124" s="151" t="s">
        <v>168</v>
      </c>
      <c r="AC124" s="151" t="s">
        <v>168</v>
      </c>
      <c r="AD124" s="151" t="s">
        <v>168</v>
      </c>
      <c r="AE124" s="151" t="s">
        <v>168</v>
      </c>
      <c r="AF124" s="151" t="s">
        <v>168</v>
      </c>
      <c r="AG124" s="151" t="s">
        <v>168</v>
      </c>
      <c r="AH124" s="151" t="s">
        <v>168</v>
      </c>
      <c r="AI124" s="151" t="s">
        <v>168</v>
      </c>
      <c r="AJ124" s="151" t="s">
        <v>168</v>
      </c>
      <c r="AK124" s="151" t="s">
        <v>168</v>
      </c>
      <c r="AL124" s="151" t="s">
        <v>168</v>
      </c>
      <c r="AM124" s="151" t="s">
        <v>168</v>
      </c>
      <c r="AN124" s="151" t="s">
        <v>168</v>
      </c>
      <c r="AO124" s="151" t="s">
        <v>168</v>
      </c>
      <c r="AP124" s="151" t="s">
        <v>168</v>
      </c>
      <c r="AQ124" s="151" t="s">
        <v>168</v>
      </c>
      <c r="AR124" s="151" t="s">
        <v>168</v>
      </c>
      <c r="AS124" s="151" t="s">
        <v>168</v>
      </c>
      <c r="AT124" s="151">
        <v>0.06</v>
      </c>
      <c r="AU124" s="151" t="s">
        <v>168</v>
      </c>
      <c r="AV124" s="151" t="s">
        <v>168</v>
      </c>
      <c r="AW124" s="151" t="s">
        <v>168</v>
      </c>
      <c r="AX124" s="151" t="s">
        <v>168</v>
      </c>
      <c r="AY124" s="151">
        <v>0.05</v>
      </c>
      <c r="AZ124" s="151">
        <v>0.05</v>
      </c>
      <c r="BA124" s="151">
        <v>4.4999999999999998E-2</v>
      </c>
      <c r="BB124" s="151" t="s">
        <v>168</v>
      </c>
      <c r="BC124" s="151" t="s">
        <v>168</v>
      </c>
      <c r="BD124" s="151">
        <v>4.4999999999999998E-2</v>
      </c>
      <c r="BE124" s="151">
        <v>4.2999999999999997E-2</v>
      </c>
      <c r="BF124" s="151">
        <v>4.8000000000000001E-2</v>
      </c>
      <c r="BG124" s="151">
        <v>0.04</v>
      </c>
      <c r="BH124" s="151">
        <v>3.9E-2</v>
      </c>
      <c r="BI124" s="151">
        <v>3.5999999999999997E-2</v>
      </c>
      <c r="BJ124" s="151">
        <v>3.4000000000000002E-2</v>
      </c>
      <c r="BK124" s="151">
        <v>3.2000000000000001E-2</v>
      </c>
      <c r="BL124" s="151">
        <v>3.1E-2</v>
      </c>
      <c r="BM124" s="151" t="s">
        <v>168</v>
      </c>
      <c r="BN124" s="151" t="str">
        <f t="shared" ref="BN124:BW124" si="449">BM124</f>
        <v>ND</v>
      </c>
      <c r="BO124" s="151">
        <v>2.5000000000000001E-2</v>
      </c>
      <c r="BP124" s="151">
        <v>1.7999999999999999E-2</v>
      </c>
      <c r="BQ124" s="151">
        <v>1.6E-2</v>
      </c>
      <c r="BR124" s="151">
        <v>1.7999999999999999E-2</v>
      </c>
      <c r="BS124" s="151">
        <v>2.3E-2</v>
      </c>
      <c r="BT124" s="115">
        <f t="shared" si="449"/>
        <v>2.3E-2</v>
      </c>
      <c r="BU124" s="115">
        <f t="shared" si="449"/>
        <v>2.3E-2</v>
      </c>
      <c r="BV124" s="115">
        <f t="shared" si="449"/>
        <v>2.3E-2</v>
      </c>
      <c r="BW124" s="115">
        <f t="shared" si="449"/>
        <v>2.3E-2</v>
      </c>
      <c r="BX124" s="115">
        <f t="shared" si="441"/>
        <v>2.3E-2</v>
      </c>
      <c r="BY124" s="115">
        <f t="shared" si="442"/>
        <v>2.3E-2</v>
      </c>
      <c r="BZ124" s="115">
        <f t="shared" si="443"/>
        <v>2.3E-2</v>
      </c>
      <c r="CA124" s="115">
        <f t="shared" si="444"/>
        <v>2.3E-2</v>
      </c>
      <c r="CB124" s="115">
        <f t="shared" si="445"/>
        <v>2.3E-2</v>
      </c>
      <c r="CC124" s="115">
        <f t="shared" si="446"/>
        <v>2.3E-2</v>
      </c>
      <c r="CD124" s="115">
        <f t="shared" si="447"/>
        <v>2.3E-2</v>
      </c>
      <c r="CE124" s="115">
        <f t="shared" si="448"/>
        <v>2.3E-2</v>
      </c>
      <c r="CF124" s="4"/>
      <c r="CG124" s="4"/>
      <c r="CH124" s="4"/>
      <c r="CI124" s="4"/>
      <c r="CJ124" s="4"/>
      <c r="CK124" s="4"/>
      <c r="CL124" s="4"/>
      <c r="CM124" s="4"/>
      <c r="CN124" s="240">
        <f t="shared" si="315"/>
        <v>117</v>
      </c>
    </row>
    <row r="125" spans="1:92" hidden="1" outlineLevel="2">
      <c r="A125" s="144"/>
      <c r="B125" s="39" t="s">
        <v>13</v>
      </c>
      <c r="C125" s="151">
        <v>0.11</v>
      </c>
      <c r="D125" s="151">
        <v>0.1</v>
      </c>
      <c r="E125" s="151">
        <v>7.0000000000000007E-2</v>
      </c>
      <c r="F125" s="151">
        <v>0.08</v>
      </c>
      <c r="G125" s="151">
        <v>0.05</v>
      </c>
      <c r="H125" s="151">
        <v>0.04</v>
      </c>
      <c r="I125" s="151">
        <v>0.04</v>
      </c>
      <c r="J125" s="151">
        <v>0.04</v>
      </c>
      <c r="K125" s="151">
        <v>0.03</v>
      </c>
      <c r="L125" s="151">
        <v>0.03</v>
      </c>
      <c r="M125" s="151">
        <v>0.03</v>
      </c>
      <c r="N125" s="62" t="s">
        <v>168</v>
      </c>
      <c r="O125" s="125">
        <f>+O134/O$12</f>
        <v>0</v>
      </c>
      <c r="P125" s="125">
        <f>+P134/P$12</f>
        <v>0</v>
      </c>
      <c r="Q125" s="125">
        <f>+Q134/Q$12</f>
        <v>0</v>
      </c>
      <c r="R125" s="151"/>
      <c r="S125" s="4"/>
      <c r="T125" s="151" t="s">
        <v>168</v>
      </c>
      <c r="U125" s="151" t="s">
        <v>168</v>
      </c>
      <c r="V125" s="151" t="s">
        <v>168</v>
      </c>
      <c r="W125" s="151" t="s">
        <v>168</v>
      </c>
      <c r="X125" s="151" t="s">
        <v>168</v>
      </c>
      <c r="Y125" s="151" t="s">
        <v>168</v>
      </c>
      <c r="Z125" s="151" t="s">
        <v>168</v>
      </c>
      <c r="AA125" s="151" t="s">
        <v>168</v>
      </c>
      <c r="AB125" s="151" t="s">
        <v>168</v>
      </c>
      <c r="AC125" s="151" t="s">
        <v>168</v>
      </c>
      <c r="AD125" s="151" t="s">
        <v>168</v>
      </c>
      <c r="AE125" s="151" t="s">
        <v>168</v>
      </c>
      <c r="AF125" s="151" t="s">
        <v>168</v>
      </c>
      <c r="AG125" s="151" t="s">
        <v>168</v>
      </c>
      <c r="AH125" s="151" t="s">
        <v>168</v>
      </c>
      <c r="AI125" s="151" t="s">
        <v>168</v>
      </c>
      <c r="AJ125" s="151" t="s">
        <v>168</v>
      </c>
      <c r="AK125" s="151" t="s">
        <v>168</v>
      </c>
      <c r="AL125" s="151" t="s">
        <v>168</v>
      </c>
      <c r="AM125" s="151" t="s">
        <v>168</v>
      </c>
      <c r="AN125" s="151" t="s">
        <v>168</v>
      </c>
      <c r="AO125" s="151" t="s">
        <v>168</v>
      </c>
      <c r="AP125" s="151" t="s">
        <v>168</v>
      </c>
      <c r="AQ125" s="151" t="s">
        <v>168</v>
      </c>
      <c r="AR125" s="151" t="s">
        <v>168</v>
      </c>
      <c r="AS125" s="151" t="s">
        <v>168</v>
      </c>
      <c r="AT125" s="151" t="s">
        <v>168</v>
      </c>
      <c r="AU125" s="151" t="s">
        <v>168</v>
      </c>
      <c r="AV125" s="151" t="s">
        <v>168</v>
      </c>
      <c r="AW125" s="151" t="s">
        <v>168</v>
      </c>
      <c r="AX125" s="151" t="s">
        <v>168</v>
      </c>
      <c r="AY125" s="151" t="s">
        <v>168</v>
      </c>
      <c r="AZ125" s="151">
        <v>0.03</v>
      </c>
      <c r="BA125" s="151">
        <v>3.9E-2</v>
      </c>
      <c r="BB125" s="151" t="s">
        <v>168</v>
      </c>
      <c r="BC125" s="151" t="s">
        <v>168</v>
      </c>
      <c r="BD125" s="151">
        <v>0.03</v>
      </c>
      <c r="BE125" s="151">
        <v>3.5999999999999997E-2</v>
      </c>
      <c r="BF125" s="151" t="s">
        <v>168</v>
      </c>
      <c r="BG125" s="151" t="s">
        <v>168</v>
      </c>
      <c r="BH125" s="151" t="s">
        <v>168</v>
      </c>
      <c r="BI125" s="151" t="s">
        <v>168</v>
      </c>
      <c r="BJ125" s="151" t="s">
        <v>168</v>
      </c>
      <c r="BK125" s="151" t="str">
        <f t="shared" ref="BK125:BW126" si="450">BJ125</f>
        <v>ND</v>
      </c>
      <c r="BL125" s="151" t="str">
        <f t="shared" si="450"/>
        <v>ND</v>
      </c>
      <c r="BM125" s="151" t="str">
        <f t="shared" si="450"/>
        <v>ND</v>
      </c>
      <c r="BN125" s="151" t="str">
        <f t="shared" si="450"/>
        <v>ND</v>
      </c>
      <c r="BO125" s="151" t="s">
        <v>168</v>
      </c>
      <c r="BP125" s="151" t="s">
        <v>168</v>
      </c>
      <c r="BQ125" s="151" t="s">
        <v>168</v>
      </c>
      <c r="BR125" s="151" t="s">
        <v>168</v>
      </c>
      <c r="BS125" s="151" t="str">
        <f t="shared" si="450"/>
        <v>ND</v>
      </c>
      <c r="BT125" s="115" t="str">
        <f t="shared" si="450"/>
        <v>ND</v>
      </c>
      <c r="BU125" s="115" t="str">
        <f t="shared" si="450"/>
        <v>ND</v>
      </c>
      <c r="BV125" s="115" t="str">
        <f t="shared" si="450"/>
        <v>ND</v>
      </c>
      <c r="BW125" s="115" t="str">
        <f t="shared" si="450"/>
        <v>ND</v>
      </c>
      <c r="BX125" s="115" t="str">
        <f t="shared" si="441"/>
        <v>ND</v>
      </c>
      <c r="BY125" s="115" t="str">
        <f t="shared" si="442"/>
        <v>ND</v>
      </c>
      <c r="BZ125" s="115" t="str">
        <f t="shared" si="443"/>
        <v>ND</v>
      </c>
      <c r="CA125" s="115" t="str">
        <f t="shared" si="444"/>
        <v>ND</v>
      </c>
      <c r="CB125" s="115" t="str">
        <f t="shared" si="445"/>
        <v>ND</v>
      </c>
      <c r="CC125" s="115" t="str">
        <f t="shared" si="446"/>
        <v>ND</v>
      </c>
      <c r="CD125" s="115" t="str">
        <f t="shared" si="447"/>
        <v>ND</v>
      </c>
      <c r="CE125" s="115" t="str">
        <f t="shared" si="448"/>
        <v>ND</v>
      </c>
      <c r="CF125" s="4"/>
      <c r="CG125" s="4"/>
      <c r="CH125" s="4"/>
      <c r="CI125" s="4"/>
      <c r="CJ125" s="4"/>
      <c r="CK125" s="4"/>
      <c r="CL125" s="4"/>
      <c r="CM125" s="4"/>
      <c r="CN125" s="240">
        <f t="shared" si="315"/>
        <v>118</v>
      </c>
    </row>
    <row r="126" spans="1:92" hidden="1" outlineLevel="2">
      <c r="A126" s="144"/>
      <c r="B126" s="39" t="s">
        <v>275</v>
      </c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25"/>
      <c r="P126" s="125"/>
      <c r="Q126" s="125"/>
      <c r="R126" s="151"/>
      <c r="S126" s="4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>
        <v>4.2000000000000003E-2</v>
      </c>
      <c r="BN126" s="151">
        <v>3.3000000000000002E-2</v>
      </c>
      <c r="BO126" s="151">
        <v>0.02</v>
      </c>
      <c r="BP126" s="151" t="s">
        <v>168</v>
      </c>
      <c r="BQ126" s="151" t="s">
        <v>168</v>
      </c>
      <c r="BR126" s="151" t="s">
        <v>168</v>
      </c>
      <c r="BS126" s="151" t="str">
        <f t="shared" si="450"/>
        <v>ND</v>
      </c>
      <c r="BT126" s="115" t="str">
        <f t="shared" si="450"/>
        <v>ND</v>
      </c>
      <c r="BU126" s="115" t="str">
        <f t="shared" si="450"/>
        <v>ND</v>
      </c>
      <c r="BV126" s="115" t="str">
        <f t="shared" si="450"/>
        <v>ND</v>
      </c>
      <c r="BW126" s="115" t="str">
        <f t="shared" si="450"/>
        <v>ND</v>
      </c>
      <c r="BX126" s="115" t="str">
        <f t="shared" si="441"/>
        <v>ND</v>
      </c>
      <c r="BY126" s="115" t="str">
        <f t="shared" si="442"/>
        <v>ND</v>
      </c>
      <c r="BZ126" s="115" t="str">
        <f t="shared" si="443"/>
        <v>ND</v>
      </c>
      <c r="CA126" s="115" t="str">
        <f t="shared" si="444"/>
        <v>ND</v>
      </c>
      <c r="CB126" s="115" t="str">
        <f t="shared" si="445"/>
        <v>ND</v>
      </c>
      <c r="CC126" s="115" t="str">
        <f t="shared" si="446"/>
        <v>ND</v>
      </c>
      <c r="CD126" s="115" t="str">
        <f t="shared" si="447"/>
        <v>ND</v>
      </c>
      <c r="CE126" s="115" t="str">
        <f t="shared" si="448"/>
        <v>ND</v>
      </c>
      <c r="CF126" s="4"/>
      <c r="CG126" s="4"/>
      <c r="CH126" s="4"/>
      <c r="CI126" s="4"/>
      <c r="CJ126" s="4"/>
      <c r="CK126" s="4"/>
      <c r="CL126" s="4"/>
      <c r="CM126" s="4"/>
      <c r="CN126" s="240">
        <f t="shared" si="315"/>
        <v>119</v>
      </c>
    </row>
    <row r="127" spans="1:92" hidden="1" outlineLevel="2">
      <c r="A127" s="144"/>
      <c r="B127" s="39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116"/>
      <c r="P127" s="116"/>
      <c r="Q127" s="116"/>
      <c r="R127" s="48"/>
      <c r="S127" s="4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  <c r="BB127" s="48"/>
      <c r="BC127" s="48"/>
      <c r="BD127" s="48"/>
      <c r="BE127" s="48"/>
      <c r="BF127" s="48"/>
      <c r="BG127" s="48"/>
      <c r="BH127" s="48"/>
      <c r="BI127" s="48"/>
      <c r="BJ127" s="48"/>
      <c r="BK127" s="48"/>
      <c r="BL127" s="48"/>
      <c r="BM127" s="151"/>
      <c r="BN127" s="151"/>
      <c r="BO127" s="151"/>
      <c r="BP127" s="151"/>
      <c r="BQ127" s="151"/>
      <c r="BR127" s="151"/>
      <c r="BS127" s="151"/>
      <c r="BT127" s="203"/>
      <c r="BU127" s="203"/>
      <c r="BV127" s="203"/>
      <c r="BW127" s="203"/>
      <c r="BX127" s="203"/>
      <c r="BY127" s="203"/>
      <c r="BZ127" s="203"/>
      <c r="CA127" s="203"/>
      <c r="CB127" s="203"/>
      <c r="CC127" s="203"/>
      <c r="CD127" s="203"/>
      <c r="CE127" s="203"/>
      <c r="CF127" s="4"/>
      <c r="CG127" s="4"/>
      <c r="CH127" s="4"/>
      <c r="CI127" s="4"/>
      <c r="CJ127" s="4"/>
      <c r="CK127" s="4"/>
      <c r="CL127" s="4"/>
      <c r="CM127" s="4"/>
      <c r="CN127" s="240">
        <f t="shared" si="315"/>
        <v>120</v>
      </c>
    </row>
    <row r="128" spans="1:92" hidden="1" outlineLevel="2">
      <c r="A128" s="144"/>
      <c r="B128" s="40" t="s">
        <v>171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117"/>
      <c r="P128" s="117"/>
      <c r="Q128" s="117"/>
      <c r="R128" s="39"/>
      <c r="S128" s="4"/>
      <c r="T128" s="4"/>
      <c r="U128" s="4"/>
      <c r="V128" s="4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57"/>
      <c r="BA128" s="57"/>
      <c r="BB128" s="57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71"/>
      <c r="BQ128" s="171"/>
      <c r="BR128" s="171"/>
      <c r="BS128" s="158"/>
      <c r="BT128" s="203"/>
      <c r="BU128" s="203"/>
      <c r="BV128" s="203"/>
      <c r="BW128" s="203"/>
      <c r="BX128" s="203"/>
      <c r="BY128" s="203"/>
      <c r="BZ128" s="203"/>
      <c r="CA128" s="203"/>
      <c r="CB128" s="203"/>
      <c r="CC128" s="203"/>
      <c r="CD128" s="203"/>
      <c r="CE128" s="203"/>
      <c r="CF128" s="4"/>
      <c r="CG128" s="4"/>
      <c r="CH128" s="4"/>
      <c r="CI128" s="4"/>
      <c r="CJ128" s="4"/>
      <c r="CK128" s="4"/>
      <c r="CL128" s="4"/>
      <c r="CM128" s="4"/>
      <c r="CN128" s="240">
        <f t="shared" si="315"/>
        <v>121</v>
      </c>
    </row>
    <row r="129" spans="1:92" hidden="1" outlineLevel="2">
      <c r="A129" s="144"/>
      <c r="B129" s="39" t="s">
        <v>9</v>
      </c>
      <c r="C129" s="39"/>
      <c r="D129" s="39"/>
      <c r="E129" s="39"/>
      <c r="F129" s="61">
        <f t="shared" ref="F129:K134" si="451">IFERROR(F120*F$12,"NM")</f>
        <v>223.38794000000001</v>
      </c>
      <c r="G129" s="61">
        <f t="shared" si="451"/>
        <v>526.26432</v>
      </c>
      <c r="H129" s="61">
        <f t="shared" si="451"/>
        <v>1006.3938499999999</v>
      </c>
      <c r="I129" s="61">
        <f t="shared" si="451"/>
        <v>1030.8621900000001</v>
      </c>
      <c r="J129" s="61">
        <f t="shared" si="451"/>
        <v>1023.8189500000001</v>
      </c>
      <c r="K129" s="61">
        <f t="shared" si="451"/>
        <v>1332.3254099999999</v>
      </c>
      <c r="L129" s="61">
        <f t="shared" ref="L129:Q133" si="452">SUMIF($T$5:$CF$5,L$5,$T129:$CF129)</f>
        <v>676.43009600000005</v>
      </c>
      <c r="M129" s="61">
        <f t="shared" si="452"/>
        <v>336.72016200000002</v>
      </c>
      <c r="N129" s="241">
        <v>993.53800000000001</v>
      </c>
      <c r="O129" s="123">
        <f t="shared" si="452"/>
        <v>1276.3616366461406</v>
      </c>
      <c r="P129" s="123">
        <f t="shared" si="452"/>
        <v>1474.4552202137581</v>
      </c>
      <c r="Q129" s="123">
        <f t="shared" si="452"/>
        <v>1623.4398492821106</v>
      </c>
      <c r="R129" s="39"/>
      <c r="S129" s="4"/>
      <c r="T129" s="61">
        <f t="shared" ref="T129:AY129" si="453">IFERROR(T120*T$12,"NM")</f>
        <v>34.162100000000002</v>
      </c>
      <c r="U129" s="61">
        <f t="shared" si="453"/>
        <v>37.719650000000001</v>
      </c>
      <c r="V129" s="61">
        <f t="shared" si="453"/>
        <v>42.84637</v>
      </c>
      <c r="W129" s="61">
        <f t="shared" si="453"/>
        <v>43.499790000000004</v>
      </c>
      <c r="X129" s="61">
        <f t="shared" si="453"/>
        <v>51.689120000000003</v>
      </c>
      <c r="Y129" s="61">
        <f t="shared" si="453"/>
        <v>55.5047</v>
      </c>
      <c r="Z129" s="61">
        <f t="shared" si="453"/>
        <v>58.599420000000002</v>
      </c>
      <c r="AA129" s="61">
        <f t="shared" si="453"/>
        <v>60.926159999999996</v>
      </c>
      <c r="AB129" s="61">
        <f t="shared" si="453"/>
        <v>68.417999999999992</v>
      </c>
      <c r="AC129" s="61">
        <f t="shared" si="453"/>
        <v>68.412400000000005</v>
      </c>
      <c r="AD129" s="61">
        <f t="shared" si="453"/>
        <v>64.784399999999991</v>
      </c>
      <c r="AE129" s="61">
        <f t="shared" si="453"/>
        <v>74.4756</v>
      </c>
      <c r="AF129" s="61">
        <f t="shared" si="453"/>
        <v>80.863069999999993</v>
      </c>
      <c r="AG129" s="61">
        <f t="shared" si="453"/>
        <v>88.022489999999991</v>
      </c>
      <c r="AH129" s="61">
        <f t="shared" si="453"/>
        <v>97.258969999999991</v>
      </c>
      <c r="AI129" s="61">
        <f t="shared" si="453"/>
        <v>93.416039999999995</v>
      </c>
      <c r="AJ129" s="61">
        <f t="shared" si="453"/>
        <v>66.982980000000012</v>
      </c>
      <c r="AK129" s="61">
        <f t="shared" si="453"/>
        <v>48.266840000000002</v>
      </c>
      <c r="AL129" s="61">
        <f t="shared" si="453"/>
        <v>50.220419999999997</v>
      </c>
      <c r="AM129" s="61">
        <f t="shared" si="453"/>
        <v>57.917699999999996</v>
      </c>
      <c r="AN129" s="61">
        <f t="shared" si="453"/>
        <v>102.30911999999999</v>
      </c>
      <c r="AO129" s="61">
        <f t="shared" si="453"/>
        <v>121.39008</v>
      </c>
      <c r="AP129" s="61">
        <f t="shared" si="453"/>
        <v>145.05599999999998</v>
      </c>
      <c r="AQ129" s="61">
        <f t="shared" si="453"/>
        <v>157.50912</v>
      </c>
      <c r="AR129" s="61">
        <f t="shared" si="453"/>
        <v>190.88049999999998</v>
      </c>
      <c r="AS129" s="61">
        <f t="shared" si="453"/>
        <v>231.5145</v>
      </c>
      <c r="AT129" s="61">
        <f t="shared" si="453"/>
        <v>276.22925000000004</v>
      </c>
      <c r="AU129" s="61">
        <f t="shared" si="453"/>
        <v>265.53010000000006</v>
      </c>
      <c r="AV129" s="61">
        <f t="shared" si="453"/>
        <v>276.40635000000003</v>
      </c>
      <c r="AW129" s="61">
        <f t="shared" si="453"/>
        <v>265.05617999999998</v>
      </c>
      <c r="AX129" s="61">
        <f t="shared" si="453"/>
        <v>255.10572000000002</v>
      </c>
      <c r="AY129" s="61">
        <f t="shared" si="453"/>
        <v>258.46810000000005</v>
      </c>
      <c r="AZ129" s="61">
        <f t="shared" ref="AZ129:CE129" si="454">IFERROR(AZ120*AZ$12,"NM")</f>
        <v>221.42692000000002</v>
      </c>
      <c r="BA129" s="61">
        <f t="shared" si="454"/>
        <v>249.37347</v>
      </c>
      <c r="BB129" s="61">
        <f t="shared" si="454"/>
        <v>271.58991300000002</v>
      </c>
      <c r="BC129" s="61">
        <f t="shared" si="454"/>
        <v>272.70936</v>
      </c>
      <c r="BD129" s="61">
        <f t="shared" si="454"/>
        <v>285.96443999999997</v>
      </c>
      <c r="BE129" s="61">
        <f t="shared" si="454"/>
        <v>335.12782499999997</v>
      </c>
      <c r="BF129" s="61">
        <f t="shared" si="454"/>
        <v>361.23808799999995</v>
      </c>
      <c r="BG129" s="61">
        <f t="shared" si="454"/>
        <v>360.35741999999999</v>
      </c>
      <c r="BH129" s="61">
        <f t="shared" si="454"/>
        <v>219.38580000000005</v>
      </c>
      <c r="BI129" s="61">
        <f t="shared" si="454"/>
        <v>157.40924000000001</v>
      </c>
      <c r="BJ129" s="61">
        <f t="shared" si="454"/>
        <v>153.26009999999999</v>
      </c>
      <c r="BK129" s="61">
        <f t="shared" si="454"/>
        <v>146.37495600000003</v>
      </c>
      <c r="BL129" s="61">
        <f t="shared" si="454"/>
        <v>94.169309999999996</v>
      </c>
      <c r="BM129" s="61">
        <f t="shared" si="454"/>
        <v>59.773164000000008</v>
      </c>
      <c r="BN129" s="61">
        <f t="shared" si="454"/>
        <v>74.047163999999995</v>
      </c>
      <c r="BO129" s="61">
        <f t="shared" si="454"/>
        <v>108.73052399999999</v>
      </c>
      <c r="BP129" s="61">
        <f t="shared" si="454"/>
        <v>183.04506599999999</v>
      </c>
      <c r="BQ129" s="61">
        <f t="shared" si="454"/>
        <v>253.64315999999999</v>
      </c>
      <c r="BR129" s="61">
        <f t="shared" si="454"/>
        <v>303.794355</v>
      </c>
      <c r="BS129" s="61">
        <f t="shared" si="454"/>
        <v>252.96100799999996</v>
      </c>
      <c r="BT129" s="122">
        <f t="shared" si="454"/>
        <v>267.92437017273386</v>
      </c>
      <c r="BU129" s="122">
        <f t="shared" si="454"/>
        <v>315.71953899616187</v>
      </c>
      <c r="BV129" s="122">
        <f t="shared" si="454"/>
        <v>340.67062993927988</v>
      </c>
      <c r="BW129" s="122">
        <f t="shared" si="454"/>
        <v>352.04709753796476</v>
      </c>
      <c r="BX129" s="122">
        <f t="shared" si="454"/>
        <v>354.89562378670047</v>
      </c>
      <c r="BY129" s="122">
        <f t="shared" si="454"/>
        <v>356.59562440111779</v>
      </c>
      <c r="BZ129" s="122">
        <f t="shared" si="454"/>
        <v>370.17802972828605</v>
      </c>
      <c r="CA129" s="122">
        <f t="shared" si="454"/>
        <v>392.78594229765395</v>
      </c>
      <c r="CB129" s="122">
        <f t="shared" si="454"/>
        <v>404.1105621006152</v>
      </c>
      <c r="CC129" s="122">
        <f t="shared" si="454"/>
        <v>404.76808454430653</v>
      </c>
      <c r="CD129" s="122">
        <f t="shared" si="454"/>
        <v>406.24954286229945</v>
      </c>
      <c r="CE129" s="122">
        <f t="shared" si="454"/>
        <v>408.31165977488939</v>
      </c>
      <c r="CF129" s="4"/>
      <c r="CG129" s="4"/>
      <c r="CH129" s="4"/>
      <c r="CI129" s="4"/>
      <c r="CJ129" s="4"/>
      <c r="CK129" s="4"/>
      <c r="CL129" s="4"/>
      <c r="CM129" s="4"/>
      <c r="CN129" s="240">
        <f t="shared" si="315"/>
        <v>122</v>
      </c>
    </row>
    <row r="130" spans="1:92" hidden="1" outlineLevel="2">
      <c r="A130" s="144"/>
      <c r="B130" s="39" t="s">
        <v>167</v>
      </c>
      <c r="C130" s="39"/>
      <c r="D130" s="39"/>
      <c r="E130" s="39"/>
      <c r="F130" s="61">
        <f t="shared" si="451"/>
        <v>88.179450000000003</v>
      </c>
      <c r="G130" s="61">
        <f t="shared" si="451"/>
        <v>131.56608</v>
      </c>
      <c r="H130" s="61">
        <f t="shared" si="451"/>
        <v>219.57683999999998</v>
      </c>
      <c r="I130" s="61">
        <f t="shared" si="451"/>
        <v>272.30322000000007</v>
      </c>
      <c r="J130" s="61">
        <f t="shared" si="451"/>
        <v>297.83823999999998</v>
      </c>
      <c r="K130" s="61">
        <f t="shared" si="451"/>
        <v>350.61194999999998</v>
      </c>
      <c r="L130" s="61">
        <f t="shared" si="452"/>
        <v>230.06729000000001</v>
      </c>
      <c r="M130" s="61">
        <f t="shared" si="452"/>
        <v>169.693254</v>
      </c>
      <c r="N130" s="241">
        <v>294.60599999999999</v>
      </c>
      <c r="O130" s="123">
        <f t="shared" si="452"/>
        <v>448.45138584864389</v>
      </c>
      <c r="P130" s="123">
        <f t="shared" si="452"/>
        <v>518.05183412915824</v>
      </c>
      <c r="Q130" s="123">
        <f t="shared" si="452"/>
        <v>570.39778488290369</v>
      </c>
      <c r="R130" s="39"/>
      <c r="S130" s="4"/>
      <c r="T130" s="61" t="str">
        <f t="shared" ref="T130:AY130" si="455">IFERROR(T121*T$12,"NM")</f>
        <v>NM</v>
      </c>
      <c r="U130" s="61" t="str">
        <f t="shared" si="455"/>
        <v>NM</v>
      </c>
      <c r="V130" s="61" t="str">
        <f t="shared" si="455"/>
        <v>NM</v>
      </c>
      <c r="W130" s="61" t="str">
        <f t="shared" si="455"/>
        <v>NM</v>
      </c>
      <c r="X130" s="61" t="str">
        <f t="shared" si="455"/>
        <v>NM</v>
      </c>
      <c r="Y130" s="61" t="str">
        <f t="shared" si="455"/>
        <v>NM</v>
      </c>
      <c r="Z130" s="61" t="str">
        <f t="shared" si="455"/>
        <v>NM</v>
      </c>
      <c r="AA130" s="61" t="str">
        <f t="shared" si="455"/>
        <v>NM</v>
      </c>
      <c r="AB130" s="61" t="str">
        <f t="shared" si="455"/>
        <v>NM</v>
      </c>
      <c r="AC130" s="61" t="str">
        <f t="shared" si="455"/>
        <v>NM</v>
      </c>
      <c r="AD130" s="61" t="str">
        <f t="shared" si="455"/>
        <v>NM</v>
      </c>
      <c r="AE130" s="61" t="str">
        <f t="shared" si="455"/>
        <v>NM</v>
      </c>
      <c r="AF130" s="61" t="str">
        <f t="shared" si="455"/>
        <v>NM</v>
      </c>
      <c r="AG130" s="61" t="str">
        <f t="shared" si="455"/>
        <v>NM</v>
      </c>
      <c r="AH130" s="61" t="str">
        <f t="shared" si="455"/>
        <v>NM</v>
      </c>
      <c r="AI130" s="61" t="str">
        <f t="shared" si="455"/>
        <v>NM</v>
      </c>
      <c r="AJ130" s="61" t="str">
        <f t="shared" si="455"/>
        <v>NM</v>
      </c>
      <c r="AK130" s="61" t="str">
        <f t="shared" si="455"/>
        <v>NM</v>
      </c>
      <c r="AL130" s="61" t="str">
        <f t="shared" si="455"/>
        <v>NM</v>
      </c>
      <c r="AM130" s="61" t="str">
        <f t="shared" si="455"/>
        <v>NM</v>
      </c>
      <c r="AN130" s="61" t="str">
        <f t="shared" si="455"/>
        <v>NM</v>
      </c>
      <c r="AO130" s="61" t="str">
        <f t="shared" si="455"/>
        <v>NM</v>
      </c>
      <c r="AP130" s="61" t="str">
        <f t="shared" si="455"/>
        <v>NM</v>
      </c>
      <c r="AQ130" s="61" t="str">
        <f t="shared" si="455"/>
        <v>NM</v>
      </c>
      <c r="AR130" s="61" t="str">
        <f t="shared" si="455"/>
        <v>NM</v>
      </c>
      <c r="AS130" s="61" t="str">
        <f t="shared" si="455"/>
        <v>NM</v>
      </c>
      <c r="AT130" s="61">
        <f t="shared" si="455"/>
        <v>55.245850000000004</v>
      </c>
      <c r="AU130" s="61" t="str">
        <f t="shared" si="455"/>
        <v>NM</v>
      </c>
      <c r="AV130" s="61" t="str">
        <f t="shared" si="455"/>
        <v>NM</v>
      </c>
      <c r="AW130" s="61">
        <f t="shared" si="455"/>
        <v>70.014840000000007</v>
      </c>
      <c r="AX130" s="61">
        <f t="shared" si="455"/>
        <v>70.862700000000004</v>
      </c>
      <c r="AY130" s="61">
        <f t="shared" si="455"/>
        <v>70.491299999999995</v>
      </c>
      <c r="AZ130" s="61">
        <f t="shared" ref="AZ130:CE130" si="456">IFERROR(AZ121*AZ$12,"NM")</f>
        <v>68.131360000000001</v>
      </c>
      <c r="BA130" s="61">
        <f t="shared" si="456"/>
        <v>65.889503999999988</v>
      </c>
      <c r="BB130" s="61">
        <f t="shared" si="456"/>
        <v>75.632633999999996</v>
      </c>
      <c r="BC130" s="61">
        <f t="shared" si="456"/>
        <v>75.969036000000003</v>
      </c>
      <c r="BD130" s="61">
        <f t="shared" si="456"/>
        <v>75.253799999999998</v>
      </c>
      <c r="BE130" s="61">
        <f t="shared" si="456"/>
        <v>88.590311999999997</v>
      </c>
      <c r="BF130" s="61">
        <f t="shared" si="456"/>
        <v>96.826703999999992</v>
      </c>
      <c r="BG130" s="61">
        <f t="shared" si="456"/>
        <v>97.991929999999996</v>
      </c>
      <c r="BH130" s="61">
        <f t="shared" si="456"/>
        <v>73.534869999999998</v>
      </c>
      <c r="BI130" s="61">
        <f t="shared" si="456"/>
        <v>52.370559999999998</v>
      </c>
      <c r="BJ130" s="61">
        <f t="shared" si="456"/>
        <v>54.297863999999997</v>
      </c>
      <c r="BK130" s="61">
        <f t="shared" si="456"/>
        <v>49.863996</v>
      </c>
      <c r="BL130" s="61">
        <f t="shared" si="456"/>
        <v>42.546374999999998</v>
      </c>
      <c r="BM130" s="61">
        <f t="shared" si="456"/>
        <v>35.034510000000004</v>
      </c>
      <c r="BN130" s="61">
        <f t="shared" si="456"/>
        <v>42.388043999999994</v>
      </c>
      <c r="BO130" s="61">
        <f t="shared" si="456"/>
        <v>49.724325</v>
      </c>
      <c r="BP130" s="61">
        <f t="shared" si="456"/>
        <v>52.468943999999993</v>
      </c>
      <c r="BQ130" s="61">
        <f t="shared" si="456"/>
        <v>71.785799999999995</v>
      </c>
      <c r="BR130" s="61">
        <f t="shared" si="456"/>
        <v>81.482826999999986</v>
      </c>
      <c r="BS130" s="61">
        <f t="shared" si="456"/>
        <v>88.878191999999984</v>
      </c>
      <c r="BT130" s="122">
        <f t="shared" si="456"/>
        <v>94.13558952014975</v>
      </c>
      <c r="BU130" s="122">
        <f t="shared" si="456"/>
        <v>110.92848667432713</v>
      </c>
      <c r="BV130" s="122">
        <f t="shared" si="456"/>
        <v>119.69508619488211</v>
      </c>
      <c r="BW130" s="122">
        <f t="shared" si="456"/>
        <v>123.69222345928492</v>
      </c>
      <c r="BX130" s="122">
        <f t="shared" si="456"/>
        <v>124.69305700613801</v>
      </c>
      <c r="BY130" s="122">
        <f t="shared" si="456"/>
        <v>125.29035451931165</v>
      </c>
      <c r="BZ130" s="122">
        <f t="shared" si="456"/>
        <v>130.06255098561402</v>
      </c>
      <c r="CA130" s="122">
        <f t="shared" si="456"/>
        <v>138.00587161809463</v>
      </c>
      <c r="CB130" s="122">
        <f t="shared" si="456"/>
        <v>141.98479208940535</v>
      </c>
      <c r="CC130" s="122">
        <f t="shared" si="456"/>
        <v>142.21581348854014</v>
      </c>
      <c r="CD130" s="122">
        <f t="shared" si="456"/>
        <v>142.73632587053766</v>
      </c>
      <c r="CE130" s="122">
        <f t="shared" si="456"/>
        <v>143.46085343442059</v>
      </c>
      <c r="CF130" s="4"/>
      <c r="CG130" s="4"/>
      <c r="CH130" s="4"/>
      <c r="CI130" s="4"/>
      <c r="CJ130" s="4"/>
      <c r="CK130" s="4"/>
      <c r="CL130" s="4"/>
      <c r="CM130" s="4"/>
      <c r="CN130" s="240">
        <f t="shared" si="315"/>
        <v>123</v>
      </c>
    </row>
    <row r="131" spans="1:92" hidden="1" outlineLevel="2">
      <c r="A131" s="144"/>
      <c r="B131" s="39" t="s">
        <v>11</v>
      </c>
      <c r="C131" s="39"/>
      <c r="D131" s="39"/>
      <c r="E131" s="39"/>
      <c r="F131" s="61">
        <f t="shared" si="451"/>
        <v>52.907670000000003</v>
      </c>
      <c r="G131" s="61">
        <f t="shared" si="451"/>
        <v>109.6384</v>
      </c>
      <c r="H131" s="61">
        <f t="shared" si="451"/>
        <v>201.27876999999998</v>
      </c>
      <c r="I131" s="61">
        <f t="shared" si="451"/>
        <v>213.95253000000002</v>
      </c>
      <c r="J131" s="61">
        <f t="shared" si="451"/>
        <v>167.53400999999999</v>
      </c>
      <c r="K131" s="61">
        <f t="shared" si="451"/>
        <v>210.36716999999999</v>
      </c>
      <c r="L131" s="61">
        <f t="shared" si="452"/>
        <v>113.12726000000001</v>
      </c>
      <c r="M131" s="61">
        <f t="shared" si="452"/>
        <v>70.438035999999997</v>
      </c>
      <c r="N131" s="241">
        <v>109.462</v>
      </c>
      <c r="O131" s="123">
        <f t="shared" si="452"/>
        <v>150.92113946829366</v>
      </c>
      <c r="P131" s="123">
        <f t="shared" si="452"/>
        <v>174.34436725500521</v>
      </c>
      <c r="Q131" s="123">
        <f t="shared" si="452"/>
        <v>191.96079298943877</v>
      </c>
      <c r="R131" s="39"/>
      <c r="S131" s="4"/>
      <c r="T131" s="61" t="str">
        <f t="shared" ref="T131:AY131" si="457">IFERROR(T122*T$12,"NM")</f>
        <v>NM</v>
      </c>
      <c r="U131" s="61" t="str">
        <f t="shared" si="457"/>
        <v>NM</v>
      </c>
      <c r="V131" s="61" t="str">
        <f t="shared" si="457"/>
        <v>NM</v>
      </c>
      <c r="W131" s="61" t="str">
        <f t="shared" si="457"/>
        <v>NM</v>
      </c>
      <c r="X131" s="61" t="str">
        <f t="shared" si="457"/>
        <v>NM</v>
      </c>
      <c r="Y131" s="61" t="str">
        <f t="shared" si="457"/>
        <v>NM</v>
      </c>
      <c r="Z131" s="61" t="str">
        <f t="shared" si="457"/>
        <v>NM</v>
      </c>
      <c r="AA131" s="61" t="str">
        <f t="shared" si="457"/>
        <v>NM</v>
      </c>
      <c r="AB131" s="61" t="str">
        <f t="shared" si="457"/>
        <v>NM</v>
      </c>
      <c r="AC131" s="61" t="str">
        <f t="shared" si="457"/>
        <v>NM</v>
      </c>
      <c r="AD131" s="61" t="str">
        <f t="shared" si="457"/>
        <v>NM</v>
      </c>
      <c r="AE131" s="61" t="str">
        <f t="shared" si="457"/>
        <v>NM</v>
      </c>
      <c r="AF131" s="61" t="str">
        <f t="shared" si="457"/>
        <v>NM</v>
      </c>
      <c r="AG131" s="61" t="str">
        <f t="shared" si="457"/>
        <v>NM</v>
      </c>
      <c r="AH131" s="61" t="str">
        <f t="shared" si="457"/>
        <v>NM</v>
      </c>
      <c r="AI131" s="61" t="str">
        <f t="shared" si="457"/>
        <v>NM</v>
      </c>
      <c r="AJ131" s="61" t="str">
        <f t="shared" si="457"/>
        <v>NM</v>
      </c>
      <c r="AK131" s="61" t="str">
        <f t="shared" si="457"/>
        <v>NM</v>
      </c>
      <c r="AL131" s="61" t="str">
        <f t="shared" si="457"/>
        <v>NM</v>
      </c>
      <c r="AM131" s="61" t="str">
        <f t="shared" si="457"/>
        <v>NM</v>
      </c>
      <c r="AN131" s="61" t="str">
        <f t="shared" si="457"/>
        <v>NM</v>
      </c>
      <c r="AO131" s="61" t="str">
        <f t="shared" si="457"/>
        <v>NM</v>
      </c>
      <c r="AP131" s="61">
        <f t="shared" si="457"/>
        <v>33.241999999999997</v>
      </c>
      <c r="AQ131" s="61">
        <f t="shared" si="457"/>
        <v>36.095840000000003</v>
      </c>
      <c r="AR131" s="61">
        <f t="shared" si="457"/>
        <v>38.176099999999998</v>
      </c>
      <c r="AS131" s="61">
        <f t="shared" si="457"/>
        <v>55.563479999999998</v>
      </c>
      <c r="AT131" s="61">
        <f t="shared" si="457"/>
        <v>55.245850000000004</v>
      </c>
      <c r="AU131" s="61">
        <f t="shared" si="457"/>
        <v>53.106020000000008</v>
      </c>
      <c r="AV131" s="61">
        <f t="shared" si="457"/>
        <v>70.357980000000012</v>
      </c>
      <c r="AW131" s="61">
        <f t="shared" si="457"/>
        <v>55.011659999999999</v>
      </c>
      <c r="AX131" s="61">
        <f t="shared" si="457"/>
        <v>51.965980000000002</v>
      </c>
      <c r="AY131" s="61">
        <f t="shared" si="457"/>
        <v>51.693620000000003</v>
      </c>
      <c r="AZ131" s="61">
        <f t="shared" ref="AZ131:CE131" si="458">IFERROR(AZ122*AZ$12,"NM")</f>
        <v>42.582100000000004</v>
      </c>
      <c r="BA131" s="61">
        <f t="shared" si="458"/>
        <v>43.468769999999999</v>
      </c>
      <c r="BB131" s="61">
        <f t="shared" si="458"/>
        <v>43.218647999999995</v>
      </c>
      <c r="BC131" s="61">
        <f t="shared" si="458"/>
        <v>43.341308999999995</v>
      </c>
      <c r="BD131" s="61">
        <f t="shared" si="458"/>
        <v>45.152279999999998</v>
      </c>
      <c r="BE131" s="61">
        <f t="shared" si="458"/>
        <v>51.289127999999998</v>
      </c>
      <c r="BF131" s="61">
        <f t="shared" si="458"/>
        <v>49.034036</v>
      </c>
      <c r="BG131" s="61">
        <f t="shared" si="458"/>
        <v>57.530746000000001</v>
      </c>
      <c r="BH131" s="61">
        <f t="shared" si="458"/>
        <v>37.783110000000001</v>
      </c>
      <c r="BI131" s="61">
        <f t="shared" si="458"/>
        <v>28.863320000000002</v>
      </c>
      <c r="BJ131" s="61">
        <f t="shared" si="458"/>
        <v>24.229692</v>
      </c>
      <c r="BK131" s="61">
        <f t="shared" si="458"/>
        <v>22.251138000000001</v>
      </c>
      <c r="BL131" s="61">
        <f t="shared" si="458"/>
        <v>13.425744999999999</v>
      </c>
      <c r="BM131" s="61">
        <f t="shared" si="458"/>
        <v>14.013804000000002</v>
      </c>
      <c r="BN131" s="61">
        <f t="shared" si="458"/>
        <v>18.467819999999996</v>
      </c>
      <c r="BO131" s="61">
        <f t="shared" si="458"/>
        <v>24.530666999999998</v>
      </c>
      <c r="BP131" s="61">
        <f t="shared" si="458"/>
        <v>21.464567999999996</v>
      </c>
      <c r="BQ131" s="61">
        <f t="shared" si="458"/>
        <v>25.922650000000001</v>
      </c>
      <c r="BR131" s="61">
        <f t="shared" si="458"/>
        <v>32.498930999999999</v>
      </c>
      <c r="BS131" s="61">
        <f t="shared" si="458"/>
        <v>29.91093</v>
      </c>
      <c r="BT131" s="122">
        <f t="shared" si="458"/>
        <v>31.680246473127323</v>
      </c>
      <c r="BU131" s="122">
        <f t="shared" si="458"/>
        <v>37.331702246167794</v>
      </c>
      <c r="BV131" s="122">
        <f t="shared" si="458"/>
        <v>40.282000161739177</v>
      </c>
      <c r="BW131" s="122">
        <f t="shared" si="458"/>
        <v>41.627190587259356</v>
      </c>
      <c r="BX131" s="122">
        <f t="shared" si="458"/>
        <v>41.964009569373374</v>
      </c>
      <c r="BY131" s="122">
        <f t="shared" si="458"/>
        <v>42.165023155537583</v>
      </c>
      <c r="BZ131" s="122">
        <f t="shared" si="458"/>
        <v>43.771050812466264</v>
      </c>
      <c r="CA131" s="122">
        <f t="shared" si="458"/>
        <v>46.444283717628004</v>
      </c>
      <c r="CB131" s="122">
        <f t="shared" si="458"/>
        <v>47.783343491626809</v>
      </c>
      <c r="CC131" s="122">
        <f t="shared" si="458"/>
        <v>47.861091077874093</v>
      </c>
      <c r="CD131" s="122">
        <f t="shared" si="458"/>
        <v>48.036263514123249</v>
      </c>
      <c r="CE131" s="122">
        <f t="shared" si="458"/>
        <v>48.280094905814629</v>
      </c>
      <c r="CF131" s="4"/>
      <c r="CG131" s="4"/>
      <c r="CH131" s="4"/>
      <c r="CI131" s="4"/>
      <c r="CJ131" s="4"/>
      <c r="CK131" s="4"/>
      <c r="CL131" s="4"/>
      <c r="CM131" s="4"/>
      <c r="CN131" s="240">
        <f t="shared" si="315"/>
        <v>124</v>
      </c>
    </row>
    <row r="132" spans="1:92" hidden="1" outlineLevel="2">
      <c r="A132" s="144"/>
      <c r="B132" s="39" t="s">
        <v>12</v>
      </c>
      <c r="C132" s="39"/>
      <c r="D132" s="39"/>
      <c r="E132" s="39"/>
      <c r="F132" s="61">
        <f t="shared" si="451"/>
        <v>41.150410000000008</v>
      </c>
      <c r="G132" s="61">
        <f t="shared" si="451"/>
        <v>54.819200000000002</v>
      </c>
      <c r="H132" s="61">
        <f t="shared" si="451"/>
        <v>73.192279999999997</v>
      </c>
      <c r="I132" s="61">
        <f t="shared" si="451"/>
        <v>77.800920000000005</v>
      </c>
      <c r="J132" s="61">
        <f t="shared" si="451"/>
        <v>74.459559999999996</v>
      </c>
      <c r="K132" s="61">
        <f t="shared" si="451"/>
        <v>70.122389999999996</v>
      </c>
      <c r="L132" s="61">
        <f t="shared" si="452"/>
        <v>53.274583999999997</v>
      </c>
      <c r="M132" s="61">
        <f t="shared" si="452"/>
        <v>37.342237999999995</v>
      </c>
      <c r="N132" s="241">
        <v>28.960999999999999</v>
      </c>
      <c r="O132" s="123">
        <f t="shared" si="452"/>
        <v>43.120325562369615</v>
      </c>
      <c r="P132" s="123">
        <f t="shared" si="452"/>
        <v>49.812676358572915</v>
      </c>
      <c r="Q132" s="123">
        <f t="shared" si="452"/>
        <v>54.845940854125359</v>
      </c>
      <c r="R132" s="39"/>
      <c r="S132" s="4"/>
      <c r="T132" s="61" t="str">
        <f t="shared" ref="T132:AY132" si="459">IFERROR(T123*T$12,"NM")</f>
        <v>NM</v>
      </c>
      <c r="U132" s="61" t="str">
        <f t="shared" si="459"/>
        <v>NM</v>
      </c>
      <c r="V132" s="61" t="str">
        <f t="shared" si="459"/>
        <v>NM</v>
      </c>
      <c r="W132" s="61" t="str">
        <f t="shared" si="459"/>
        <v>NM</v>
      </c>
      <c r="X132" s="61" t="str">
        <f t="shared" si="459"/>
        <v>NM</v>
      </c>
      <c r="Y132" s="61" t="str">
        <f t="shared" si="459"/>
        <v>NM</v>
      </c>
      <c r="Z132" s="61" t="str">
        <f t="shared" si="459"/>
        <v>NM</v>
      </c>
      <c r="AA132" s="61" t="str">
        <f t="shared" si="459"/>
        <v>NM</v>
      </c>
      <c r="AB132" s="61" t="str">
        <f t="shared" si="459"/>
        <v>NM</v>
      </c>
      <c r="AC132" s="61" t="str">
        <f t="shared" si="459"/>
        <v>NM</v>
      </c>
      <c r="AD132" s="61" t="str">
        <f t="shared" si="459"/>
        <v>NM</v>
      </c>
      <c r="AE132" s="61" t="str">
        <f t="shared" si="459"/>
        <v>NM</v>
      </c>
      <c r="AF132" s="61" t="str">
        <f t="shared" si="459"/>
        <v>NM</v>
      </c>
      <c r="AG132" s="61" t="str">
        <f t="shared" si="459"/>
        <v>NM</v>
      </c>
      <c r="AH132" s="61" t="str">
        <f t="shared" si="459"/>
        <v>NM</v>
      </c>
      <c r="AI132" s="61" t="str">
        <f t="shared" si="459"/>
        <v>NM</v>
      </c>
      <c r="AJ132" s="61" t="str">
        <f t="shared" si="459"/>
        <v>NM</v>
      </c>
      <c r="AK132" s="61" t="str">
        <f t="shared" si="459"/>
        <v>NM</v>
      </c>
      <c r="AL132" s="61" t="str">
        <f t="shared" si="459"/>
        <v>NM</v>
      </c>
      <c r="AM132" s="61" t="str">
        <f t="shared" si="459"/>
        <v>NM</v>
      </c>
      <c r="AN132" s="61" t="str">
        <f t="shared" si="459"/>
        <v>NM</v>
      </c>
      <c r="AO132" s="61" t="str">
        <f t="shared" si="459"/>
        <v>NM</v>
      </c>
      <c r="AP132" s="61" t="str">
        <f t="shared" si="459"/>
        <v>NM</v>
      </c>
      <c r="AQ132" s="61" t="str">
        <f t="shared" si="459"/>
        <v>NM</v>
      </c>
      <c r="AR132" s="61" t="str">
        <f t="shared" si="459"/>
        <v>NM</v>
      </c>
      <c r="AS132" s="61" t="str">
        <f t="shared" si="459"/>
        <v>NM</v>
      </c>
      <c r="AT132" s="61" t="str">
        <f t="shared" si="459"/>
        <v>NM</v>
      </c>
      <c r="AU132" s="61" t="str">
        <f t="shared" si="459"/>
        <v>NM</v>
      </c>
      <c r="AV132" s="61" t="str">
        <f t="shared" si="459"/>
        <v>NM</v>
      </c>
      <c r="AW132" s="61" t="str">
        <f t="shared" si="459"/>
        <v>NM</v>
      </c>
      <c r="AX132" s="61" t="str">
        <f t="shared" si="459"/>
        <v>NM</v>
      </c>
      <c r="AY132" s="61">
        <f t="shared" si="459"/>
        <v>18.79768</v>
      </c>
      <c r="AZ132" s="61">
        <f t="shared" ref="AZ132:CE132" si="460">IFERROR(AZ123*AZ$12,"NM")</f>
        <v>21.291050000000002</v>
      </c>
      <c r="BA132" s="61" t="str">
        <f t="shared" si="460"/>
        <v>NM</v>
      </c>
      <c r="BB132" s="61" t="str">
        <f t="shared" si="460"/>
        <v>NM</v>
      </c>
      <c r="BC132" s="61" t="str">
        <f t="shared" si="460"/>
        <v>NM</v>
      </c>
      <c r="BD132" s="61">
        <f t="shared" si="460"/>
        <v>17.559220000000003</v>
      </c>
      <c r="BE132" s="61" t="str">
        <f t="shared" si="460"/>
        <v>NM</v>
      </c>
      <c r="BF132" s="61" t="str">
        <f t="shared" si="460"/>
        <v>NM</v>
      </c>
      <c r="BG132" s="61">
        <f t="shared" si="460"/>
        <v>25.288240000000002</v>
      </c>
      <c r="BH132" s="61">
        <f t="shared" si="460"/>
        <v>15.03199</v>
      </c>
      <c r="BI132" s="61">
        <f t="shared" si="460"/>
        <v>15.77068</v>
      </c>
      <c r="BJ132" s="61">
        <f t="shared" si="460"/>
        <v>12.552731999999999</v>
      </c>
      <c r="BK132" s="61">
        <f t="shared" si="460"/>
        <v>9.9191819999999993</v>
      </c>
      <c r="BL132" s="61">
        <f t="shared" si="460"/>
        <v>6.9965149999999996</v>
      </c>
      <c r="BM132" s="61">
        <f t="shared" si="460"/>
        <v>8.0078880000000012</v>
      </c>
      <c r="BN132" s="61">
        <f t="shared" si="460"/>
        <v>13.718951999999998</v>
      </c>
      <c r="BO132" s="61">
        <f t="shared" si="460"/>
        <v>8.6188830000000003</v>
      </c>
      <c r="BP132" s="61">
        <f t="shared" si="460"/>
        <v>8.6454509999999996</v>
      </c>
      <c r="BQ132" s="61">
        <f t="shared" si="460"/>
        <v>9.1726299999999998</v>
      </c>
      <c r="BR132" s="61">
        <f t="shared" si="460"/>
        <v>12.245973999999999</v>
      </c>
      <c r="BS132" s="61">
        <f t="shared" si="460"/>
        <v>8.5459800000000001</v>
      </c>
      <c r="BT132" s="122">
        <f t="shared" si="460"/>
        <v>9.0514989923220917</v>
      </c>
      <c r="BU132" s="122">
        <f t="shared" si="460"/>
        <v>10.666200641762225</v>
      </c>
      <c r="BV132" s="122">
        <f t="shared" si="460"/>
        <v>11.50914290335405</v>
      </c>
      <c r="BW132" s="122">
        <f t="shared" si="460"/>
        <v>11.893483024931243</v>
      </c>
      <c r="BX132" s="122">
        <f t="shared" si="460"/>
        <v>11.989717019820961</v>
      </c>
      <c r="BY132" s="122">
        <f t="shared" si="460"/>
        <v>12.047149473010736</v>
      </c>
      <c r="BZ132" s="122">
        <f t="shared" si="460"/>
        <v>12.506014517847502</v>
      </c>
      <c r="CA132" s="122">
        <f t="shared" si="460"/>
        <v>13.269795347893714</v>
      </c>
      <c r="CB132" s="122">
        <f t="shared" si="460"/>
        <v>13.652383854750514</v>
      </c>
      <c r="CC132" s="122">
        <f t="shared" si="460"/>
        <v>13.674597450821167</v>
      </c>
      <c r="CD132" s="122">
        <f t="shared" si="460"/>
        <v>13.724646718320928</v>
      </c>
      <c r="CE132" s="122">
        <f t="shared" si="460"/>
        <v>13.79431283023275</v>
      </c>
      <c r="CF132" s="4"/>
      <c r="CG132" s="4"/>
      <c r="CH132" s="4"/>
      <c r="CI132" s="4"/>
      <c r="CJ132" s="4"/>
      <c r="CK132" s="4"/>
      <c r="CL132" s="4"/>
      <c r="CM132" s="4"/>
      <c r="CN132" s="240">
        <f t="shared" si="315"/>
        <v>125</v>
      </c>
    </row>
    <row r="133" spans="1:92" hidden="1" outlineLevel="2">
      <c r="A133" s="144"/>
      <c r="B133" s="39" t="s">
        <v>10</v>
      </c>
      <c r="C133" s="39"/>
      <c r="D133" s="39"/>
      <c r="E133" s="39"/>
      <c r="F133" s="61">
        <f t="shared" si="451"/>
        <v>47.029040000000002</v>
      </c>
      <c r="G133" s="61">
        <f t="shared" si="451"/>
        <v>87.710720000000009</v>
      </c>
      <c r="H133" s="61">
        <f t="shared" si="451"/>
        <v>109.78841999999999</v>
      </c>
      <c r="I133" s="61">
        <f t="shared" si="451"/>
        <v>97.25115000000001</v>
      </c>
      <c r="J133" s="61">
        <f t="shared" si="451"/>
        <v>74.459559999999996</v>
      </c>
      <c r="K133" s="61">
        <f t="shared" si="451"/>
        <v>93.496520000000004</v>
      </c>
      <c r="L133" s="61">
        <f t="shared" si="452"/>
        <v>45.060858000000003</v>
      </c>
      <c r="M133" s="61">
        <f t="shared" si="452"/>
        <v>11.386869999999998</v>
      </c>
      <c r="N133" s="241">
        <v>30.263999999999999</v>
      </c>
      <c r="O133" s="123">
        <f t="shared" si="452"/>
        <v>49.588374396725051</v>
      </c>
      <c r="P133" s="123">
        <f t="shared" si="452"/>
        <v>57.284577812358847</v>
      </c>
      <c r="Q133" s="123">
        <f t="shared" si="452"/>
        <v>63.072831982244161</v>
      </c>
      <c r="R133" s="39"/>
      <c r="S133" s="4"/>
      <c r="T133" s="61" t="str">
        <f t="shared" ref="T133:AY133" si="461">IFERROR(T124*T$12,"NM")</f>
        <v>NM</v>
      </c>
      <c r="U133" s="61" t="str">
        <f t="shared" si="461"/>
        <v>NM</v>
      </c>
      <c r="V133" s="61" t="str">
        <f t="shared" si="461"/>
        <v>NM</v>
      </c>
      <c r="W133" s="61" t="str">
        <f t="shared" si="461"/>
        <v>NM</v>
      </c>
      <c r="X133" s="61" t="str">
        <f t="shared" si="461"/>
        <v>NM</v>
      </c>
      <c r="Y133" s="61" t="str">
        <f t="shared" si="461"/>
        <v>NM</v>
      </c>
      <c r="Z133" s="61">
        <f t="shared" si="461"/>
        <v>18.50508</v>
      </c>
      <c r="AA133" s="61" t="str">
        <f t="shared" si="461"/>
        <v>NM</v>
      </c>
      <c r="AB133" s="61" t="str">
        <f t="shared" si="461"/>
        <v>NM</v>
      </c>
      <c r="AC133" s="61" t="str">
        <f t="shared" si="461"/>
        <v>NM</v>
      </c>
      <c r="AD133" s="61" t="str">
        <f t="shared" si="461"/>
        <v>NM</v>
      </c>
      <c r="AE133" s="61" t="str">
        <f t="shared" si="461"/>
        <v>NM</v>
      </c>
      <c r="AF133" s="61" t="str">
        <f t="shared" si="461"/>
        <v>NM</v>
      </c>
      <c r="AG133" s="61" t="str">
        <f t="shared" si="461"/>
        <v>NM</v>
      </c>
      <c r="AH133" s="61" t="str">
        <f t="shared" si="461"/>
        <v>NM</v>
      </c>
      <c r="AI133" s="61" t="str">
        <f t="shared" si="461"/>
        <v>NM</v>
      </c>
      <c r="AJ133" s="61" t="str">
        <f t="shared" si="461"/>
        <v>NM</v>
      </c>
      <c r="AK133" s="61" t="str">
        <f t="shared" si="461"/>
        <v>NM</v>
      </c>
      <c r="AL133" s="61" t="str">
        <f t="shared" si="461"/>
        <v>NM</v>
      </c>
      <c r="AM133" s="61" t="str">
        <f t="shared" si="461"/>
        <v>NM</v>
      </c>
      <c r="AN133" s="61" t="str">
        <f t="shared" si="461"/>
        <v>NM</v>
      </c>
      <c r="AO133" s="61" t="str">
        <f t="shared" si="461"/>
        <v>NM</v>
      </c>
      <c r="AP133" s="61" t="str">
        <f t="shared" si="461"/>
        <v>NM</v>
      </c>
      <c r="AQ133" s="61" t="str">
        <f t="shared" si="461"/>
        <v>NM</v>
      </c>
      <c r="AR133" s="61" t="str">
        <f t="shared" si="461"/>
        <v>NM</v>
      </c>
      <c r="AS133" s="61" t="str">
        <f t="shared" si="461"/>
        <v>NM</v>
      </c>
      <c r="AT133" s="61">
        <f t="shared" si="461"/>
        <v>30.1341</v>
      </c>
      <c r="AU133" s="61" t="str">
        <f t="shared" si="461"/>
        <v>NM</v>
      </c>
      <c r="AV133" s="61" t="str">
        <f t="shared" si="461"/>
        <v>NM</v>
      </c>
      <c r="AW133" s="61" t="str">
        <f t="shared" si="461"/>
        <v>NM</v>
      </c>
      <c r="AX133" s="61" t="str">
        <f t="shared" si="461"/>
        <v>NM</v>
      </c>
      <c r="AY133" s="61">
        <f t="shared" si="461"/>
        <v>23.497100000000003</v>
      </c>
      <c r="AZ133" s="61">
        <f t="shared" ref="AZ133:CE133" si="462">IFERROR(AZ124*AZ$12,"NM")</f>
        <v>21.291050000000002</v>
      </c>
      <c r="BA133" s="61">
        <f t="shared" si="462"/>
        <v>20.59047</v>
      </c>
      <c r="BB133" s="61" t="str">
        <f t="shared" si="462"/>
        <v>NM</v>
      </c>
      <c r="BC133" s="61" t="str">
        <f t="shared" si="462"/>
        <v>NM</v>
      </c>
      <c r="BD133" s="61">
        <f t="shared" si="462"/>
        <v>22.576139999999999</v>
      </c>
      <c r="BE133" s="61">
        <f t="shared" si="462"/>
        <v>25.061733</v>
      </c>
      <c r="BF133" s="61">
        <f t="shared" si="462"/>
        <v>29.792832000000001</v>
      </c>
      <c r="BG133" s="61">
        <f t="shared" si="462"/>
        <v>25.288240000000002</v>
      </c>
      <c r="BH133" s="61">
        <f t="shared" si="462"/>
        <v>15.844530000000001</v>
      </c>
      <c r="BI133" s="61">
        <f t="shared" si="462"/>
        <v>10.712159999999999</v>
      </c>
      <c r="BJ133" s="61">
        <f t="shared" si="462"/>
        <v>9.9254160000000002</v>
      </c>
      <c r="BK133" s="61">
        <f t="shared" si="462"/>
        <v>8.5787519999999997</v>
      </c>
      <c r="BL133" s="61">
        <f t="shared" si="462"/>
        <v>5.8619449999999995</v>
      </c>
      <c r="BM133" s="61" t="str">
        <f t="shared" si="462"/>
        <v>NM</v>
      </c>
      <c r="BN133" s="61" t="str">
        <f t="shared" si="462"/>
        <v>NM</v>
      </c>
      <c r="BO133" s="61">
        <f t="shared" si="462"/>
        <v>5.5249249999999996</v>
      </c>
      <c r="BP133" s="61">
        <f t="shared" si="462"/>
        <v>5.3661419999999991</v>
      </c>
      <c r="BQ133" s="61">
        <f t="shared" si="462"/>
        <v>6.38096</v>
      </c>
      <c r="BR133" s="61">
        <f t="shared" si="462"/>
        <v>8.477981999999999</v>
      </c>
      <c r="BS133" s="61">
        <f t="shared" si="462"/>
        <v>9.8278769999999991</v>
      </c>
      <c r="BT133" s="122">
        <f t="shared" si="462"/>
        <v>10.409223841170405</v>
      </c>
      <c r="BU133" s="122">
        <f t="shared" si="462"/>
        <v>12.266130738026559</v>
      </c>
      <c r="BV133" s="122">
        <f t="shared" si="462"/>
        <v>13.235514338857158</v>
      </c>
      <c r="BW133" s="122">
        <f t="shared" si="462"/>
        <v>13.677505478670929</v>
      </c>
      <c r="BX133" s="122">
        <f t="shared" si="462"/>
        <v>13.788174572794105</v>
      </c>
      <c r="BY133" s="122">
        <f t="shared" si="462"/>
        <v>13.854221893962347</v>
      </c>
      <c r="BZ133" s="122">
        <f t="shared" si="462"/>
        <v>14.381916695524627</v>
      </c>
      <c r="CA133" s="122">
        <f t="shared" si="462"/>
        <v>15.260264650077771</v>
      </c>
      <c r="CB133" s="122">
        <f t="shared" si="462"/>
        <v>15.700241432963091</v>
      </c>
      <c r="CC133" s="122">
        <f t="shared" si="462"/>
        <v>15.725787068444342</v>
      </c>
      <c r="CD133" s="122">
        <f t="shared" si="462"/>
        <v>15.783343726069067</v>
      </c>
      <c r="CE133" s="122">
        <f t="shared" si="462"/>
        <v>15.863459754767662</v>
      </c>
      <c r="CF133" s="4"/>
      <c r="CG133" s="4"/>
      <c r="CH133" s="4"/>
      <c r="CI133" s="4"/>
      <c r="CJ133" s="4"/>
      <c r="CK133" s="4"/>
      <c r="CL133" s="4"/>
      <c r="CM133" s="4"/>
      <c r="CN133" s="240">
        <f t="shared" si="315"/>
        <v>126</v>
      </c>
    </row>
    <row r="134" spans="1:92" hidden="1" outlineLevel="2">
      <c r="A134" s="144"/>
      <c r="B134" s="39" t="s">
        <v>13</v>
      </c>
      <c r="C134" s="39"/>
      <c r="D134" s="39"/>
      <c r="E134" s="39"/>
      <c r="F134" s="61">
        <f t="shared" si="451"/>
        <v>47.029040000000002</v>
      </c>
      <c r="G134" s="61">
        <f t="shared" si="451"/>
        <v>54.819200000000002</v>
      </c>
      <c r="H134" s="61">
        <f t="shared" si="451"/>
        <v>73.192279999999997</v>
      </c>
      <c r="I134" s="61">
        <f t="shared" si="451"/>
        <v>77.800920000000005</v>
      </c>
      <c r="J134" s="61">
        <f t="shared" si="451"/>
        <v>74.459559999999996</v>
      </c>
      <c r="K134" s="61">
        <f t="shared" si="451"/>
        <v>70.122389999999996</v>
      </c>
      <c r="L134" s="61">
        <f>IFERROR(L125*L$12,"NM")</f>
        <v>37.915200000000006</v>
      </c>
      <c r="M134" s="61">
        <f>IFERROR(M125*M$12,"NM")</f>
        <v>21.869220000000002</v>
      </c>
      <c r="N134" s="241">
        <v>23.838000000000001</v>
      </c>
      <c r="O134" s="123">
        <f t="shared" ref="O134:Q135" si="463">SUMIF($T$5:$CF$5,O$5,$T134:$CF134)</f>
        <v>0</v>
      </c>
      <c r="P134" s="123">
        <f t="shared" si="463"/>
        <v>0</v>
      </c>
      <c r="Q134" s="123">
        <f t="shared" si="463"/>
        <v>0</v>
      </c>
      <c r="R134" s="39"/>
      <c r="S134" s="4"/>
      <c r="T134" s="61" t="str">
        <f t="shared" ref="T134:AY134" si="464">IFERROR(T125*T$12,"NM")</f>
        <v>NM</v>
      </c>
      <c r="U134" s="61" t="str">
        <f t="shared" si="464"/>
        <v>NM</v>
      </c>
      <c r="V134" s="61" t="str">
        <f t="shared" si="464"/>
        <v>NM</v>
      </c>
      <c r="W134" s="61" t="str">
        <f t="shared" si="464"/>
        <v>NM</v>
      </c>
      <c r="X134" s="61" t="str">
        <f t="shared" si="464"/>
        <v>NM</v>
      </c>
      <c r="Y134" s="61" t="str">
        <f t="shared" si="464"/>
        <v>NM</v>
      </c>
      <c r="Z134" s="61" t="str">
        <f t="shared" si="464"/>
        <v>NM</v>
      </c>
      <c r="AA134" s="61" t="str">
        <f t="shared" si="464"/>
        <v>NM</v>
      </c>
      <c r="AB134" s="61" t="str">
        <f t="shared" si="464"/>
        <v>NM</v>
      </c>
      <c r="AC134" s="61" t="str">
        <f t="shared" si="464"/>
        <v>NM</v>
      </c>
      <c r="AD134" s="61" t="str">
        <f t="shared" si="464"/>
        <v>NM</v>
      </c>
      <c r="AE134" s="61" t="str">
        <f t="shared" si="464"/>
        <v>NM</v>
      </c>
      <c r="AF134" s="61" t="str">
        <f t="shared" si="464"/>
        <v>NM</v>
      </c>
      <c r="AG134" s="61" t="str">
        <f t="shared" si="464"/>
        <v>NM</v>
      </c>
      <c r="AH134" s="61" t="str">
        <f t="shared" si="464"/>
        <v>NM</v>
      </c>
      <c r="AI134" s="61" t="str">
        <f t="shared" si="464"/>
        <v>NM</v>
      </c>
      <c r="AJ134" s="61" t="str">
        <f t="shared" si="464"/>
        <v>NM</v>
      </c>
      <c r="AK134" s="61" t="str">
        <f t="shared" si="464"/>
        <v>NM</v>
      </c>
      <c r="AL134" s="61" t="str">
        <f t="shared" si="464"/>
        <v>NM</v>
      </c>
      <c r="AM134" s="61" t="str">
        <f t="shared" si="464"/>
        <v>NM</v>
      </c>
      <c r="AN134" s="61" t="str">
        <f t="shared" si="464"/>
        <v>NM</v>
      </c>
      <c r="AO134" s="61" t="str">
        <f t="shared" si="464"/>
        <v>NM</v>
      </c>
      <c r="AP134" s="61" t="str">
        <f t="shared" si="464"/>
        <v>NM</v>
      </c>
      <c r="AQ134" s="61" t="str">
        <f t="shared" si="464"/>
        <v>NM</v>
      </c>
      <c r="AR134" s="61" t="str">
        <f t="shared" si="464"/>
        <v>NM</v>
      </c>
      <c r="AS134" s="61" t="str">
        <f t="shared" si="464"/>
        <v>NM</v>
      </c>
      <c r="AT134" s="61" t="str">
        <f t="shared" si="464"/>
        <v>NM</v>
      </c>
      <c r="AU134" s="61" t="str">
        <f t="shared" si="464"/>
        <v>NM</v>
      </c>
      <c r="AV134" s="61" t="str">
        <f t="shared" si="464"/>
        <v>NM</v>
      </c>
      <c r="AW134" s="61" t="str">
        <f t="shared" si="464"/>
        <v>NM</v>
      </c>
      <c r="AX134" s="61" t="str">
        <f t="shared" si="464"/>
        <v>NM</v>
      </c>
      <c r="AY134" s="61" t="str">
        <f t="shared" si="464"/>
        <v>NM</v>
      </c>
      <c r="AZ134" s="61">
        <f t="shared" ref="AZ134:CE134" si="465">IFERROR(AZ125*AZ$12,"NM")</f>
        <v>12.77463</v>
      </c>
      <c r="BA134" s="61">
        <f t="shared" si="465"/>
        <v>17.845074</v>
      </c>
      <c r="BB134" s="61" t="str">
        <f t="shared" si="465"/>
        <v>NM</v>
      </c>
      <c r="BC134" s="61" t="str">
        <f t="shared" si="465"/>
        <v>NM</v>
      </c>
      <c r="BD134" s="61">
        <f t="shared" si="465"/>
        <v>15.05076</v>
      </c>
      <c r="BE134" s="61">
        <f t="shared" si="465"/>
        <v>20.981915999999998</v>
      </c>
      <c r="BF134" s="61" t="str">
        <f t="shared" si="465"/>
        <v>NM</v>
      </c>
      <c r="BG134" s="61" t="str">
        <f t="shared" si="465"/>
        <v>NM</v>
      </c>
      <c r="BH134" s="61" t="str">
        <f t="shared" si="465"/>
        <v>NM</v>
      </c>
      <c r="BI134" s="61" t="str">
        <f t="shared" si="465"/>
        <v>NM</v>
      </c>
      <c r="BJ134" s="61" t="str">
        <f t="shared" si="465"/>
        <v>NM</v>
      </c>
      <c r="BK134" s="61" t="str">
        <f t="shared" si="465"/>
        <v>NM</v>
      </c>
      <c r="BL134" s="61" t="str">
        <f t="shared" si="465"/>
        <v>NM</v>
      </c>
      <c r="BM134" s="61" t="str">
        <f t="shared" si="465"/>
        <v>NM</v>
      </c>
      <c r="BN134" s="61" t="str">
        <f t="shared" si="465"/>
        <v>NM</v>
      </c>
      <c r="BO134" s="61" t="str">
        <f t="shared" si="465"/>
        <v>NM</v>
      </c>
      <c r="BP134" s="61" t="str">
        <f t="shared" si="465"/>
        <v>NM</v>
      </c>
      <c r="BQ134" s="61" t="str">
        <f t="shared" si="465"/>
        <v>NM</v>
      </c>
      <c r="BR134" s="61" t="str">
        <f t="shared" si="465"/>
        <v>NM</v>
      </c>
      <c r="BS134" s="61" t="str">
        <f t="shared" si="465"/>
        <v>NM</v>
      </c>
      <c r="BT134" s="122" t="str">
        <f t="shared" si="465"/>
        <v>NM</v>
      </c>
      <c r="BU134" s="122" t="str">
        <f t="shared" si="465"/>
        <v>NM</v>
      </c>
      <c r="BV134" s="122" t="str">
        <f t="shared" si="465"/>
        <v>NM</v>
      </c>
      <c r="BW134" s="122" t="str">
        <f t="shared" si="465"/>
        <v>NM</v>
      </c>
      <c r="BX134" s="122" t="str">
        <f t="shared" si="465"/>
        <v>NM</v>
      </c>
      <c r="BY134" s="122" t="str">
        <f t="shared" si="465"/>
        <v>NM</v>
      </c>
      <c r="BZ134" s="122" t="str">
        <f t="shared" si="465"/>
        <v>NM</v>
      </c>
      <c r="CA134" s="122" t="str">
        <f t="shared" si="465"/>
        <v>NM</v>
      </c>
      <c r="CB134" s="122" t="str">
        <f t="shared" si="465"/>
        <v>NM</v>
      </c>
      <c r="CC134" s="122" t="str">
        <f t="shared" si="465"/>
        <v>NM</v>
      </c>
      <c r="CD134" s="122" t="str">
        <f t="shared" si="465"/>
        <v>NM</v>
      </c>
      <c r="CE134" s="122" t="str">
        <f t="shared" si="465"/>
        <v>NM</v>
      </c>
      <c r="CF134" s="4"/>
      <c r="CG134" s="4"/>
      <c r="CH134" s="4"/>
      <c r="CI134" s="4"/>
      <c r="CJ134" s="4"/>
      <c r="CK134" s="4"/>
      <c r="CL134" s="4"/>
      <c r="CM134" s="4"/>
      <c r="CN134" s="240">
        <f t="shared" si="315"/>
        <v>127</v>
      </c>
    </row>
    <row r="135" spans="1:92" hidden="1" outlineLevel="2">
      <c r="A135" s="144"/>
      <c r="B135" s="39" t="s">
        <v>275</v>
      </c>
      <c r="C135" s="39"/>
      <c r="D135" s="39"/>
      <c r="E135" s="39"/>
      <c r="F135" s="61"/>
      <c r="G135" s="61"/>
      <c r="H135" s="61">
        <f>IFERROR(H126*H$12,"NM")</f>
        <v>0</v>
      </c>
      <c r="I135" s="61">
        <f>IFERROR(I126*I$12,"NM")</f>
        <v>0</v>
      </c>
      <c r="J135" s="61">
        <f>IFERROR(J126*J$12,"NM")</f>
        <v>0</v>
      </c>
      <c r="K135" s="61">
        <f>IFERROR(K126*K$12,"NM")</f>
        <v>0</v>
      </c>
      <c r="L135" s="61">
        <f>IFERROR(L126*L$12,"NM")</f>
        <v>0</v>
      </c>
      <c r="M135" s="61">
        <f>IFERROR(M126*M$12,"NM")</f>
        <v>0</v>
      </c>
      <c r="N135" s="61">
        <f>IFERROR(N126*N$12,"NM")</f>
        <v>0</v>
      </c>
      <c r="O135" s="123">
        <f t="shared" si="463"/>
        <v>0</v>
      </c>
      <c r="P135" s="123">
        <f t="shared" si="463"/>
        <v>0</v>
      </c>
      <c r="Q135" s="123">
        <f t="shared" si="463"/>
        <v>0</v>
      </c>
      <c r="R135" s="39"/>
      <c r="S135" s="4"/>
      <c r="T135" s="61">
        <f t="shared" ref="T135:AY135" si="466">IFERROR(T126*T$12,"NM")</f>
        <v>0</v>
      </c>
      <c r="U135" s="61">
        <f t="shared" si="466"/>
        <v>0</v>
      </c>
      <c r="V135" s="61">
        <f t="shared" si="466"/>
        <v>0</v>
      </c>
      <c r="W135" s="61">
        <f t="shared" si="466"/>
        <v>0</v>
      </c>
      <c r="X135" s="61">
        <f t="shared" si="466"/>
        <v>0</v>
      </c>
      <c r="Y135" s="61">
        <f t="shared" si="466"/>
        <v>0</v>
      </c>
      <c r="Z135" s="61">
        <f t="shared" si="466"/>
        <v>0</v>
      </c>
      <c r="AA135" s="61">
        <f t="shared" si="466"/>
        <v>0</v>
      </c>
      <c r="AB135" s="61">
        <f t="shared" si="466"/>
        <v>0</v>
      </c>
      <c r="AC135" s="61">
        <f t="shared" si="466"/>
        <v>0</v>
      </c>
      <c r="AD135" s="61">
        <f t="shared" si="466"/>
        <v>0</v>
      </c>
      <c r="AE135" s="61">
        <f t="shared" si="466"/>
        <v>0</v>
      </c>
      <c r="AF135" s="61">
        <f t="shared" si="466"/>
        <v>0</v>
      </c>
      <c r="AG135" s="61">
        <f t="shared" si="466"/>
        <v>0</v>
      </c>
      <c r="AH135" s="61">
        <f t="shared" si="466"/>
        <v>0</v>
      </c>
      <c r="AI135" s="61">
        <f t="shared" si="466"/>
        <v>0</v>
      </c>
      <c r="AJ135" s="61">
        <f t="shared" si="466"/>
        <v>0</v>
      </c>
      <c r="AK135" s="61">
        <f t="shared" si="466"/>
        <v>0</v>
      </c>
      <c r="AL135" s="61">
        <f t="shared" si="466"/>
        <v>0</v>
      </c>
      <c r="AM135" s="61">
        <f t="shared" si="466"/>
        <v>0</v>
      </c>
      <c r="AN135" s="61">
        <f t="shared" si="466"/>
        <v>0</v>
      </c>
      <c r="AO135" s="61">
        <f t="shared" si="466"/>
        <v>0</v>
      </c>
      <c r="AP135" s="61">
        <f t="shared" si="466"/>
        <v>0</v>
      </c>
      <c r="AQ135" s="61">
        <f t="shared" si="466"/>
        <v>0</v>
      </c>
      <c r="AR135" s="61">
        <f t="shared" si="466"/>
        <v>0</v>
      </c>
      <c r="AS135" s="61">
        <f t="shared" si="466"/>
        <v>0</v>
      </c>
      <c r="AT135" s="61">
        <f t="shared" si="466"/>
        <v>0</v>
      </c>
      <c r="AU135" s="61">
        <f t="shared" si="466"/>
        <v>0</v>
      </c>
      <c r="AV135" s="61">
        <f t="shared" si="466"/>
        <v>0</v>
      </c>
      <c r="AW135" s="61">
        <f t="shared" si="466"/>
        <v>0</v>
      </c>
      <c r="AX135" s="61">
        <f t="shared" si="466"/>
        <v>0</v>
      </c>
      <c r="AY135" s="61">
        <f t="shared" si="466"/>
        <v>0</v>
      </c>
      <c r="AZ135" s="61">
        <f t="shared" ref="AZ135:CE135" si="467">IFERROR(AZ126*AZ$12,"NM")</f>
        <v>0</v>
      </c>
      <c r="BA135" s="61">
        <f t="shared" si="467"/>
        <v>0</v>
      </c>
      <c r="BB135" s="61">
        <f t="shared" si="467"/>
        <v>0</v>
      </c>
      <c r="BC135" s="61">
        <f t="shared" si="467"/>
        <v>0</v>
      </c>
      <c r="BD135" s="61">
        <f t="shared" si="467"/>
        <v>0</v>
      </c>
      <c r="BE135" s="61">
        <f t="shared" si="467"/>
        <v>0</v>
      </c>
      <c r="BF135" s="61">
        <f t="shared" si="467"/>
        <v>0</v>
      </c>
      <c r="BG135" s="61">
        <f t="shared" si="467"/>
        <v>0</v>
      </c>
      <c r="BH135" s="61">
        <f t="shared" si="467"/>
        <v>0</v>
      </c>
      <c r="BI135" s="61">
        <f t="shared" si="467"/>
        <v>0</v>
      </c>
      <c r="BJ135" s="61">
        <f t="shared" si="467"/>
        <v>0</v>
      </c>
      <c r="BK135" s="61">
        <f t="shared" si="467"/>
        <v>0</v>
      </c>
      <c r="BL135" s="61">
        <f t="shared" si="467"/>
        <v>0</v>
      </c>
      <c r="BM135" s="61">
        <f t="shared" si="467"/>
        <v>6.0059160000000009</v>
      </c>
      <c r="BN135" s="61">
        <f t="shared" si="467"/>
        <v>5.8041719999999994</v>
      </c>
      <c r="BO135" s="61">
        <f t="shared" si="467"/>
        <v>4.4199399999999995</v>
      </c>
      <c r="BP135" s="61" t="str">
        <f t="shared" si="467"/>
        <v>NM</v>
      </c>
      <c r="BQ135" s="61" t="str">
        <f t="shared" si="467"/>
        <v>NM</v>
      </c>
      <c r="BR135" s="61" t="str">
        <f t="shared" si="467"/>
        <v>NM</v>
      </c>
      <c r="BS135" s="61" t="str">
        <f t="shared" si="467"/>
        <v>NM</v>
      </c>
      <c r="BT135" s="122" t="str">
        <f t="shared" si="467"/>
        <v>NM</v>
      </c>
      <c r="BU135" s="122" t="str">
        <f t="shared" si="467"/>
        <v>NM</v>
      </c>
      <c r="BV135" s="122" t="str">
        <f t="shared" si="467"/>
        <v>NM</v>
      </c>
      <c r="BW135" s="122" t="str">
        <f t="shared" si="467"/>
        <v>NM</v>
      </c>
      <c r="BX135" s="122" t="str">
        <f t="shared" si="467"/>
        <v>NM</v>
      </c>
      <c r="BY135" s="122" t="str">
        <f t="shared" si="467"/>
        <v>NM</v>
      </c>
      <c r="BZ135" s="122" t="str">
        <f t="shared" si="467"/>
        <v>NM</v>
      </c>
      <c r="CA135" s="122" t="str">
        <f t="shared" si="467"/>
        <v>NM</v>
      </c>
      <c r="CB135" s="122" t="str">
        <f t="shared" si="467"/>
        <v>NM</v>
      </c>
      <c r="CC135" s="122" t="str">
        <f t="shared" si="467"/>
        <v>NM</v>
      </c>
      <c r="CD135" s="122" t="str">
        <f t="shared" si="467"/>
        <v>NM</v>
      </c>
      <c r="CE135" s="122" t="str">
        <f t="shared" si="467"/>
        <v>NM</v>
      </c>
      <c r="CF135" s="4"/>
      <c r="CG135" s="4"/>
      <c r="CH135" s="4"/>
      <c r="CI135" s="4"/>
      <c r="CJ135" s="4"/>
      <c r="CK135" s="4"/>
      <c r="CL135" s="4"/>
      <c r="CM135" s="4"/>
      <c r="CN135" s="240">
        <f t="shared" si="315"/>
        <v>128</v>
      </c>
    </row>
    <row r="136" spans="1:92" hidden="1" outlineLevel="2">
      <c r="A136" s="144"/>
      <c r="B136" s="39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116"/>
      <c r="P136" s="116"/>
      <c r="Q136" s="116"/>
      <c r="R136" s="48"/>
      <c r="S136" s="4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  <c r="BB136" s="48"/>
      <c r="BC136" s="48"/>
      <c r="BD136" s="48"/>
      <c r="BE136" s="48"/>
      <c r="BF136" s="48"/>
      <c r="BG136" s="48"/>
      <c r="BH136" s="48"/>
      <c r="BI136" s="48"/>
      <c r="BJ136" s="48"/>
      <c r="BK136" s="48"/>
      <c r="BL136" s="48"/>
      <c r="BM136" s="48"/>
      <c r="BN136" s="48"/>
      <c r="BO136" s="48"/>
      <c r="BP136" s="48"/>
      <c r="BQ136" s="48"/>
      <c r="BR136" s="48"/>
      <c r="BS136" s="48"/>
      <c r="BT136" s="203"/>
      <c r="BU136" s="203"/>
      <c r="BV136" s="203"/>
      <c r="BW136" s="203"/>
      <c r="BX136" s="203"/>
      <c r="BY136" s="203"/>
      <c r="BZ136" s="203"/>
      <c r="CA136" s="203"/>
      <c r="CB136" s="203"/>
      <c r="CC136" s="203"/>
      <c r="CD136" s="203"/>
      <c r="CE136" s="203"/>
      <c r="CF136" s="4"/>
      <c r="CG136" s="4"/>
      <c r="CH136" s="4"/>
      <c r="CI136" s="4"/>
      <c r="CJ136" s="4"/>
      <c r="CK136" s="4"/>
      <c r="CL136" s="4"/>
      <c r="CM136" s="4"/>
      <c r="CN136" s="240">
        <f t="shared" si="315"/>
        <v>129</v>
      </c>
    </row>
    <row r="137" spans="1:92" hidden="1" outlineLevel="2">
      <c r="A137" s="144"/>
      <c r="B137" s="40" t="s">
        <v>172</v>
      </c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117"/>
      <c r="P137" s="117"/>
      <c r="Q137" s="117"/>
      <c r="R137" s="39"/>
      <c r="S137" s="4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203"/>
      <c r="BU137" s="203"/>
      <c r="BV137" s="203"/>
      <c r="BW137" s="203"/>
      <c r="BX137" s="203"/>
      <c r="BY137" s="203"/>
      <c r="BZ137" s="203"/>
      <c r="CA137" s="203"/>
      <c r="CB137" s="203"/>
      <c r="CC137" s="203"/>
      <c r="CD137" s="203"/>
      <c r="CE137" s="203"/>
      <c r="CF137" s="4"/>
      <c r="CG137" s="4"/>
      <c r="CH137" s="4"/>
      <c r="CI137" s="4"/>
      <c r="CJ137" s="4"/>
      <c r="CK137" s="4"/>
      <c r="CL137" s="4"/>
      <c r="CM137" s="4"/>
      <c r="CN137" s="240">
        <f t="shared" si="315"/>
        <v>130</v>
      </c>
    </row>
    <row r="138" spans="1:92" hidden="1" outlineLevel="2">
      <c r="A138" s="144"/>
      <c r="B138" s="39" t="s">
        <v>9</v>
      </c>
      <c r="C138" s="39"/>
      <c r="D138" s="39"/>
      <c r="E138" s="39"/>
      <c r="F138" s="62" t="str">
        <f t="shared" ref="F138:O138" si="468">IFERROR(F129/E129-1,"NM")</f>
        <v>NM</v>
      </c>
      <c r="G138" s="62">
        <f t="shared" si="468"/>
        <v>1.3558313846307009</v>
      </c>
      <c r="H138" s="62">
        <f t="shared" si="468"/>
        <v>0.91233532609620949</v>
      </c>
      <c r="I138" s="62">
        <f t="shared" si="468"/>
        <v>2.431288704715362E-2</v>
      </c>
      <c r="J138" s="62">
        <f t="shared" si="468"/>
        <v>-6.8323778564426396E-3</v>
      </c>
      <c r="K138" s="62">
        <f t="shared" si="468"/>
        <v>0.30132911683261954</v>
      </c>
      <c r="L138" s="62">
        <f t="shared" si="468"/>
        <v>-0.49229363117828695</v>
      </c>
      <c r="M138" s="62">
        <f t="shared" si="468"/>
        <v>-0.50220996376246396</v>
      </c>
      <c r="N138" s="62">
        <f t="shared" si="468"/>
        <v>1.9506341232990971</v>
      </c>
      <c r="O138" s="124">
        <f t="shared" si="468"/>
        <v>0.28466312979084907</v>
      </c>
      <c r="P138" s="124">
        <f t="shared" ref="P138:Q144" si="469">IFERROR(P129/O129-1,"NM")</f>
        <v>0.15520176874646796</v>
      </c>
      <c r="Q138" s="124">
        <f t="shared" si="469"/>
        <v>0.1010438479418545</v>
      </c>
      <c r="R138" s="39"/>
      <c r="S138" s="4"/>
      <c r="T138" s="62"/>
      <c r="U138" s="62">
        <f t="shared" ref="U138:AZ138" si="470">IFERROR(U129/T129-1,"NM")</f>
        <v>0.1041373334777429</v>
      </c>
      <c r="V138" s="62">
        <f t="shared" si="470"/>
        <v>0.13591642552356653</v>
      </c>
      <c r="W138" s="62">
        <f t="shared" si="470"/>
        <v>1.525030008376449E-2</v>
      </c>
      <c r="X138" s="62">
        <f t="shared" si="470"/>
        <v>0.18826136861810139</v>
      </c>
      <c r="Y138" s="62">
        <f t="shared" si="470"/>
        <v>7.381785567252841E-2</v>
      </c>
      <c r="Z138" s="62">
        <f t="shared" si="470"/>
        <v>5.5755999041522619E-2</v>
      </c>
      <c r="AA138" s="62">
        <f t="shared" si="470"/>
        <v>3.9705853743944752E-2</v>
      </c>
      <c r="AB138" s="62">
        <f t="shared" si="470"/>
        <v>0.12296589839241467</v>
      </c>
      <c r="AC138" s="62">
        <f t="shared" si="470"/>
        <v>-8.1849805606548642E-5</v>
      </c>
      <c r="AD138" s="62">
        <f t="shared" si="470"/>
        <v>-5.3031321807157972E-2</v>
      </c>
      <c r="AE138" s="62">
        <f t="shared" si="470"/>
        <v>0.14959156834052667</v>
      </c>
      <c r="AF138" s="62">
        <f t="shared" si="470"/>
        <v>8.5765942134067963E-2</v>
      </c>
      <c r="AG138" s="62">
        <f t="shared" si="470"/>
        <v>8.8537573455967022E-2</v>
      </c>
      <c r="AH138" s="62">
        <f t="shared" si="470"/>
        <v>0.10493318241735716</v>
      </c>
      <c r="AI138" s="62">
        <f t="shared" si="470"/>
        <v>-3.9512345236639823E-2</v>
      </c>
      <c r="AJ138" s="62">
        <f t="shared" si="470"/>
        <v>-0.28296061361624814</v>
      </c>
      <c r="AK138" s="62">
        <f t="shared" si="470"/>
        <v>-0.27941635322883529</v>
      </c>
      <c r="AL138" s="62">
        <f t="shared" si="470"/>
        <v>4.0474578406209938E-2</v>
      </c>
      <c r="AM138" s="62">
        <f t="shared" si="470"/>
        <v>0.15326992486323299</v>
      </c>
      <c r="AN138" s="62">
        <f t="shared" si="470"/>
        <v>0.76645688623684993</v>
      </c>
      <c r="AO138" s="62">
        <f t="shared" si="470"/>
        <v>0.18650302143152042</v>
      </c>
      <c r="AP138" s="62">
        <f t="shared" si="470"/>
        <v>0.19495761103378451</v>
      </c>
      <c r="AQ138" s="62">
        <f t="shared" si="470"/>
        <v>8.5850430178689763E-2</v>
      </c>
      <c r="AR138" s="62">
        <f t="shared" si="470"/>
        <v>0.21186950952427375</v>
      </c>
      <c r="AS138" s="62">
        <f t="shared" si="470"/>
        <v>0.2128766427162545</v>
      </c>
      <c r="AT138" s="62">
        <f t="shared" si="470"/>
        <v>0.19314017048608201</v>
      </c>
      <c r="AU138" s="62">
        <f t="shared" si="470"/>
        <v>-3.873286409748411E-2</v>
      </c>
      <c r="AV138" s="62">
        <f t="shared" si="470"/>
        <v>4.0960516340708519E-2</v>
      </c>
      <c r="AW138" s="62">
        <f t="shared" si="470"/>
        <v>-4.1063347495453928E-2</v>
      </c>
      <c r="AX138" s="62">
        <f t="shared" si="470"/>
        <v>-3.7540946979617518E-2</v>
      </c>
      <c r="AY138" s="62">
        <f t="shared" si="470"/>
        <v>1.3180339507871563E-2</v>
      </c>
      <c r="AZ138" s="62">
        <f t="shared" si="470"/>
        <v>-0.14331045107694151</v>
      </c>
      <c r="BA138" s="62">
        <f t="shared" ref="BA138:BW138" si="471">IFERROR(BA129/AZ129-1,"NM")</f>
        <v>0.12621116709747837</v>
      </c>
      <c r="BB138" s="62">
        <f t="shared" si="471"/>
        <v>8.9089039824485017E-2</v>
      </c>
      <c r="BC138" s="62">
        <f t="shared" si="471"/>
        <v>4.1218283390369592E-3</v>
      </c>
      <c r="BD138" s="62">
        <f t="shared" si="471"/>
        <v>4.8605152386408612E-2</v>
      </c>
      <c r="BE138" s="62">
        <f t="shared" si="471"/>
        <v>0.17192132350441902</v>
      </c>
      <c r="BF138" s="62">
        <f t="shared" si="471"/>
        <v>7.7911355167241014E-2</v>
      </c>
      <c r="BG138" s="62">
        <f t="shared" si="471"/>
        <v>-2.4379156829109627E-3</v>
      </c>
      <c r="BH138" s="62">
        <f t="shared" si="471"/>
        <v>-0.39119943749181008</v>
      </c>
      <c r="BI138" s="62">
        <f t="shared" si="471"/>
        <v>-0.28250032590988128</v>
      </c>
      <c r="BJ138" s="62">
        <f t="shared" si="471"/>
        <v>-2.6358935472911349E-2</v>
      </c>
      <c r="BK138" s="62">
        <f t="shared" si="471"/>
        <v>-4.4924569408476001E-2</v>
      </c>
      <c r="BL138" s="62">
        <f t="shared" si="471"/>
        <v>-0.35665695434948597</v>
      </c>
      <c r="BM138" s="62">
        <f t="shared" si="471"/>
        <v>-0.36525855398112173</v>
      </c>
      <c r="BN138" s="62">
        <f t="shared" si="471"/>
        <v>0.23880281793347913</v>
      </c>
      <c r="BO138" s="62">
        <f t="shared" si="471"/>
        <v>0.46839552153543651</v>
      </c>
      <c r="BP138" s="62">
        <f t="shared" si="471"/>
        <v>0.68347451355978017</v>
      </c>
      <c r="BQ138" s="62">
        <f t="shared" si="471"/>
        <v>0.38568695427168742</v>
      </c>
      <c r="BR138" s="62">
        <f t="shared" si="471"/>
        <v>0.19772342766901341</v>
      </c>
      <c r="BS138" s="62">
        <f t="shared" si="471"/>
        <v>-0.16732814867478374</v>
      </c>
      <c r="BT138" s="115">
        <f t="shared" si="471"/>
        <v>5.9152840554516972E-2</v>
      </c>
      <c r="BU138" s="115">
        <f t="shared" si="471"/>
        <v>0.17839052413415746</v>
      </c>
      <c r="BV138" s="115">
        <f t="shared" si="471"/>
        <v>7.9029289800848668E-2</v>
      </c>
      <c r="BW138" s="115">
        <f t="shared" si="471"/>
        <v>3.3394330473139444E-2</v>
      </c>
      <c r="BX138" s="115">
        <f t="shared" ref="BX138:BX144" si="472">IFERROR(BX129/BW129-1,"NM")</f>
        <v>8.0913214983360238E-3</v>
      </c>
      <c r="BY138" s="115">
        <f t="shared" ref="BY138:BY144" si="473">IFERROR(BY129/BX129-1,"NM")</f>
        <v>4.7901425108556328E-3</v>
      </c>
      <c r="BZ138" s="115">
        <f t="shared" ref="BZ138:BZ144" si="474">IFERROR(BZ129/BY129-1,"NM")</f>
        <v>3.8089096998818128E-2</v>
      </c>
      <c r="CA138" s="115">
        <f t="shared" ref="CA138:CA144" si="475">IFERROR(CA129/BZ129-1,"NM")</f>
        <v>6.1073080393134971E-2</v>
      </c>
      <c r="CB138" s="115">
        <f t="shared" ref="CB138:CB144" si="476">IFERROR(CB129/CA129-1,"NM")</f>
        <v>2.8831530315765352E-2</v>
      </c>
      <c r="CC138" s="115">
        <f t="shared" ref="CC138:CC144" si="477">IFERROR(CC129/CB129-1,"NM")</f>
        <v>1.6270855190556599E-3</v>
      </c>
      <c r="CD138" s="115">
        <f t="shared" ref="CD138:CD144" si="478">IFERROR(CD129/CC129-1,"NM")</f>
        <v>3.6600176114693905E-3</v>
      </c>
      <c r="CE138" s="115">
        <f t="shared" ref="CE138:CE144" si="479">IFERROR(CE129/CD129-1,"NM")</f>
        <v>5.0759858043432082E-3</v>
      </c>
      <c r="CF138" s="4"/>
      <c r="CG138" s="4"/>
      <c r="CH138" s="4"/>
      <c r="CI138" s="4"/>
      <c r="CJ138" s="4"/>
      <c r="CK138" s="4"/>
      <c r="CL138" s="4"/>
      <c r="CM138" s="4"/>
      <c r="CN138" s="240">
        <f t="shared" ref="CN138:CN201" si="480">+CN137+1</f>
        <v>131</v>
      </c>
    </row>
    <row r="139" spans="1:92" hidden="1" outlineLevel="2">
      <c r="A139" s="144"/>
      <c r="B139" s="39" t="s">
        <v>167</v>
      </c>
      <c r="C139" s="39"/>
      <c r="D139" s="39"/>
      <c r="E139" s="39"/>
      <c r="F139" s="62" t="str">
        <f t="shared" ref="F139:O139" si="481">IFERROR(F130/E130-1,"NM")</f>
        <v>NM</v>
      </c>
      <c r="G139" s="62">
        <f t="shared" si="481"/>
        <v>0.49202654359944398</v>
      </c>
      <c r="H139" s="62">
        <f t="shared" si="481"/>
        <v>0.6689471936839646</v>
      </c>
      <c r="I139" s="62">
        <f t="shared" si="481"/>
        <v>0.24012723746274922</v>
      </c>
      <c r="J139" s="62">
        <f t="shared" si="481"/>
        <v>9.377421243861872E-2</v>
      </c>
      <c r="K139" s="62">
        <f t="shared" si="481"/>
        <v>0.17718916818740271</v>
      </c>
      <c r="L139" s="62">
        <f t="shared" si="481"/>
        <v>-0.34381218324132978</v>
      </c>
      <c r="M139" s="62">
        <f t="shared" si="481"/>
        <v>-0.26241903401391831</v>
      </c>
      <c r="N139" s="62">
        <f t="shared" si="481"/>
        <v>0.73610908539711306</v>
      </c>
      <c r="O139" s="124">
        <f t="shared" si="481"/>
        <v>0.52220723898577726</v>
      </c>
      <c r="P139" s="124">
        <f t="shared" si="469"/>
        <v>0.15520176874646796</v>
      </c>
      <c r="Q139" s="124">
        <f t="shared" si="469"/>
        <v>0.1010438479418545</v>
      </c>
      <c r="R139" s="39"/>
      <c r="S139" s="4"/>
      <c r="T139" s="62"/>
      <c r="U139" s="62" t="str">
        <f t="shared" ref="U139:AZ139" si="482">IFERROR(U130/T130-1,"NM")</f>
        <v>NM</v>
      </c>
      <c r="V139" s="62" t="str">
        <f t="shared" si="482"/>
        <v>NM</v>
      </c>
      <c r="W139" s="62" t="str">
        <f t="shared" si="482"/>
        <v>NM</v>
      </c>
      <c r="X139" s="62" t="str">
        <f t="shared" si="482"/>
        <v>NM</v>
      </c>
      <c r="Y139" s="62" t="str">
        <f t="shared" si="482"/>
        <v>NM</v>
      </c>
      <c r="Z139" s="62" t="str">
        <f t="shared" si="482"/>
        <v>NM</v>
      </c>
      <c r="AA139" s="62" t="str">
        <f t="shared" si="482"/>
        <v>NM</v>
      </c>
      <c r="AB139" s="62" t="str">
        <f t="shared" si="482"/>
        <v>NM</v>
      </c>
      <c r="AC139" s="62" t="str">
        <f t="shared" si="482"/>
        <v>NM</v>
      </c>
      <c r="AD139" s="62" t="str">
        <f t="shared" si="482"/>
        <v>NM</v>
      </c>
      <c r="AE139" s="62" t="str">
        <f t="shared" si="482"/>
        <v>NM</v>
      </c>
      <c r="AF139" s="62" t="str">
        <f t="shared" si="482"/>
        <v>NM</v>
      </c>
      <c r="AG139" s="62" t="str">
        <f t="shared" si="482"/>
        <v>NM</v>
      </c>
      <c r="AH139" s="62" t="str">
        <f t="shared" si="482"/>
        <v>NM</v>
      </c>
      <c r="AI139" s="62" t="str">
        <f t="shared" si="482"/>
        <v>NM</v>
      </c>
      <c r="AJ139" s="62" t="str">
        <f t="shared" si="482"/>
        <v>NM</v>
      </c>
      <c r="AK139" s="62" t="str">
        <f t="shared" si="482"/>
        <v>NM</v>
      </c>
      <c r="AL139" s="62" t="str">
        <f t="shared" si="482"/>
        <v>NM</v>
      </c>
      <c r="AM139" s="62" t="str">
        <f t="shared" si="482"/>
        <v>NM</v>
      </c>
      <c r="AN139" s="62" t="str">
        <f t="shared" si="482"/>
        <v>NM</v>
      </c>
      <c r="AO139" s="62" t="str">
        <f t="shared" si="482"/>
        <v>NM</v>
      </c>
      <c r="AP139" s="62" t="str">
        <f t="shared" si="482"/>
        <v>NM</v>
      </c>
      <c r="AQ139" s="62" t="str">
        <f t="shared" si="482"/>
        <v>NM</v>
      </c>
      <c r="AR139" s="62" t="str">
        <f t="shared" si="482"/>
        <v>NM</v>
      </c>
      <c r="AS139" s="62" t="str">
        <f t="shared" si="482"/>
        <v>NM</v>
      </c>
      <c r="AT139" s="62" t="str">
        <f t="shared" si="482"/>
        <v>NM</v>
      </c>
      <c r="AU139" s="62" t="str">
        <f t="shared" si="482"/>
        <v>NM</v>
      </c>
      <c r="AV139" s="62" t="str">
        <f t="shared" si="482"/>
        <v>NM</v>
      </c>
      <c r="AW139" s="62" t="str">
        <f t="shared" si="482"/>
        <v>NM</v>
      </c>
      <c r="AX139" s="62">
        <f t="shared" si="482"/>
        <v>1.210971845397335E-2</v>
      </c>
      <c r="AY139" s="62">
        <f t="shared" si="482"/>
        <v>-5.2411212104536142E-3</v>
      </c>
      <c r="AZ139" s="62">
        <f t="shared" si="482"/>
        <v>-3.3478457625267133E-2</v>
      </c>
      <c r="BA139" s="62">
        <f t="shared" ref="BA139:BW139" si="483">IFERROR(BA130/AZ130-1,"NM")</f>
        <v>-3.2904906052073746E-2</v>
      </c>
      <c r="BB139" s="62">
        <f t="shared" si="483"/>
        <v>0.14787074432977998</v>
      </c>
      <c r="BC139" s="62">
        <f t="shared" si="483"/>
        <v>4.4478419196667396E-3</v>
      </c>
      <c r="BD139" s="62">
        <f t="shared" si="483"/>
        <v>-9.4148358023129486E-3</v>
      </c>
      <c r="BE139" s="62">
        <f t="shared" si="483"/>
        <v>0.17722044601069986</v>
      </c>
      <c r="BF139" s="62">
        <f t="shared" si="483"/>
        <v>9.2971701013988994E-2</v>
      </c>
      <c r="BG139" s="62">
        <f t="shared" si="483"/>
        <v>1.2034138846655384E-2</v>
      </c>
      <c r="BH139" s="62">
        <f t="shared" si="483"/>
        <v>-0.24958238908040697</v>
      </c>
      <c r="BI139" s="62">
        <f t="shared" si="483"/>
        <v>-0.28781325104674826</v>
      </c>
      <c r="BJ139" s="62">
        <f t="shared" si="483"/>
        <v>3.6801286829852398E-2</v>
      </c>
      <c r="BK139" s="62">
        <f t="shared" si="483"/>
        <v>-8.1658239815842415E-2</v>
      </c>
      <c r="BL139" s="62">
        <f t="shared" si="483"/>
        <v>-0.14675159608146937</v>
      </c>
      <c r="BM139" s="62">
        <f t="shared" si="483"/>
        <v>-0.17655710974201666</v>
      </c>
      <c r="BN139" s="62">
        <f t="shared" si="483"/>
        <v>0.20989401592886514</v>
      </c>
      <c r="BO139" s="62">
        <f t="shared" si="483"/>
        <v>0.17307429896977577</v>
      </c>
      <c r="BP139" s="62">
        <f t="shared" si="483"/>
        <v>5.5196707044288473E-2</v>
      </c>
      <c r="BQ139" s="62">
        <f t="shared" si="483"/>
        <v>0.36815789545907385</v>
      </c>
      <c r="BR139" s="62">
        <f t="shared" si="483"/>
        <v>0.1350828018911816</v>
      </c>
      <c r="BS139" s="62">
        <f t="shared" si="483"/>
        <v>9.0759798994210161E-2</v>
      </c>
      <c r="BT139" s="115">
        <f t="shared" si="483"/>
        <v>5.9152840554517194E-2</v>
      </c>
      <c r="BU139" s="115">
        <f t="shared" si="483"/>
        <v>0.17839052413415701</v>
      </c>
      <c r="BV139" s="115">
        <f t="shared" si="483"/>
        <v>7.9029289800848668E-2</v>
      </c>
      <c r="BW139" s="115">
        <f t="shared" si="483"/>
        <v>3.3394330473139444E-2</v>
      </c>
      <c r="BX139" s="115">
        <f t="shared" si="472"/>
        <v>8.0913214983360238E-3</v>
      </c>
      <c r="BY139" s="115">
        <f t="shared" si="473"/>
        <v>4.7901425108556328E-3</v>
      </c>
      <c r="BZ139" s="115">
        <f t="shared" si="474"/>
        <v>3.8089096998818128E-2</v>
      </c>
      <c r="CA139" s="115">
        <f t="shared" si="475"/>
        <v>6.1073080393134749E-2</v>
      </c>
      <c r="CB139" s="115">
        <f t="shared" si="476"/>
        <v>2.8831530315765352E-2</v>
      </c>
      <c r="CC139" s="115">
        <f t="shared" si="477"/>
        <v>1.6270855190556599E-3</v>
      </c>
      <c r="CD139" s="115">
        <f t="shared" si="478"/>
        <v>3.6600176114696126E-3</v>
      </c>
      <c r="CE139" s="115">
        <f t="shared" si="479"/>
        <v>5.0759858043429862E-3</v>
      </c>
      <c r="CF139" s="4"/>
      <c r="CG139" s="4"/>
      <c r="CH139" s="4"/>
      <c r="CI139" s="4"/>
      <c r="CJ139" s="4"/>
      <c r="CK139" s="4"/>
      <c r="CL139" s="4"/>
      <c r="CM139" s="4"/>
      <c r="CN139" s="240">
        <f t="shared" si="480"/>
        <v>132</v>
      </c>
    </row>
    <row r="140" spans="1:92" hidden="1" outlineLevel="2">
      <c r="A140" s="144"/>
      <c r="B140" s="39" t="s">
        <v>11</v>
      </c>
      <c r="C140" s="39"/>
      <c r="D140" s="39"/>
      <c r="E140" s="39"/>
      <c r="F140" s="62" t="str">
        <f t="shared" ref="F140:O140" si="484">IFERROR(F131/E131-1,"NM")</f>
        <v>NM</v>
      </c>
      <c r="G140" s="62">
        <f t="shared" si="484"/>
        <v>1.0722590883325611</v>
      </c>
      <c r="H140" s="62">
        <f t="shared" si="484"/>
        <v>0.83584191305236089</v>
      </c>
      <c r="I140" s="62">
        <f t="shared" si="484"/>
        <v>6.296620353949911E-2</v>
      </c>
      <c r="J140" s="62">
        <f t="shared" si="484"/>
        <v>-0.21695709791326157</v>
      </c>
      <c r="K140" s="62">
        <f t="shared" si="484"/>
        <v>0.2556684460665628</v>
      </c>
      <c r="L140" s="62">
        <f t="shared" si="484"/>
        <v>-0.46223899860420226</v>
      </c>
      <c r="M140" s="62">
        <f t="shared" si="484"/>
        <v>-0.37735576730135612</v>
      </c>
      <c r="N140" s="62">
        <f t="shared" si="484"/>
        <v>0.55401834315766574</v>
      </c>
      <c r="O140" s="124">
        <f t="shared" si="484"/>
        <v>0.37875371789565015</v>
      </c>
      <c r="P140" s="124">
        <f t="shared" si="469"/>
        <v>0.15520176874646796</v>
      </c>
      <c r="Q140" s="124">
        <f t="shared" si="469"/>
        <v>0.10104384794185428</v>
      </c>
      <c r="R140" s="39"/>
      <c r="S140" s="4"/>
      <c r="T140" s="62"/>
      <c r="U140" s="62" t="str">
        <f t="shared" ref="U140:AZ140" si="485">IFERROR(U131/T131-1,"NM")</f>
        <v>NM</v>
      </c>
      <c r="V140" s="62" t="str">
        <f t="shared" si="485"/>
        <v>NM</v>
      </c>
      <c r="W140" s="62" t="str">
        <f t="shared" si="485"/>
        <v>NM</v>
      </c>
      <c r="X140" s="62" t="str">
        <f t="shared" si="485"/>
        <v>NM</v>
      </c>
      <c r="Y140" s="62" t="str">
        <f t="shared" si="485"/>
        <v>NM</v>
      </c>
      <c r="Z140" s="62" t="str">
        <f t="shared" si="485"/>
        <v>NM</v>
      </c>
      <c r="AA140" s="62" t="str">
        <f t="shared" si="485"/>
        <v>NM</v>
      </c>
      <c r="AB140" s="62" t="str">
        <f t="shared" si="485"/>
        <v>NM</v>
      </c>
      <c r="AC140" s="62" t="str">
        <f t="shared" si="485"/>
        <v>NM</v>
      </c>
      <c r="AD140" s="62" t="str">
        <f t="shared" si="485"/>
        <v>NM</v>
      </c>
      <c r="AE140" s="62" t="str">
        <f t="shared" si="485"/>
        <v>NM</v>
      </c>
      <c r="AF140" s="62" t="str">
        <f t="shared" si="485"/>
        <v>NM</v>
      </c>
      <c r="AG140" s="62" t="str">
        <f t="shared" si="485"/>
        <v>NM</v>
      </c>
      <c r="AH140" s="62" t="str">
        <f t="shared" si="485"/>
        <v>NM</v>
      </c>
      <c r="AI140" s="62" t="str">
        <f t="shared" si="485"/>
        <v>NM</v>
      </c>
      <c r="AJ140" s="62" t="str">
        <f t="shared" si="485"/>
        <v>NM</v>
      </c>
      <c r="AK140" s="62" t="str">
        <f t="shared" si="485"/>
        <v>NM</v>
      </c>
      <c r="AL140" s="62" t="str">
        <f t="shared" si="485"/>
        <v>NM</v>
      </c>
      <c r="AM140" s="62" t="str">
        <f t="shared" si="485"/>
        <v>NM</v>
      </c>
      <c r="AN140" s="62" t="str">
        <f t="shared" si="485"/>
        <v>NM</v>
      </c>
      <c r="AO140" s="62" t="str">
        <f t="shared" si="485"/>
        <v>NM</v>
      </c>
      <c r="AP140" s="62" t="str">
        <f t="shared" si="485"/>
        <v>NM</v>
      </c>
      <c r="AQ140" s="62">
        <f t="shared" si="485"/>
        <v>8.5850430178689763E-2</v>
      </c>
      <c r="AR140" s="62">
        <f t="shared" si="485"/>
        <v>5.7631571948457028E-2</v>
      </c>
      <c r="AS140" s="62">
        <f t="shared" si="485"/>
        <v>0.45545197125950532</v>
      </c>
      <c r="AT140" s="62">
        <f t="shared" si="485"/>
        <v>-5.7165245949316601E-3</v>
      </c>
      <c r="AU140" s="62">
        <f t="shared" si="485"/>
        <v>-3.8732864097484221E-2</v>
      </c>
      <c r="AV140" s="62">
        <f t="shared" si="485"/>
        <v>0.32485883897908385</v>
      </c>
      <c r="AW140" s="62">
        <f t="shared" si="485"/>
        <v>-0.21811768899561945</v>
      </c>
      <c r="AX140" s="62">
        <f t="shared" si="485"/>
        <v>-5.5364262776291362E-2</v>
      </c>
      <c r="AY140" s="62">
        <f t="shared" si="485"/>
        <v>-5.2411212104533922E-3</v>
      </c>
      <c r="AZ140" s="62">
        <f t="shared" si="485"/>
        <v>-0.17626004911244364</v>
      </c>
      <c r="BA140" s="62">
        <f t="shared" ref="BA140:BW140" si="486">IFERROR(BA131/AZ131-1,"NM")</f>
        <v>2.0822599167255706E-2</v>
      </c>
      <c r="BB140" s="62">
        <f t="shared" si="486"/>
        <v>-5.7540620542059218E-3</v>
      </c>
      <c r="BC140" s="62">
        <f t="shared" si="486"/>
        <v>2.8381498653080595E-3</v>
      </c>
      <c r="BD140" s="62">
        <f t="shared" si="486"/>
        <v>4.1783947965208013E-2</v>
      </c>
      <c r="BE140" s="62">
        <f t="shared" si="486"/>
        <v>0.13591446544892083</v>
      </c>
      <c r="BF140" s="62">
        <f t="shared" si="486"/>
        <v>-4.3968226560607504E-2</v>
      </c>
      <c r="BG140" s="62">
        <f t="shared" si="486"/>
        <v>0.17328188118147159</v>
      </c>
      <c r="BH140" s="62">
        <f t="shared" si="486"/>
        <v>-0.34325360564592711</v>
      </c>
      <c r="BI140" s="62">
        <f t="shared" si="486"/>
        <v>-0.2360787664117644</v>
      </c>
      <c r="BJ140" s="62">
        <f t="shared" si="486"/>
        <v>-0.16053690289266798</v>
      </c>
      <c r="BK140" s="62">
        <f t="shared" si="486"/>
        <v>-8.1658239815842415E-2</v>
      </c>
      <c r="BL140" s="62">
        <f t="shared" si="486"/>
        <v>-0.39662659051415716</v>
      </c>
      <c r="BM140" s="62">
        <f t="shared" si="486"/>
        <v>4.3800846805894356E-2</v>
      </c>
      <c r="BN140" s="62">
        <f t="shared" si="486"/>
        <v>0.31783061900965603</v>
      </c>
      <c r="BO140" s="62">
        <f t="shared" si="486"/>
        <v>0.3282925109731416</v>
      </c>
      <c r="BP140" s="62">
        <f t="shared" si="486"/>
        <v>-0.12499044563280737</v>
      </c>
      <c r="BQ140" s="62">
        <f t="shared" si="486"/>
        <v>0.20769493241140502</v>
      </c>
      <c r="BR140" s="62">
        <f t="shared" si="486"/>
        <v>0.25368860822485351</v>
      </c>
      <c r="BS140" s="62">
        <f t="shared" si="486"/>
        <v>-7.9633419326931021E-2</v>
      </c>
      <c r="BT140" s="115">
        <f t="shared" si="486"/>
        <v>5.9152840554517194E-2</v>
      </c>
      <c r="BU140" s="115">
        <f t="shared" si="486"/>
        <v>0.17839052413415724</v>
      </c>
      <c r="BV140" s="115">
        <f t="shared" si="486"/>
        <v>7.9029289800848446E-2</v>
      </c>
      <c r="BW140" s="115">
        <f t="shared" si="486"/>
        <v>3.3394330473139666E-2</v>
      </c>
      <c r="BX140" s="115">
        <f t="shared" si="472"/>
        <v>8.0913214983358017E-3</v>
      </c>
      <c r="BY140" s="115">
        <f t="shared" si="473"/>
        <v>4.7901425108556328E-3</v>
      </c>
      <c r="BZ140" s="115">
        <f t="shared" si="474"/>
        <v>3.8089096998818128E-2</v>
      </c>
      <c r="CA140" s="115">
        <f t="shared" si="475"/>
        <v>6.1073080393134749E-2</v>
      </c>
      <c r="CB140" s="115">
        <f t="shared" si="476"/>
        <v>2.8831530315765574E-2</v>
      </c>
      <c r="CC140" s="115">
        <f t="shared" si="477"/>
        <v>1.6270855190556599E-3</v>
      </c>
      <c r="CD140" s="115">
        <f t="shared" si="478"/>
        <v>3.6600176114693905E-3</v>
      </c>
      <c r="CE140" s="115">
        <f t="shared" si="479"/>
        <v>5.0759858043432082E-3</v>
      </c>
      <c r="CF140" s="4"/>
      <c r="CG140" s="4"/>
      <c r="CH140" s="4"/>
      <c r="CI140" s="4"/>
      <c r="CJ140" s="4"/>
      <c r="CK140" s="4"/>
      <c r="CL140" s="4"/>
      <c r="CM140" s="4"/>
      <c r="CN140" s="240">
        <f t="shared" si="480"/>
        <v>133</v>
      </c>
    </row>
    <row r="141" spans="1:92" hidden="1" outlineLevel="2">
      <c r="A141" s="144"/>
      <c r="B141" s="39" t="s">
        <v>12</v>
      </c>
      <c r="C141" s="39"/>
      <c r="D141" s="39"/>
      <c r="E141" s="39"/>
      <c r="F141" s="62" t="str">
        <f t="shared" ref="F141:O141" si="487">IFERROR(F132/E132-1,"NM")</f>
        <v>NM</v>
      </c>
      <c r="G141" s="62">
        <f t="shared" si="487"/>
        <v>0.33216655678521767</v>
      </c>
      <c r="H141" s="62">
        <f t="shared" si="487"/>
        <v>0.33515775494717159</v>
      </c>
      <c r="I141" s="62">
        <f t="shared" si="487"/>
        <v>6.296620353949911E-2</v>
      </c>
      <c r="J141" s="62">
        <f t="shared" si="487"/>
        <v>-4.2947564116208481E-2</v>
      </c>
      <c r="K141" s="62">
        <f t="shared" si="487"/>
        <v>-5.8248665450077897E-2</v>
      </c>
      <c r="L141" s="62">
        <f t="shared" si="487"/>
        <v>-0.24026286040735345</v>
      </c>
      <c r="M141" s="62">
        <f t="shared" si="487"/>
        <v>-0.29906091805428281</v>
      </c>
      <c r="N141" s="62">
        <f t="shared" si="487"/>
        <v>-0.22444391254750173</v>
      </c>
      <c r="O141" s="124">
        <f t="shared" si="487"/>
        <v>0.48891010539586399</v>
      </c>
      <c r="P141" s="124">
        <f t="shared" si="469"/>
        <v>0.15520176874646796</v>
      </c>
      <c r="Q141" s="124">
        <f t="shared" si="469"/>
        <v>0.10104384794185428</v>
      </c>
      <c r="R141" s="39"/>
      <c r="S141" s="4"/>
      <c r="T141" s="62"/>
      <c r="U141" s="62" t="str">
        <f t="shared" ref="U141:AZ141" si="488">IFERROR(U132/T132-1,"NM")</f>
        <v>NM</v>
      </c>
      <c r="V141" s="62" t="str">
        <f t="shared" si="488"/>
        <v>NM</v>
      </c>
      <c r="W141" s="62" t="str">
        <f t="shared" si="488"/>
        <v>NM</v>
      </c>
      <c r="X141" s="62" t="str">
        <f t="shared" si="488"/>
        <v>NM</v>
      </c>
      <c r="Y141" s="62" t="str">
        <f t="shared" si="488"/>
        <v>NM</v>
      </c>
      <c r="Z141" s="62" t="str">
        <f t="shared" si="488"/>
        <v>NM</v>
      </c>
      <c r="AA141" s="62" t="str">
        <f t="shared" si="488"/>
        <v>NM</v>
      </c>
      <c r="AB141" s="62" t="str">
        <f t="shared" si="488"/>
        <v>NM</v>
      </c>
      <c r="AC141" s="62" t="str">
        <f t="shared" si="488"/>
        <v>NM</v>
      </c>
      <c r="AD141" s="62" t="str">
        <f t="shared" si="488"/>
        <v>NM</v>
      </c>
      <c r="AE141" s="62" t="str">
        <f t="shared" si="488"/>
        <v>NM</v>
      </c>
      <c r="AF141" s="62" t="str">
        <f t="shared" si="488"/>
        <v>NM</v>
      </c>
      <c r="AG141" s="62" t="str">
        <f t="shared" si="488"/>
        <v>NM</v>
      </c>
      <c r="AH141" s="62" t="str">
        <f t="shared" si="488"/>
        <v>NM</v>
      </c>
      <c r="AI141" s="62" t="str">
        <f t="shared" si="488"/>
        <v>NM</v>
      </c>
      <c r="AJ141" s="62" t="str">
        <f t="shared" si="488"/>
        <v>NM</v>
      </c>
      <c r="AK141" s="62" t="str">
        <f t="shared" si="488"/>
        <v>NM</v>
      </c>
      <c r="AL141" s="62" t="str">
        <f t="shared" si="488"/>
        <v>NM</v>
      </c>
      <c r="AM141" s="62" t="str">
        <f t="shared" si="488"/>
        <v>NM</v>
      </c>
      <c r="AN141" s="62" t="str">
        <f t="shared" si="488"/>
        <v>NM</v>
      </c>
      <c r="AO141" s="62" t="str">
        <f t="shared" si="488"/>
        <v>NM</v>
      </c>
      <c r="AP141" s="62" t="str">
        <f t="shared" si="488"/>
        <v>NM</v>
      </c>
      <c r="AQ141" s="62" t="str">
        <f t="shared" si="488"/>
        <v>NM</v>
      </c>
      <c r="AR141" s="62" t="str">
        <f t="shared" si="488"/>
        <v>NM</v>
      </c>
      <c r="AS141" s="62" t="str">
        <f t="shared" si="488"/>
        <v>NM</v>
      </c>
      <c r="AT141" s="62" t="str">
        <f t="shared" si="488"/>
        <v>NM</v>
      </c>
      <c r="AU141" s="62" t="str">
        <f t="shared" si="488"/>
        <v>NM</v>
      </c>
      <c r="AV141" s="62" t="str">
        <f t="shared" si="488"/>
        <v>NM</v>
      </c>
      <c r="AW141" s="62" t="str">
        <f t="shared" si="488"/>
        <v>NM</v>
      </c>
      <c r="AX141" s="62" t="str">
        <f t="shared" si="488"/>
        <v>NM</v>
      </c>
      <c r="AY141" s="62" t="str">
        <f t="shared" si="488"/>
        <v>NM</v>
      </c>
      <c r="AZ141" s="62">
        <f t="shared" si="488"/>
        <v>0.13264243247039009</v>
      </c>
      <c r="BA141" s="62" t="str">
        <f t="shared" ref="BA141:BW141" si="489">IFERROR(BA132/AZ132-1,"NM")</f>
        <v>NM</v>
      </c>
      <c r="BB141" s="62" t="str">
        <f t="shared" si="489"/>
        <v>NM</v>
      </c>
      <c r="BC141" s="62" t="str">
        <f t="shared" si="489"/>
        <v>NM</v>
      </c>
      <c r="BD141" s="62" t="str">
        <f t="shared" si="489"/>
        <v>NM</v>
      </c>
      <c r="BE141" s="62" t="str">
        <f t="shared" si="489"/>
        <v>NM</v>
      </c>
      <c r="BF141" s="62" t="str">
        <f t="shared" si="489"/>
        <v>NM</v>
      </c>
      <c r="BG141" s="62" t="str">
        <f t="shared" si="489"/>
        <v>NM</v>
      </c>
      <c r="BH141" s="62">
        <f t="shared" si="489"/>
        <v>-0.40557389521769804</v>
      </c>
      <c r="BI141" s="62">
        <f t="shared" si="489"/>
        <v>4.9141198204629033E-2</v>
      </c>
      <c r="BJ141" s="62">
        <f t="shared" si="489"/>
        <v>-0.20404624277456662</v>
      </c>
      <c r="BK141" s="62">
        <f t="shared" si="489"/>
        <v>-0.20979895053921327</v>
      </c>
      <c r="BL141" s="62">
        <f t="shared" si="489"/>
        <v>-0.29464798609401455</v>
      </c>
      <c r="BM141" s="62">
        <f t="shared" si="489"/>
        <v>0.14455382429681096</v>
      </c>
      <c r="BN141" s="62">
        <f t="shared" si="489"/>
        <v>0.71317980471255282</v>
      </c>
      <c r="BO141" s="62">
        <f t="shared" si="489"/>
        <v>-0.37175354210729783</v>
      </c>
      <c r="BP141" s="62">
        <f t="shared" si="489"/>
        <v>3.0825340128179946E-3</v>
      </c>
      <c r="BQ141" s="62">
        <f t="shared" si="489"/>
        <v>6.0977617015006036E-2</v>
      </c>
      <c r="BR141" s="62">
        <f t="shared" si="489"/>
        <v>0.33505592180214383</v>
      </c>
      <c r="BS141" s="62">
        <f t="shared" si="489"/>
        <v>-0.30213962564349706</v>
      </c>
      <c r="BT141" s="115">
        <f t="shared" si="489"/>
        <v>5.9152840554516972E-2</v>
      </c>
      <c r="BU141" s="115">
        <f t="shared" si="489"/>
        <v>0.17839052413415724</v>
      </c>
      <c r="BV141" s="115">
        <f t="shared" si="489"/>
        <v>7.9029289800848668E-2</v>
      </c>
      <c r="BW141" s="115">
        <f t="shared" si="489"/>
        <v>3.3394330473139444E-2</v>
      </c>
      <c r="BX141" s="115">
        <f t="shared" si="472"/>
        <v>8.0913214983358017E-3</v>
      </c>
      <c r="BY141" s="115">
        <f t="shared" si="473"/>
        <v>4.7901425108556328E-3</v>
      </c>
      <c r="BZ141" s="115">
        <f t="shared" si="474"/>
        <v>3.8089096998818128E-2</v>
      </c>
      <c r="CA141" s="115">
        <f t="shared" si="475"/>
        <v>6.1073080393134749E-2</v>
      </c>
      <c r="CB141" s="115">
        <f t="shared" si="476"/>
        <v>2.8831530315765352E-2</v>
      </c>
      <c r="CC141" s="115">
        <f t="shared" si="477"/>
        <v>1.6270855190556599E-3</v>
      </c>
      <c r="CD141" s="115">
        <f t="shared" si="478"/>
        <v>3.6600176114693905E-3</v>
      </c>
      <c r="CE141" s="115">
        <f t="shared" si="479"/>
        <v>5.0759858043432082E-3</v>
      </c>
      <c r="CF141" s="4"/>
      <c r="CG141" s="4"/>
      <c r="CH141" s="4"/>
      <c r="CI141" s="4"/>
      <c r="CJ141" s="4"/>
      <c r="CK141" s="4"/>
      <c r="CL141" s="4"/>
      <c r="CM141" s="4"/>
      <c r="CN141" s="240">
        <f t="shared" si="480"/>
        <v>134</v>
      </c>
    </row>
    <row r="142" spans="1:92" hidden="1" outlineLevel="2">
      <c r="A142" s="144"/>
      <c r="B142" s="39" t="s">
        <v>10</v>
      </c>
      <c r="C142" s="39"/>
      <c r="D142" s="39"/>
      <c r="E142" s="39"/>
      <c r="F142" s="62" t="str">
        <f t="shared" ref="F142:O142" si="490">IFERROR(F133/E133-1,"NM")</f>
        <v>NM</v>
      </c>
      <c r="G142" s="62">
        <f t="shared" si="490"/>
        <v>0.86503317949930514</v>
      </c>
      <c r="H142" s="62">
        <f t="shared" si="490"/>
        <v>0.25171039526297334</v>
      </c>
      <c r="I142" s="62">
        <f t="shared" si="490"/>
        <v>-0.11419483038375067</v>
      </c>
      <c r="J142" s="62">
        <f t="shared" si="490"/>
        <v>-0.23435805129296683</v>
      </c>
      <c r="K142" s="62">
        <f t="shared" si="490"/>
        <v>0.25566844606656303</v>
      </c>
      <c r="L142" s="62">
        <f t="shared" si="490"/>
        <v>-0.51804775193771913</v>
      </c>
      <c r="M142" s="62">
        <f t="shared" si="490"/>
        <v>-0.74730019565983419</v>
      </c>
      <c r="N142" s="62">
        <f t="shared" si="490"/>
        <v>1.6577979725771881</v>
      </c>
      <c r="O142" s="124">
        <f t="shared" si="490"/>
        <v>0.6385267775814516</v>
      </c>
      <c r="P142" s="124">
        <f t="shared" si="469"/>
        <v>0.15520176874646796</v>
      </c>
      <c r="Q142" s="124">
        <f t="shared" si="469"/>
        <v>0.10104384794185428</v>
      </c>
      <c r="R142" s="39"/>
      <c r="S142" s="4"/>
      <c r="T142" s="62"/>
      <c r="U142" s="62" t="str">
        <f t="shared" ref="U142:AZ142" si="491">IFERROR(U133/T133-1,"NM")</f>
        <v>NM</v>
      </c>
      <c r="V142" s="62" t="str">
        <f t="shared" si="491"/>
        <v>NM</v>
      </c>
      <c r="W142" s="62" t="str">
        <f t="shared" si="491"/>
        <v>NM</v>
      </c>
      <c r="X142" s="62" t="str">
        <f t="shared" si="491"/>
        <v>NM</v>
      </c>
      <c r="Y142" s="62" t="str">
        <f t="shared" si="491"/>
        <v>NM</v>
      </c>
      <c r="Z142" s="62" t="str">
        <f t="shared" si="491"/>
        <v>NM</v>
      </c>
      <c r="AA142" s="62" t="str">
        <f t="shared" si="491"/>
        <v>NM</v>
      </c>
      <c r="AB142" s="62" t="str">
        <f t="shared" si="491"/>
        <v>NM</v>
      </c>
      <c r="AC142" s="62" t="str">
        <f t="shared" si="491"/>
        <v>NM</v>
      </c>
      <c r="AD142" s="62" t="str">
        <f t="shared" si="491"/>
        <v>NM</v>
      </c>
      <c r="AE142" s="62" t="str">
        <f t="shared" si="491"/>
        <v>NM</v>
      </c>
      <c r="AF142" s="62" t="str">
        <f t="shared" si="491"/>
        <v>NM</v>
      </c>
      <c r="AG142" s="62" t="str">
        <f t="shared" si="491"/>
        <v>NM</v>
      </c>
      <c r="AH142" s="62" t="str">
        <f t="shared" si="491"/>
        <v>NM</v>
      </c>
      <c r="AI142" s="62" t="str">
        <f t="shared" si="491"/>
        <v>NM</v>
      </c>
      <c r="AJ142" s="62" t="str">
        <f t="shared" si="491"/>
        <v>NM</v>
      </c>
      <c r="AK142" s="62" t="str">
        <f t="shared" si="491"/>
        <v>NM</v>
      </c>
      <c r="AL142" s="62" t="str">
        <f t="shared" si="491"/>
        <v>NM</v>
      </c>
      <c r="AM142" s="62" t="str">
        <f t="shared" si="491"/>
        <v>NM</v>
      </c>
      <c r="AN142" s="62" t="str">
        <f t="shared" si="491"/>
        <v>NM</v>
      </c>
      <c r="AO142" s="62" t="str">
        <f t="shared" si="491"/>
        <v>NM</v>
      </c>
      <c r="AP142" s="62" t="str">
        <f t="shared" si="491"/>
        <v>NM</v>
      </c>
      <c r="AQ142" s="62" t="str">
        <f t="shared" si="491"/>
        <v>NM</v>
      </c>
      <c r="AR142" s="62" t="str">
        <f t="shared" si="491"/>
        <v>NM</v>
      </c>
      <c r="AS142" s="62" t="str">
        <f t="shared" si="491"/>
        <v>NM</v>
      </c>
      <c r="AT142" s="62" t="str">
        <f t="shared" si="491"/>
        <v>NM</v>
      </c>
      <c r="AU142" s="62" t="str">
        <f t="shared" si="491"/>
        <v>NM</v>
      </c>
      <c r="AV142" s="62" t="str">
        <f t="shared" si="491"/>
        <v>NM</v>
      </c>
      <c r="AW142" s="62" t="str">
        <f t="shared" si="491"/>
        <v>NM</v>
      </c>
      <c r="AX142" s="62" t="str">
        <f t="shared" si="491"/>
        <v>NM</v>
      </c>
      <c r="AY142" s="62" t="str">
        <f t="shared" si="491"/>
        <v>NM</v>
      </c>
      <c r="AZ142" s="62">
        <f t="shared" si="491"/>
        <v>-9.3886054023688104E-2</v>
      </c>
      <c r="BA142" s="62">
        <f t="shared" ref="BA142:BW142" si="492">IFERROR(BA133/AZ133-1,"NM")</f>
        <v>-3.2904906052073635E-2</v>
      </c>
      <c r="BB142" s="62" t="str">
        <f t="shared" si="492"/>
        <v>NM</v>
      </c>
      <c r="BC142" s="62" t="str">
        <f t="shared" si="492"/>
        <v>NM</v>
      </c>
      <c r="BD142" s="62" t="str">
        <f t="shared" si="492"/>
        <v>NM</v>
      </c>
      <c r="BE142" s="62">
        <f t="shared" si="492"/>
        <v>0.11009822759780907</v>
      </c>
      <c r="BF142" s="62">
        <f t="shared" si="492"/>
        <v>0.18877780718516157</v>
      </c>
      <c r="BG142" s="62">
        <f t="shared" si="492"/>
        <v>-0.1511971738705471</v>
      </c>
      <c r="BH142" s="62">
        <f t="shared" si="492"/>
        <v>-0.37344275441865471</v>
      </c>
      <c r="BI142" s="62">
        <f t="shared" si="492"/>
        <v>-0.32392062118598663</v>
      </c>
      <c r="BJ142" s="62">
        <f t="shared" si="492"/>
        <v>-7.3444011291840194E-2</v>
      </c>
      <c r="BK142" s="62">
        <f t="shared" si="492"/>
        <v>-0.13567834335608708</v>
      </c>
      <c r="BL142" s="62">
        <f t="shared" si="492"/>
        <v>-0.31669023652857664</v>
      </c>
      <c r="BM142" s="62" t="str">
        <f t="shared" si="492"/>
        <v>NM</v>
      </c>
      <c r="BN142" s="62" t="str">
        <f t="shared" si="492"/>
        <v>NM</v>
      </c>
      <c r="BO142" s="62" t="str">
        <f t="shared" si="492"/>
        <v>NM</v>
      </c>
      <c r="BP142" s="62">
        <f t="shared" si="492"/>
        <v>-2.873939465241615E-2</v>
      </c>
      <c r="BQ142" s="62">
        <f t="shared" si="492"/>
        <v>0.18911501037430645</v>
      </c>
      <c r="BR142" s="62">
        <f t="shared" si="492"/>
        <v>0.3286373837165566</v>
      </c>
      <c r="BS142" s="62">
        <f t="shared" si="492"/>
        <v>0.1592236218477463</v>
      </c>
      <c r="BT142" s="115">
        <f t="shared" si="492"/>
        <v>5.9152840554517194E-2</v>
      </c>
      <c r="BU142" s="115">
        <f t="shared" si="492"/>
        <v>0.17839052413415724</v>
      </c>
      <c r="BV142" s="115">
        <f t="shared" si="492"/>
        <v>7.9029289800848668E-2</v>
      </c>
      <c r="BW142" s="115">
        <f t="shared" si="492"/>
        <v>3.3394330473139444E-2</v>
      </c>
      <c r="BX142" s="115">
        <f t="shared" si="472"/>
        <v>8.0913214983358017E-3</v>
      </c>
      <c r="BY142" s="115">
        <f t="shared" si="473"/>
        <v>4.7901425108558549E-3</v>
      </c>
      <c r="BZ142" s="115">
        <f t="shared" si="474"/>
        <v>3.8089096998817906E-2</v>
      </c>
      <c r="CA142" s="115">
        <f t="shared" si="475"/>
        <v>6.1073080393134749E-2</v>
      </c>
      <c r="CB142" s="115">
        <f t="shared" si="476"/>
        <v>2.8831530315765352E-2</v>
      </c>
      <c r="CC142" s="115">
        <f t="shared" si="477"/>
        <v>1.6270855190556599E-3</v>
      </c>
      <c r="CD142" s="115">
        <f t="shared" si="478"/>
        <v>3.6600176114693905E-3</v>
      </c>
      <c r="CE142" s="115">
        <f t="shared" si="479"/>
        <v>5.0759858043432082E-3</v>
      </c>
      <c r="CF142" s="4"/>
      <c r="CG142" s="4"/>
      <c r="CH142" s="4"/>
      <c r="CI142" s="4"/>
      <c r="CJ142" s="4"/>
      <c r="CK142" s="4"/>
      <c r="CL142" s="4"/>
      <c r="CM142" s="4"/>
      <c r="CN142" s="240">
        <f t="shared" si="480"/>
        <v>135</v>
      </c>
    </row>
    <row r="143" spans="1:92" hidden="1" outlineLevel="2">
      <c r="A143" s="144"/>
      <c r="B143" s="39" t="s">
        <v>13</v>
      </c>
      <c r="C143" s="39"/>
      <c r="D143" s="39"/>
      <c r="E143" s="39"/>
      <c r="F143" s="62" t="str">
        <f t="shared" ref="F143:O143" si="493">IFERROR(F134/E134-1,"NM")</f>
        <v>NM</v>
      </c>
      <c r="G143" s="62">
        <f t="shared" si="493"/>
        <v>0.16564573718706566</v>
      </c>
      <c r="H143" s="62">
        <f t="shared" si="493"/>
        <v>0.33515775494717159</v>
      </c>
      <c r="I143" s="62">
        <f t="shared" si="493"/>
        <v>6.296620353949911E-2</v>
      </c>
      <c r="J143" s="62">
        <f t="shared" si="493"/>
        <v>-4.2947564116208481E-2</v>
      </c>
      <c r="K143" s="62">
        <f t="shared" si="493"/>
        <v>-5.8248665450077897E-2</v>
      </c>
      <c r="L143" s="62">
        <f t="shared" si="493"/>
        <v>-0.45929966163446501</v>
      </c>
      <c r="M143" s="62">
        <f t="shared" si="493"/>
        <v>-0.42320705152550964</v>
      </c>
      <c r="N143" s="62">
        <f t="shared" si="493"/>
        <v>9.0025158647633496E-2</v>
      </c>
      <c r="O143" s="115">
        <f t="shared" si="493"/>
        <v>-1</v>
      </c>
      <c r="P143" s="115" t="str">
        <f t="shared" si="469"/>
        <v>NM</v>
      </c>
      <c r="Q143" s="115" t="str">
        <f t="shared" si="469"/>
        <v>NM</v>
      </c>
      <c r="R143" s="39"/>
      <c r="S143" s="4"/>
      <c r="T143" s="62"/>
      <c r="U143" s="62" t="str">
        <f t="shared" ref="U143:AZ143" si="494">IFERROR(U134/T134-1,"NM")</f>
        <v>NM</v>
      </c>
      <c r="V143" s="62" t="str">
        <f t="shared" si="494"/>
        <v>NM</v>
      </c>
      <c r="W143" s="62" t="str">
        <f t="shared" si="494"/>
        <v>NM</v>
      </c>
      <c r="X143" s="62" t="str">
        <f t="shared" si="494"/>
        <v>NM</v>
      </c>
      <c r="Y143" s="62" t="str">
        <f t="shared" si="494"/>
        <v>NM</v>
      </c>
      <c r="Z143" s="62" t="str">
        <f t="shared" si="494"/>
        <v>NM</v>
      </c>
      <c r="AA143" s="62" t="str">
        <f t="shared" si="494"/>
        <v>NM</v>
      </c>
      <c r="AB143" s="62" t="str">
        <f t="shared" si="494"/>
        <v>NM</v>
      </c>
      <c r="AC143" s="62" t="str">
        <f t="shared" si="494"/>
        <v>NM</v>
      </c>
      <c r="AD143" s="62" t="str">
        <f t="shared" si="494"/>
        <v>NM</v>
      </c>
      <c r="AE143" s="62" t="str">
        <f t="shared" si="494"/>
        <v>NM</v>
      </c>
      <c r="AF143" s="62" t="str">
        <f t="shared" si="494"/>
        <v>NM</v>
      </c>
      <c r="AG143" s="62" t="str">
        <f t="shared" si="494"/>
        <v>NM</v>
      </c>
      <c r="AH143" s="62" t="str">
        <f t="shared" si="494"/>
        <v>NM</v>
      </c>
      <c r="AI143" s="62" t="str">
        <f t="shared" si="494"/>
        <v>NM</v>
      </c>
      <c r="AJ143" s="62" t="str">
        <f t="shared" si="494"/>
        <v>NM</v>
      </c>
      <c r="AK143" s="62" t="str">
        <f t="shared" si="494"/>
        <v>NM</v>
      </c>
      <c r="AL143" s="62" t="str">
        <f t="shared" si="494"/>
        <v>NM</v>
      </c>
      <c r="AM143" s="62" t="str">
        <f t="shared" si="494"/>
        <v>NM</v>
      </c>
      <c r="AN143" s="62" t="str">
        <f t="shared" si="494"/>
        <v>NM</v>
      </c>
      <c r="AO143" s="62" t="str">
        <f t="shared" si="494"/>
        <v>NM</v>
      </c>
      <c r="AP143" s="62" t="str">
        <f t="shared" si="494"/>
        <v>NM</v>
      </c>
      <c r="AQ143" s="62" t="str">
        <f t="shared" si="494"/>
        <v>NM</v>
      </c>
      <c r="AR143" s="62" t="str">
        <f t="shared" si="494"/>
        <v>NM</v>
      </c>
      <c r="AS143" s="62" t="str">
        <f t="shared" si="494"/>
        <v>NM</v>
      </c>
      <c r="AT143" s="62" t="str">
        <f t="shared" si="494"/>
        <v>NM</v>
      </c>
      <c r="AU143" s="62" t="str">
        <f t="shared" si="494"/>
        <v>NM</v>
      </c>
      <c r="AV143" s="62" t="str">
        <f t="shared" si="494"/>
        <v>NM</v>
      </c>
      <c r="AW143" s="62" t="str">
        <f t="shared" si="494"/>
        <v>NM</v>
      </c>
      <c r="AX143" s="62" t="str">
        <f t="shared" si="494"/>
        <v>NM</v>
      </c>
      <c r="AY143" s="62" t="str">
        <f t="shared" si="494"/>
        <v>NM</v>
      </c>
      <c r="AZ143" s="62" t="str">
        <f t="shared" si="494"/>
        <v>NM</v>
      </c>
      <c r="BA143" s="62">
        <f t="shared" ref="BA143:BW143" si="495">IFERROR(BA134/AZ134-1,"NM")</f>
        <v>0.39691513570256043</v>
      </c>
      <c r="BB143" s="62" t="str">
        <f t="shared" si="495"/>
        <v>NM</v>
      </c>
      <c r="BC143" s="62" t="str">
        <f t="shared" si="495"/>
        <v>NM</v>
      </c>
      <c r="BD143" s="62" t="str">
        <f t="shared" si="495"/>
        <v>NM</v>
      </c>
      <c r="BE143" s="62">
        <f t="shared" si="495"/>
        <v>0.39407684396003906</v>
      </c>
      <c r="BF143" s="62" t="str">
        <f t="shared" si="495"/>
        <v>NM</v>
      </c>
      <c r="BG143" s="62" t="str">
        <f t="shared" si="495"/>
        <v>NM</v>
      </c>
      <c r="BH143" s="62" t="str">
        <f t="shared" si="495"/>
        <v>NM</v>
      </c>
      <c r="BI143" s="62" t="str">
        <f t="shared" si="495"/>
        <v>NM</v>
      </c>
      <c r="BJ143" s="62" t="str">
        <f t="shared" si="495"/>
        <v>NM</v>
      </c>
      <c r="BK143" s="62" t="str">
        <f t="shared" si="495"/>
        <v>NM</v>
      </c>
      <c r="BL143" s="62" t="str">
        <f t="shared" si="495"/>
        <v>NM</v>
      </c>
      <c r="BM143" s="62" t="str">
        <f t="shared" si="495"/>
        <v>NM</v>
      </c>
      <c r="BN143" s="62" t="str">
        <f t="shared" si="495"/>
        <v>NM</v>
      </c>
      <c r="BO143" s="62" t="str">
        <f t="shared" si="495"/>
        <v>NM</v>
      </c>
      <c r="BP143" s="62" t="str">
        <f t="shared" si="495"/>
        <v>NM</v>
      </c>
      <c r="BQ143" s="62" t="str">
        <f t="shared" si="495"/>
        <v>NM</v>
      </c>
      <c r="BR143" s="62" t="str">
        <f t="shared" si="495"/>
        <v>NM</v>
      </c>
      <c r="BS143" s="62" t="str">
        <f t="shared" si="495"/>
        <v>NM</v>
      </c>
      <c r="BT143" s="115" t="str">
        <f t="shared" si="495"/>
        <v>NM</v>
      </c>
      <c r="BU143" s="115" t="str">
        <f t="shared" si="495"/>
        <v>NM</v>
      </c>
      <c r="BV143" s="115" t="str">
        <f t="shared" si="495"/>
        <v>NM</v>
      </c>
      <c r="BW143" s="115" t="str">
        <f t="shared" si="495"/>
        <v>NM</v>
      </c>
      <c r="BX143" s="115" t="str">
        <f t="shared" si="472"/>
        <v>NM</v>
      </c>
      <c r="BY143" s="115" t="str">
        <f t="shared" si="473"/>
        <v>NM</v>
      </c>
      <c r="BZ143" s="115" t="str">
        <f t="shared" si="474"/>
        <v>NM</v>
      </c>
      <c r="CA143" s="115" t="str">
        <f t="shared" si="475"/>
        <v>NM</v>
      </c>
      <c r="CB143" s="115" t="str">
        <f t="shared" si="476"/>
        <v>NM</v>
      </c>
      <c r="CC143" s="115" t="str">
        <f t="shared" si="477"/>
        <v>NM</v>
      </c>
      <c r="CD143" s="115" t="str">
        <f t="shared" si="478"/>
        <v>NM</v>
      </c>
      <c r="CE143" s="115" t="str">
        <f t="shared" si="479"/>
        <v>NM</v>
      </c>
      <c r="CF143" s="4"/>
      <c r="CG143" s="4"/>
      <c r="CH143" s="4"/>
      <c r="CI143" s="4"/>
      <c r="CJ143" s="4"/>
      <c r="CK143" s="4"/>
      <c r="CL143" s="4"/>
      <c r="CM143" s="4"/>
      <c r="CN143" s="240">
        <f t="shared" si="480"/>
        <v>136</v>
      </c>
    </row>
    <row r="144" spans="1:92" hidden="1" outlineLevel="2">
      <c r="A144" s="144"/>
      <c r="B144" s="39" t="s">
        <v>275</v>
      </c>
      <c r="C144" s="39"/>
      <c r="D144" s="39"/>
      <c r="E144" s="39"/>
      <c r="F144" s="62" t="str">
        <f t="shared" ref="F144:O144" si="496">IFERROR(F135/E135-1,"NM")</f>
        <v>NM</v>
      </c>
      <c r="G144" s="62" t="str">
        <f t="shared" si="496"/>
        <v>NM</v>
      </c>
      <c r="H144" s="62" t="str">
        <f t="shared" si="496"/>
        <v>NM</v>
      </c>
      <c r="I144" s="62" t="str">
        <f t="shared" si="496"/>
        <v>NM</v>
      </c>
      <c r="J144" s="62" t="str">
        <f t="shared" si="496"/>
        <v>NM</v>
      </c>
      <c r="K144" s="62" t="str">
        <f t="shared" si="496"/>
        <v>NM</v>
      </c>
      <c r="L144" s="62" t="str">
        <f t="shared" si="496"/>
        <v>NM</v>
      </c>
      <c r="M144" s="62" t="str">
        <f t="shared" si="496"/>
        <v>NM</v>
      </c>
      <c r="N144" s="62" t="str">
        <f t="shared" si="496"/>
        <v>NM</v>
      </c>
      <c r="O144" s="115" t="str">
        <f t="shared" si="496"/>
        <v>NM</v>
      </c>
      <c r="P144" s="115" t="str">
        <f t="shared" si="469"/>
        <v>NM</v>
      </c>
      <c r="Q144" s="115" t="str">
        <f t="shared" si="469"/>
        <v>NM</v>
      </c>
      <c r="R144" s="39"/>
      <c r="S144" s="4"/>
      <c r="T144" s="62"/>
      <c r="U144" s="62" t="str">
        <f t="shared" ref="U144:AZ144" si="497">IFERROR(U135/T135-1,"NM")</f>
        <v>NM</v>
      </c>
      <c r="V144" s="62" t="str">
        <f t="shared" si="497"/>
        <v>NM</v>
      </c>
      <c r="W144" s="62" t="str">
        <f t="shared" si="497"/>
        <v>NM</v>
      </c>
      <c r="X144" s="62" t="str">
        <f t="shared" si="497"/>
        <v>NM</v>
      </c>
      <c r="Y144" s="62" t="str">
        <f t="shared" si="497"/>
        <v>NM</v>
      </c>
      <c r="Z144" s="62" t="str">
        <f t="shared" si="497"/>
        <v>NM</v>
      </c>
      <c r="AA144" s="62" t="str">
        <f t="shared" si="497"/>
        <v>NM</v>
      </c>
      <c r="AB144" s="62" t="str">
        <f t="shared" si="497"/>
        <v>NM</v>
      </c>
      <c r="AC144" s="62" t="str">
        <f t="shared" si="497"/>
        <v>NM</v>
      </c>
      <c r="AD144" s="62" t="str">
        <f t="shared" si="497"/>
        <v>NM</v>
      </c>
      <c r="AE144" s="62" t="str">
        <f t="shared" si="497"/>
        <v>NM</v>
      </c>
      <c r="AF144" s="62" t="str">
        <f t="shared" si="497"/>
        <v>NM</v>
      </c>
      <c r="AG144" s="62" t="str">
        <f t="shared" si="497"/>
        <v>NM</v>
      </c>
      <c r="AH144" s="62" t="str">
        <f t="shared" si="497"/>
        <v>NM</v>
      </c>
      <c r="AI144" s="62" t="str">
        <f t="shared" si="497"/>
        <v>NM</v>
      </c>
      <c r="AJ144" s="62" t="str">
        <f t="shared" si="497"/>
        <v>NM</v>
      </c>
      <c r="AK144" s="62" t="str">
        <f t="shared" si="497"/>
        <v>NM</v>
      </c>
      <c r="AL144" s="62" t="str">
        <f t="shared" si="497"/>
        <v>NM</v>
      </c>
      <c r="AM144" s="62" t="str">
        <f t="shared" si="497"/>
        <v>NM</v>
      </c>
      <c r="AN144" s="62" t="str">
        <f t="shared" si="497"/>
        <v>NM</v>
      </c>
      <c r="AO144" s="62" t="str">
        <f t="shared" si="497"/>
        <v>NM</v>
      </c>
      <c r="AP144" s="62" t="str">
        <f t="shared" si="497"/>
        <v>NM</v>
      </c>
      <c r="AQ144" s="62" t="str">
        <f t="shared" si="497"/>
        <v>NM</v>
      </c>
      <c r="AR144" s="62" t="str">
        <f t="shared" si="497"/>
        <v>NM</v>
      </c>
      <c r="AS144" s="62" t="str">
        <f t="shared" si="497"/>
        <v>NM</v>
      </c>
      <c r="AT144" s="62" t="str">
        <f t="shared" si="497"/>
        <v>NM</v>
      </c>
      <c r="AU144" s="62" t="str">
        <f t="shared" si="497"/>
        <v>NM</v>
      </c>
      <c r="AV144" s="62" t="str">
        <f t="shared" si="497"/>
        <v>NM</v>
      </c>
      <c r="AW144" s="62" t="str">
        <f t="shared" si="497"/>
        <v>NM</v>
      </c>
      <c r="AX144" s="62" t="str">
        <f t="shared" si="497"/>
        <v>NM</v>
      </c>
      <c r="AY144" s="62" t="str">
        <f t="shared" si="497"/>
        <v>NM</v>
      </c>
      <c r="AZ144" s="62" t="str">
        <f t="shared" si="497"/>
        <v>NM</v>
      </c>
      <c r="BA144" s="62" t="str">
        <f t="shared" ref="BA144:BW144" si="498">IFERROR(BA135/AZ135-1,"NM")</f>
        <v>NM</v>
      </c>
      <c r="BB144" s="62" t="str">
        <f t="shared" si="498"/>
        <v>NM</v>
      </c>
      <c r="BC144" s="62" t="str">
        <f t="shared" si="498"/>
        <v>NM</v>
      </c>
      <c r="BD144" s="62" t="str">
        <f t="shared" si="498"/>
        <v>NM</v>
      </c>
      <c r="BE144" s="62" t="str">
        <f t="shared" si="498"/>
        <v>NM</v>
      </c>
      <c r="BF144" s="62" t="str">
        <f t="shared" si="498"/>
        <v>NM</v>
      </c>
      <c r="BG144" s="62" t="str">
        <f t="shared" si="498"/>
        <v>NM</v>
      </c>
      <c r="BH144" s="62" t="str">
        <f t="shared" si="498"/>
        <v>NM</v>
      </c>
      <c r="BI144" s="62" t="str">
        <f t="shared" si="498"/>
        <v>NM</v>
      </c>
      <c r="BJ144" s="62" t="str">
        <f t="shared" si="498"/>
        <v>NM</v>
      </c>
      <c r="BK144" s="62" t="str">
        <f t="shared" si="498"/>
        <v>NM</v>
      </c>
      <c r="BL144" s="62" t="str">
        <f t="shared" si="498"/>
        <v>NM</v>
      </c>
      <c r="BM144" s="62" t="str">
        <f t="shared" si="498"/>
        <v>NM</v>
      </c>
      <c r="BN144" s="62">
        <f t="shared" si="498"/>
        <v>-3.3590879392918827E-2</v>
      </c>
      <c r="BO144" s="62">
        <f t="shared" si="498"/>
        <v>-0.23848914194824</v>
      </c>
      <c r="BP144" s="62" t="str">
        <f t="shared" si="498"/>
        <v>NM</v>
      </c>
      <c r="BQ144" s="62" t="str">
        <f t="shared" si="498"/>
        <v>NM</v>
      </c>
      <c r="BR144" s="62" t="str">
        <f t="shared" si="498"/>
        <v>NM</v>
      </c>
      <c r="BS144" s="62" t="str">
        <f t="shared" si="498"/>
        <v>NM</v>
      </c>
      <c r="BT144" s="115" t="str">
        <f t="shared" si="498"/>
        <v>NM</v>
      </c>
      <c r="BU144" s="115" t="str">
        <f t="shared" si="498"/>
        <v>NM</v>
      </c>
      <c r="BV144" s="115" t="str">
        <f t="shared" si="498"/>
        <v>NM</v>
      </c>
      <c r="BW144" s="115" t="str">
        <f t="shared" si="498"/>
        <v>NM</v>
      </c>
      <c r="BX144" s="115" t="str">
        <f t="shared" si="472"/>
        <v>NM</v>
      </c>
      <c r="BY144" s="115" t="str">
        <f t="shared" si="473"/>
        <v>NM</v>
      </c>
      <c r="BZ144" s="115" t="str">
        <f t="shared" si="474"/>
        <v>NM</v>
      </c>
      <c r="CA144" s="115" t="str">
        <f t="shared" si="475"/>
        <v>NM</v>
      </c>
      <c r="CB144" s="115" t="str">
        <f t="shared" si="476"/>
        <v>NM</v>
      </c>
      <c r="CC144" s="115" t="str">
        <f t="shared" si="477"/>
        <v>NM</v>
      </c>
      <c r="CD144" s="115" t="str">
        <f t="shared" si="478"/>
        <v>NM</v>
      </c>
      <c r="CE144" s="115" t="str">
        <f t="shared" si="479"/>
        <v>NM</v>
      </c>
      <c r="CF144" s="4"/>
      <c r="CG144" s="4"/>
      <c r="CH144" s="4"/>
      <c r="CI144" s="4"/>
      <c r="CJ144" s="4"/>
      <c r="CK144" s="4"/>
      <c r="CL144" s="4"/>
      <c r="CM144" s="4"/>
      <c r="CN144" s="240">
        <f t="shared" si="480"/>
        <v>137</v>
      </c>
    </row>
    <row r="145" spans="1:92" hidden="1" outlineLevel="2">
      <c r="A145" s="144"/>
      <c r="B145" s="39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4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  <c r="BB145" s="48"/>
      <c r="BC145" s="48"/>
      <c r="BD145" s="48"/>
      <c r="BE145" s="48"/>
      <c r="BF145" s="48"/>
      <c r="BG145" s="48"/>
      <c r="BH145" s="48"/>
      <c r="BI145" s="48"/>
      <c r="BJ145" s="48"/>
      <c r="BK145" s="48"/>
      <c r="BL145" s="48"/>
      <c r="BM145" s="48"/>
      <c r="BN145" s="48"/>
      <c r="BO145" s="48"/>
      <c r="BP145" s="48"/>
      <c r="BQ145" s="48"/>
      <c r="BR145" s="48"/>
      <c r="BS145" s="48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240">
        <f t="shared" si="480"/>
        <v>138</v>
      </c>
    </row>
    <row r="146" spans="1:92" outlineLevel="1" collapsed="1">
      <c r="A146" s="144" t="s">
        <v>33</v>
      </c>
      <c r="B146" s="40" t="s">
        <v>316</v>
      </c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4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  <c r="BD146" s="48"/>
      <c r="BE146" s="48"/>
      <c r="BF146" s="48"/>
      <c r="BG146" s="48"/>
      <c r="BH146" s="48"/>
      <c r="BI146" s="48"/>
      <c r="BJ146" s="48"/>
      <c r="BK146" s="48"/>
      <c r="BL146" s="48"/>
      <c r="BM146" s="48"/>
      <c r="BN146" s="48"/>
      <c r="BO146" s="48"/>
      <c r="BP146" s="48"/>
      <c r="BQ146" s="48"/>
      <c r="BR146" s="48"/>
      <c r="BS146" s="48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240">
        <f t="shared" si="480"/>
        <v>139</v>
      </c>
    </row>
    <row r="147" spans="1:92" hidden="1" outlineLevel="2">
      <c r="A147" s="144"/>
      <c r="B147" s="40" t="s">
        <v>119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4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  <c r="BD147" s="48"/>
      <c r="BE147" s="48"/>
      <c r="BF147" s="48"/>
      <c r="BG147" s="48"/>
      <c r="BH147" s="48"/>
      <c r="BI147" s="48"/>
      <c r="BJ147" s="48"/>
      <c r="BK147" s="48"/>
      <c r="BL147" s="48"/>
      <c r="BM147" s="48"/>
      <c r="BN147" s="48"/>
      <c r="BO147" s="48"/>
      <c r="BP147" s="48"/>
      <c r="BQ147" s="48"/>
      <c r="BR147" s="48"/>
      <c r="BS147" s="48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240">
        <f t="shared" si="480"/>
        <v>140</v>
      </c>
    </row>
    <row r="148" spans="1:92" hidden="1" outlineLevel="2">
      <c r="A148" s="144"/>
      <c r="B148" s="45" t="s">
        <v>149</v>
      </c>
      <c r="C148" s="72">
        <f t="shared" ref="C148:F154" si="499">SUMIF($T$5:$BT$5,C$5,$T148:$BT148)</f>
        <v>495.09000000000003</v>
      </c>
      <c r="D148" s="72">
        <f t="shared" si="499"/>
        <v>574.72399999999993</v>
      </c>
      <c r="E148" s="72">
        <f t="shared" si="499"/>
        <v>745.99199999999996</v>
      </c>
      <c r="F148" s="72">
        <f t="shared" si="499"/>
        <v>513.28800000000001</v>
      </c>
      <c r="G148" s="72">
        <f t="shared" ref="G148:Q149" si="500">SUMIF($T$5:$CF$5,G$5,$T148:$CF148)</f>
        <v>979.83300000000008</v>
      </c>
      <c r="H148" s="72">
        <f t="shared" si="500"/>
        <v>1663.7929999999999</v>
      </c>
      <c r="I148" s="72">
        <f t="shared" si="500"/>
        <v>1794.0150000000001</v>
      </c>
      <c r="J148" s="72">
        <f t="shared" si="500"/>
        <v>1729.732</v>
      </c>
      <c r="K148" s="72">
        <f t="shared" si="500"/>
        <v>2180.4569999999999</v>
      </c>
      <c r="L148" s="72">
        <f t="shared" si="500"/>
        <v>1175.2930000000001</v>
      </c>
      <c r="M148" s="72">
        <f t="shared" si="500"/>
        <v>679.654</v>
      </c>
      <c r="N148" s="72">
        <f t="shared" si="500"/>
        <v>1538.3509999999999</v>
      </c>
      <c r="O148" s="72">
        <f t="shared" si="500"/>
        <v>2082.1262966997301</v>
      </c>
      <c r="P148" s="72">
        <f t="shared" si="500"/>
        <v>2397.3740244116652</v>
      </c>
      <c r="Q148" s="72">
        <f t="shared" si="500"/>
        <v>2612.1875132803721</v>
      </c>
      <c r="R148" s="72"/>
      <c r="S148" s="4"/>
      <c r="T148" s="195">
        <v>77.957999999999998</v>
      </c>
      <c r="U148" s="195">
        <v>85.959000000000003</v>
      </c>
      <c r="V148" s="195">
        <v>99.046000000000006</v>
      </c>
      <c r="W148" s="195">
        <v>100.176</v>
      </c>
      <c r="X148" s="195">
        <v>114.761</v>
      </c>
      <c r="Y148" s="195">
        <v>119.572</v>
      </c>
      <c r="Z148" s="195">
        <v>127.929</v>
      </c>
      <c r="AA148" s="195">
        <v>132.828</v>
      </c>
      <c r="AB148" s="195">
        <v>142.30699999999999</v>
      </c>
      <c r="AC148" s="195">
        <v>140.19900000000001</v>
      </c>
      <c r="AD148" s="195">
        <v>134.81899999999999</v>
      </c>
      <c r="AE148" s="195">
        <v>157.399</v>
      </c>
      <c r="AF148" s="195">
        <v>169.23099999999999</v>
      </c>
      <c r="AG148" s="195">
        <v>185.28399999999999</v>
      </c>
      <c r="AH148" s="195">
        <v>203.46199999999999</v>
      </c>
      <c r="AI148" s="195">
        <v>188.01499999999999</v>
      </c>
      <c r="AJ148" s="195">
        <v>151.07900000000001</v>
      </c>
      <c r="AK148" s="195">
        <v>109.98699999999999</v>
      </c>
      <c r="AL148" s="195">
        <v>116.32599999999999</v>
      </c>
      <c r="AM148" s="195">
        <v>135.89599999999999</v>
      </c>
      <c r="AN148" s="195">
        <v>191.40299999999999</v>
      </c>
      <c r="AO148" s="195">
        <v>225.53800000000001</v>
      </c>
      <c r="AP148" s="195">
        <v>268.04899999999998</v>
      </c>
      <c r="AQ148" s="195">
        <v>294.84300000000002</v>
      </c>
      <c r="AR148" s="195">
        <v>349.40199999999999</v>
      </c>
      <c r="AS148" s="195">
        <v>406.73599999999999</v>
      </c>
      <c r="AT148" s="195">
        <v>463.685</v>
      </c>
      <c r="AU148" s="195">
        <v>443.97</v>
      </c>
      <c r="AV148" s="195">
        <v>461.52100000000002</v>
      </c>
      <c r="AW148" s="195">
        <v>461.64299999999997</v>
      </c>
      <c r="AX148" s="195">
        <v>436.05599999999998</v>
      </c>
      <c r="AY148" s="195">
        <v>434.79500000000002</v>
      </c>
      <c r="AZ148" s="195">
        <v>394.01100000000002</v>
      </c>
      <c r="BA148" s="195">
        <v>424.03</v>
      </c>
      <c r="BB148" s="195">
        <v>458.16800000000001</v>
      </c>
      <c r="BC148" s="195">
        <v>453.52300000000002</v>
      </c>
      <c r="BD148" s="195">
        <v>466.97</v>
      </c>
      <c r="BE148" s="195">
        <v>544.39200000000005</v>
      </c>
      <c r="BF148" s="195">
        <v>576.90800000000002</v>
      </c>
      <c r="BG148" s="195">
        <f>2180.457-BF148-BE148-BD148</f>
        <v>592.1869999999999</v>
      </c>
      <c r="BH148" s="195">
        <v>378.09300000000002</v>
      </c>
      <c r="BI148" s="195">
        <v>275.80599999999998</v>
      </c>
      <c r="BJ148" s="114">
        <f t="shared" ref="BJ148:CE148" si="501">BJ10</f>
        <v>271.346</v>
      </c>
      <c r="BK148" s="114">
        <f t="shared" si="501"/>
        <v>250.048</v>
      </c>
      <c r="BL148" s="114">
        <f t="shared" si="501"/>
        <v>175.47200000000001</v>
      </c>
      <c r="BM148" s="114">
        <f t="shared" si="501"/>
        <v>131.21700000000001</v>
      </c>
      <c r="BN148" s="114">
        <f t="shared" si="501"/>
        <v>163.33099999999999</v>
      </c>
      <c r="BO148" s="114">
        <f t="shared" si="501"/>
        <v>209.63399999999999</v>
      </c>
      <c r="BP148" s="114">
        <f t="shared" si="501"/>
        <v>286.19799999999998</v>
      </c>
      <c r="BQ148" s="114">
        <f t="shared" si="501"/>
        <v>385.46199999999999</v>
      </c>
      <c r="BR148" s="114">
        <f t="shared" si="501"/>
        <v>455.71899999999999</v>
      </c>
      <c r="BS148" s="114">
        <f t="shared" ref="BS148" si="502">BS10</f>
        <v>410.97199999999998</v>
      </c>
      <c r="BT148" s="56">
        <f t="shared" si="501"/>
        <v>435.43159961610456</v>
      </c>
      <c r="BU148" s="56">
        <f t="shared" si="501"/>
        <v>515.30951458811126</v>
      </c>
      <c r="BV148" s="56">
        <f t="shared" si="501"/>
        <v>556.55660179270251</v>
      </c>
      <c r="BW148" s="56">
        <f t="shared" si="501"/>
        <v>574.82858070281213</v>
      </c>
      <c r="BX148" s="56">
        <f t="shared" si="501"/>
        <v>578.64800192011057</v>
      </c>
      <c r="BY148" s="56">
        <f t="shared" si="501"/>
        <v>580.47773212605239</v>
      </c>
      <c r="BZ148" s="56">
        <f t="shared" si="501"/>
        <v>601.23301021544228</v>
      </c>
      <c r="CA148" s="56">
        <f t="shared" si="501"/>
        <v>637.01528015005965</v>
      </c>
      <c r="CB148" s="56">
        <f t="shared" si="501"/>
        <v>653.49725676843707</v>
      </c>
      <c r="CC148" s="56">
        <f t="shared" si="501"/>
        <v>651.69574297506085</v>
      </c>
      <c r="CD148" s="56">
        <f t="shared" si="501"/>
        <v>652.59649987174896</v>
      </c>
      <c r="CE148" s="56">
        <f t="shared" si="501"/>
        <v>654.39801366512518</v>
      </c>
      <c r="CF148" s="4"/>
      <c r="CG148" s="4"/>
      <c r="CH148" s="4"/>
      <c r="CI148" s="4"/>
      <c r="CJ148" s="4"/>
      <c r="CK148" s="4"/>
      <c r="CL148" s="4"/>
      <c r="CM148" s="4"/>
      <c r="CN148" s="240">
        <f t="shared" si="480"/>
        <v>141</v>
      </c>
    </row>
    <row r="149" spans="1:92" hidden="1" outlineLevel="2">
      <c r="A149" s="144"/>
      <c r="B149" s="42" t="s">
        <v>235</v>
      </c>
      <c r="C149" s="72">
        <f t="shared" si="499"/>
        <v>0</v>
      </c>
      <c r="D149" s="72">
        <f t="shared" si="499"/>
        <v>-317.95265725472126</v>
      </c>
      <c r="E149" s="72">
        <f t="shared" si="499"/>
        <v>-450.94029271913467</v>
      </c>
      <c r="F149" s="72">
        <f t="shared" si="499"/>
        <v>-357.24815890654941</v>
      </c>
      <c r="G149" s="72">
        <f t="shared" si="500"/>
        <v>-559.07927006953935</v>
      </c>
      <c r="H149" s="72">
        <f t="shared" si="500"/>
        <v>-938.15978641094603</v>
      </c>
      <c r="I149" s="72">
        <f t="shared" si="500"/>
        <v>-1044.1912879586775</v>
      </c>
      <c r="J149" s="72">
        <f t="shared" si="500"/>
        <v>-1116.861106810524</v>
      </c>
      <c r="K149" s="72">
        <f t="shared" si="500"/>
        <v>-1422.9883484117572</v>
      </c>
      <c r="L149" s="72">
        <f t="shared" si="500"/>
        <v>-938.39523858977464</v>
      </c>
      <c r="M149" s="72">
        <f t="shared" si="500"/>
        <v>-567.92980071011016</v>
      </c>
      <c r="N149" s="72">
        <f t="shared" si="500"/>
        <v>-1004.8374604725905</v>
      </c>
      <c r="O149" s="72">
        <f t="shared" si="500"/>
        <v>-1314.760316173099</v>
      </c>
      <c r="P149" s="72">
        <f t="shared" si="500"/>
        <v>-1507.37139971019</v>
      </c>
      <c r="Q149" s="72">
        <f t="shared" si="500"/>
        <v>-1657.1278044448798</v>
      </c>
      <c r="R149" s="72"/>
      <c r="S149" s="4"/>
      <c r="T149" s="195"/>
      <c r="U149" s="195"/>
      <c r="V149" s="195"/>
      <c r="W149" s="195"/>
      <c r="X149" s="195"/>
      <c r="Y149" s="195"/>
      <c r="Z149" s="195"/>
      <c r="AA149" s="195"/>
      <c r="AB149" s="114">
        <f>+AB152-AB151-AB148</f>
        <v>-76.500246291911481</v>
      </c>
      <c r="AC149" s="114">
        <f t="shared" ref="AC149:BW149" si="503">+AC152-AC151-AC148</f>
        <v>-74.952714431886619</v>
      </c>
      <c r="AD149" s="114">
        <f t="shared" si="503"/>
        <v>-78.713804292391373</v>
      </c>
      <c r="AE149" s="114">
        <f t="shared" si="503"/>
        <v>-87.785892238531801</v>
      </c>
      <c r="AF149" s="114">
        <f t="shared" si="503"/>
        <v>-104.99707916765959</v>
      </c>
      <c r="AG149" s="114">
        <f t="shared" si="503"/>
        <v>-107.41933848962918</v>
      </c>
      <c r="AH149" s="114">
        <f t="shared" si="503"/>
        <v>-121.8571780015766</v>
      </c>
      <c r="AI149" s="114">
        <f t="shared" si="503"/>
        <v>-116.6666970602693</v>
      </c>
      <c r="AJ149" s="114">
        <f t="shared" si="503"/>
        <v>-102.39187366611638</v>
      </c>
      <c r="AK149" s="114">
        <f t="shared" si="503"/>
        <v>-78.695959675006691</v>
      </c>
      <c r="AL149" s="114">
        <f t="shared" si="503"/>
        <v>-82.433664941472017</v>
      </c>
      <c r="AM149" s="114">
        <f t="shared" si="503"/>
        <v>-93.726660623954331</v>
      </c>
      <c r="AN149" s="114">
        <f t="shared" si="503"/>
        <v>-119.09493771816236</v>
      </c>
      <c r="AO149" s="114">
        <f t="shared" si="503"/>
        <v>-128.48045441604455</v>
      </c>
      <c r="AP149" s="114">
        <f t="shared" si="503"/>
        <v>-150.43320097948376</v>
      </c>
      <c r="AQ149" s="114">
        <f t="shared" si="503"/>
        <v>-161.07067695584868</v>
      </c>
      <c r="AR149" s="114">
        <f t="shared" si="503"/>
        <v>-188.18589239602787</v>
      </c>
      <c r="AS149" s="114">
        <f t="shared" si="503"/>
        <v>-230.84201664042641</v>
      </c>
      <c r="AT149" s="114">
        <f t="shared" si="503"/>
        <v>-265.03030202992625</v>
      </c>
      <c r="AU149" s="114">
        <f t="shared" si="503"/>
        <v>-254.1015753445655</v>
      </c>
      <c r="AV149" s="114">
        <f t="shared" si="503"/>
        <v>-256.43939412245777</v>
      </c>
      <c r="AW149" s="114">
        <f t="shared" si="503"/>
        <v>-267.34654214706484</v>
      </c>
      <c r="AX149" s="114">
        <f t="shared" si="503"/>
        <v>-255.83402322096109</v>
      </c>
      <c r="AY149" s="114">
        <f t="shared" si="503"/>
        <v>-264.571328468194</v>
      </c>
      <c r="AZ149" s="114">
        <f t="shared" si="503"/>
        <v>-253.70415586596249</v>
      </c>
      <c r="BA149" s="114">
        <f t="shared" si="503"/>
        <v>-272.45510096029864</v>
      </c>
      <c r="BB149" s="114">
        <f t="shared" si="503"/>
        <v>-287.64796154919054</v>
      </c>
      <c r="BC149" s="114">
        <f t="shared" si="503"/>
        <v>-303.05388843507239</v>
      </c>
      <c r="BD149" s="114">
        <f t="shared" si="503"/>
        <v>-313.94370396577983</v>
      </c>
      <c r="BE149" s="114">
        <f t="shared" si="503"/>
        <v>-355.71331410305913</v>
      </c>
      <c r="BF149" s="114">
        <f t="shared" si="503"/>
        <v>-380.62440017142376</v>
      </c>
      <c r="BG149" s="114">
        <f t="shared" si="503"/>
        <v>-372.70693017149461</v>
      </c>
      <c r="BH149" s="114">
        <f t="shared" si="503"/>
        <v>-279.11605191129053</v>
      </c>
      <c r="BI149" s="114">
        <f t="shared" si="503"/>
        <v>-229.52424708294123</v>
      </c>
      <c r="BJ149" s="114">
        <f t="shared" si="503"/>
        <v>-222.95274283032572</v>
      </c>
      <c r="BK149" s="114">
        <f t="shared" ref="BK149:BQ149" si="504">+BK152-BK151-BK148</f>
        <v>-206.8021967652171</v>
      </c>
      <c r="BL149" s="114">
        <f t="shared" si="504"/>
        <v>-150.68801710251461</v>
      </c>
      <c r="BM149" s="114">
        <f t="shared" si="504"/>
        <v>-117.40763399488105</v>
      </c>
      <c r="BN149" s="114">
        <f t="shared" si="504"/>
        <v>-135.60359344226879</v>
      </c>
      <c r="BO149" s="114">
        <f t="shared" si="504"/>
        <v>-164.23055617044571</v>
      </c>
      <c r="BP149" s="114">
        <f t="shared" si="504"/>
        <v>-205.59778088951055</v>
      </c>
      <c r="BQ149" s="114">
        <f t="shared" si="504"/>
        <v>-243.04786703442741</v>
      </c>
      <c r="BR149" s="114">
        <f>+BR152-BR151-BR148</f>
        <v>-282.85291191701049</v>
      </c>
      <c r="BS149" s="114">
        <f>+BS152-BS151-BS148</f>
        <v>-273.33890063164199</v>
      </c>
      <c r="BT149" s="114">
        <f t="shared" si="503"/>
        <v>-281.18037830898459</v>
      </c>
      <c r="BU149" s="114">
        <f t="shared" si="503"/>
        <v>-323.87460718522385</v>
      </c>
      <c r="BV149" s="114">
        <f t="shared" si="503"/>
        <v>-349.93016228846898</v>
      </c>
      <c r="BW149" s="114">
        <f t="shared" si="503"/>
        <v>-359.77516839042153</v>
      </c>
      <c r="BX149" s="114">
        <f t="shared" ref="BX149:CE149" si="505">+BX152-BX151-BX148</f>
        <v>-362.46346761271991</v>
      </c>
      <c r="BY149" s="114">
        <f t="shared" si="505"/>
        <v>-363.78561452073291</v>
      </c>
      <c r="BZ149" s="114">
        <f t="shared" si="505"/>
        <v>-378.18935559613908</v>
      </c>
      <c r="CA149" s="114">
        <f t="shared" si="505"/>
        <v>-402.93296198059795</v>
      </c>
      <c r="CB149" s="114">
        <f t="shared" si="505"/>
        <v>-414.41076857731201</v>
      </c>
      <c r="CC149" s="114">
        <f t="shared" si="505"/>
        <v>-413.3274835410333</v>
      </c>
      <c r="CD149" s="114">
        <f t="shared" si="505"/>
        <v>-414.03148663095288</v>
      </c>
      <c r="CE149" s="114">
        <f t="shared" si="505"/>
        <v>-415.35806569558139</v>
      </c>
      <c r="CF149" s="4"/>
      <c r="CG149" s="4"/>
      <c r="CH149" s="4"/>
      <c r="CI149" s="4"/>
      <c r="CJ149" s="4"/>
      <c r="CK149" s="4"/>
      <c r="CL149" s="4"/>
      <c r="CM149" s="4"/>
      <c r="CN149" s="240">
        <f t="shared" si="480"/>
        <v>142</v>
      </c>
    </row>
    <row r="150" spans="1:92" hidden="1" outlineLevel="2">
      <c r="A150" s="144"/>
      <c r="B150" s="42" t="s">
        <v>242</v>
      </c>
      <c r="C150" s="72">
        <f>+C148+C149</f>
        <v>495.09000000000003</v>
      </c>
      <c r="D150" s="72">
        <f t="shared" ref="D150:O150" si="506">+D148+D149</f>
        <v>256.77134274527867</v>
      </c>
      <c r="E150" s="72">
        <f t="shared" si="506"/>
        <v>295.05170728086529</v>
      </c>
      <c r="F150" s="72">
        <f t="shared" si="506"/>
        <v>156.0398410934506</v>
      </c>
      <c r="G150" s="72">
        <f t="shared" si="506"/>
        <v>420.75372993046074</v>
      </c>
      <c r="H150" s="72">
        <f t="shared" si="506"/>
        <v>725.63321358905387</v>
      </c>
      <c r="I150" s="72">
        <f t="shared" si="506"/>
        <v>749.82371204132255</v>
      </c>
      <c r="J150" s="72">
        <f t="shared" si="506"/>
        <v>612.87089318947596</v>
      </c>
      <c r="K150" s="72">
        <f t="shared" si="506"/>
        <v>757.46865158824266</v>
      </c>
      <c r="L150" s="72">
        <f t="shared" si="506"/>
        <v>236.89776141022548</v>
      </c>
      <c r="M150" s="72">
        <f t="shared" si="506"/>
        <v>111.72419928988984</v>
      </c>
      <c r="N150" s="72">
        <f t="shared" si="506"/>
        <v>533.51353952740942</v>
      </c>
      <c r="O150" s="72">
        <f t="shared" si="506"/>
        <v>767.36598052663112</v>
      </c>
      <c r="P150" s="72">
        <f>+P148+P149</f>
        <v>890.00262470147527</v>
      </c>
      <c r="Q150" s="72">
        <f>+Q148+Q149</f>
        <v>955.0597088354923</v>
      </c>
      <c r="R150" s="72"/>
      <c r="S150" s="4"/>
      <c r="T150" s="195"/>
      <c r="U150" s="195"/>
      <c r="V150" s="195"/>
      <c r="W150" s="195"/>
      <c r="X150" s="195"/>
      <c r="Y150" s="195"/>
      <c r="Z150" s="195"/>
      <c r="AA150" s="195"/>
      <c r="AB150" s="72">
        <f t="shared" ref="AB150:BW150" si="507">+AB148+AB149</f>
        <v>65.806753708088507</v>
      </c>
      <c r="AC150" s="72">
        <f t="shared" si="507"/>
        <v>65.246285568113393</v>
      </c>
      <c r="AD150" s="72">
        <f t="shared" si="507"/>
        <v>56.105195707608615</v>
      </c>
      <c r="AE150" s="72">
        <f t="shared" si="507"/>
        <v>69.6131077614682</v>
      </c>
      <c r="AF150" s="72">
        <f t="shared" si="507"/>
        <v>64.233920832340402</v>
      </c>
      <c r="AG150" s="72">
        <f t="shared" si="507"/>
        <v>77.864661510370809</v>
      </c>
      <c r="AH150" s="72">
        <f t="shared" si="507"/>
        <v>81.60482199842339</v>
      </c>
      <c r="AI150" s="72">
        <f t="shared" si="507"/>
        <v>71.348302939730686</v>
      </c>
      <c r="AJ150" s="72">
        <f t="shared" si="507"/>
        <v>48.687126333883626</v>
      </c>
      <c r="AK150" s="72">
        <f t="shared" si="507"/>
        <v>31.291040324993304</v>
      </c>
      <c r="AL150" s="72">
        <f t="shared" si="507"/>
        <v>33.892335058527976</v>
      </c>
      <c r="AM150" s="72">
        <f t="shared" si="507"/>
        <v>42.169339376045656</v>
      </c>
      <c r="AN150" s="72">
        <f t="shared" si="507"/>
        <v>72.308062281837636</v>
      </c>
      <c r="AO150" s="72">
        <f t="shared" si="507"/>
        <v>97.057545583955459</v>
      </c>
      <c r="AP150" s="72">
        <f t="shared" si="507"/>
        <v>117.61579902051622</v>
      </c>
      <c r="AQ150" s="72">
        <f t="shared" si="507"/>
        <v>133.77232304415134</v>
      </c>
      <c r="AR150" s="72">
        <f t="shared" si="507"/>
        <v>161.21610760397212</v>
      </c>
      <c r="AS150" s="72">
        <f t="shared" si="507"/>
        <v>175.89398335957358</v>
      </c>
      <c r="AT150" s="72">
        <f t="shared" si="507"/>
        <v>198.65469797007376</v>
      </c>
      <c r="AU150" s="72">
        <f t="shared" si="507"/>
        <v>189.86842465543452</v>
      </c>
      <c r="AV150" s="72">
        <f t="shared" si="507"/>
        <v>205.08160587754224</v>
      </c>
      <c r="AW150" s="72">
        <f t="shared" si="507"/>
        <v>194.29645785293513</v>
      </c>
      <c r="AX150" s="72">
        <f t="shared" si="507"/>
        <v>180.2219767790389</v>
      </c>
      <c r="AY150" s="72">
        <f t="shared" si="507"/>
        <v>170.22367153180602</v>
      </c>
      <c r="AZ150" s="72">
        <f t="shared" si="507"/>
        <v>140.30684413403753</v>
      </c>
      <c r="BA150" s="72">
        <f t="shared" si="507"/>
        <v>151.57489903970134</v>
      </c>
      <c r="BB150" s="72">
        <f t="shared" si="507"/>
        <v>170.52003845080947</v>
      </c>
      <c r="BC150" s="72">
        <f t="shared" si="507"/>
        <v>150.46911156492763</v>
      </c>
      <c r="BD150" s="72">
        <f t="shared" si="507"/>
        <v>153.02629603422019</v>
      </c>
      <c r="BE150" s="72">
        <f t="shared" si="507"/>
        <v>188.67868589694092</v>
      </c>
      <c r="BF150" s="72">
        <f t="shared" si="507"/>
        <v>196.28359982857626</v>
      </c>
      <c r="BG150" s="72">
        <f t="shared" si="507"/>
        <v>219.48006982850529</v>
      </c>
      <c r="BH150" s="72">
        <f t="shared" si="507"/>
        <v>98.976948088709491</v>
      </c>
      <c r="BI150" s="72">
        <f t="shared" si="507"/>
        <v>46.281752917058753</v>
      </c>
      <c r="BJ150" s="72">
        <f t="shared" si="507"/>
        <v>48.393257169674285</v>
      </c>
      <c r="BK150" s="72">
        <f t="shared" ref="BK150:BQ150" si="508">+BK148+BK149</f>
        <v>43.245803234782898</v>
      </c>
      <c r="BL150" s="72">
        <f t="shared" si="508"/>
        <v>24.783982897485402</v>
      </c>
      <c r="BM150" s="72">
        <f t="shared" si="508"/>
        <v>13.80936600511896</v>
      </c>
      <c r="BN150" s="72">
        <f t="shared" si="508"/>
        <v>27.7274065577312</v>
      </c>
      <c r="BO150" s="72">
        <f t="shared" si="508"/>
        <v>45.403443829554277</v>
      </c>
      <c r="BP150" s="72">
        <f t="shared" si="508"/>
        <v>80.600219110489434</v>
      </c>
      <c r="BQ150" s="72">
        <f t="shared" si="508"/>
        <v>142.41413296557258</v>
      </c>
      <c r="BR150" s="72">
        <f>+BR148+BR149</f>
        <v>172.86608808298951</v>
      </c>
      <c r="BS150" s="72">
        <f>+BS148+BS149</f>
        <v>137.63309936835799</v>
      </c>
      <c r="BT150" s="72">
        <f t="shared" si="507"/>
        <v>154.25122130711998</v>
      </c>
      <c r="BU150" s="72">
        <f t="shared" si="507"/>
        <v>191.4349074028874</v>
      </c>
      <c r="BV150" s="72">
        <f t="shared" si="507"/>
        <v>206.62643950423353</v>
      </c>
      <c r="BW150" s="72">
        <f t="shared" si="507"/>
        <v>215.05341231239061</v>
      </c>
      <c r="BX150" s="72">
        <f t="shared" ref="BX150:CE150" si="509">+BX148+BX149</f>
        <v>216.18453430739066</v>
      </c>
      <c r="BY150" s="72">
        <f t="shared" si="509"/>
        <v>216.69211760531948</v>
      </c>
      <c r="BZ150" s="72">
        <f t="shared" si="509"/>
        <v>223.0436546193032</v>
      </c>
      <c r="CA150" s="72">
        <f t="shared" si="509"/>
        <v>234.0823181694617</v>
      </c>
      <c r="CB150" s="72">
        <f t="shared" si="509"/>
        <v>239.08648819112506</v>
      </c>
      <c r="CC150" s="72">
        <f t="shared" si="509"/>
        <v>238.36825943402755</v>
      </c>
      <c r="CD150" s="72">
        <f t="shared" si="509"/>
        <v>238.56501324079608</v>
      </c>
      <c r="CE150" s="72">
        <f t="shared" si="509"/>
        <v>239.03994796954379</v>
      </c>
      <c r="CF150" s="4"/>
      <c r="CG150" s="4"/>
      <c r="CH150" s="4"/>
      <c r="CI150" s="4"/>
      <c r="CJ150" s="4"/>
      <c r="CK150" s="4"/>
      <c r="CL150" s="4"/>
      <c r="CM150" s="4"/>
      <c r="CN150" s="240">
        <f t="shared" si="480"/>
        <v>143</v>
      </c>
    </row>
    <row r="151" spans="1:92" hidden="1" outlineLevel="2">
      <c r="A151" s="144"/>
      <c r="B151" s="42" t="s">
        <v>241</v>
      </c>
      <c r="C151" s="72">
        <f t="shared" si="499"/>
        <v>0</v>
      </c>
      <c r="D151" s="72">
        <f t="shared" si="499"/>
        <v>-80.843342745278704</v>
      </c>
      <c r="E151" s="72">
        <f t="shared" si="499"/>
        <v>-91.664707280865287</v>
      </c>
      <c r="F151" s="72">
        <f t="shared" si="499"/>
        <v>-74.586841093450573</v>
      </c>
      <c r="G151" s="72">
        <f t="shared" ref="G151:O152" si="510">SUMIF($T$5:$CF$5,G$5,$T151:$CF151)</f>
        <v>-97.129729930460655</v>
      </c>
      <c r="H151" s="72">
        <f t="shared" si="510"/>
        <v>-122.12221358905401</v>
      </c>
      <c r="I151" s="72">
        <f t="shared" si="510"/>
        <v>-145.83071204132239</v>
      </c>
      <c r="J151" s="72">
        <f t="shared" si="510"/>
        <v>-155.59889318947597</v>
      </c>
      <c r="K151" s="72">
        <f t="shared" si="510"/>
        <v>-168.82865158824265</v>
      </c>
      <c r="L151" s="72">
        <f t="shared" si="510"/>
        <v>-132.10176141022538</v>
      </c>
      <c r="M151" s="72">
        <f t="shared" si="510"/>
        <v>-124.34719928988983</v>
      </c>
      <c r="N151" s="72">
        <f t="shared" si="510"/>
        <v>-136.53053952740953</v>
      </c>
      <c r="O151" s="72">
        <f t="shared" si="510"/>
        <v>-147.25997068920387</v>
      </c>
      <c r="P151" s="72">
        <f t="shared" ref="P151:Q154" si="511">SUMIF($T$5:$CF$5,P$5,$T151:$CF151)</f>
        <v>-146.81667713385889</v>
      </c>
      <c r="Q151" s="72">
        <f t="shared" si="511"/>
        <v>-145.28157971857712</v>
      </c>
      <c r="R151" s="72"/>
      <c r="S151" s="4"/>
      <c r="T151" s="195"/>
      <c r="U151" s="195"/>
      <c r="V151" s="195"/>
      <c r="W151" s="195"/>
      <c r="X151" s="195"/>
      <c r="Y151" s="195"/>
      <c r="Z151" s="195"/>
      <c r="AA151" s="195"/>
      <c r="AB151" s="114">
        <f t="shared" ref="AB151:BG151" si="512">(AB209-AB23)*AB148/AB12</f>
        <v>-19.496753708088512</v>
      </c>
      <c r="AC151" s="114">
        <f t="shared" si="512"/>
        <v>-19.856285568113385</v>
      </c>
      <c r="AD151" s="114">
        <f t="shared" si="512"/>
        <v>-19.64419570760862</v>
      </c>
      <c r="AE151" s="114">
        <f t="shared" si="512"/>
        <v>-21.84610776146819</v>
      </c>
      <c r="AF151" s="114">
        <f t="shared" si="512"/>
        <v>-22.039920832340396</v>
      </c>
      <c r="AG151" s="114">
        <f t="shared" si="512"/>
        <v>-22.969661510370816</v>
      </c>
      <c r="AH151" s="114">
        <f t="shared" si="512"/>
        <v>-23.086821998423385</v>
      </c>
      <c r="AI151" s="114">
        <f t="shared" si="512"/>
        <v>-23.568302939730689</v>
      </c>
      <c r="AJ151" s="114">
        <f t="shared" si="512"/>
        <v>-20.935126333883623</v>
      </c>
      <c r="AK151" s="114">
        <f t="shared" si="512"/>
        <v>-17.65604032499331</v>
      </c>
      <c r="AL151" s="114">
        <f t="shared" si="512"/>
        <v>-17.373335058527985</v>
      </c>
      <c r="AM151" s="114">
        <f t="shared" si="512"/>
        <v>-18.622339376045662</v>
      </c>
      <c r="AN151" s="114">
        <f t="shared" si="512"/>
        <v>-21.912062281837628</v>
      </c>
      <c r="AO151" s="114">
        <f t="shared" si="512"/>
        <v>-24.125545583955457</v>
      </c>
      <c r="AP151" s="114">
        <f t="shared" si="512"/>
        <v>-26.020799020516215</v>
      </c>
      <c r="AQ151" s="114">
        <f t="shared" si="512"/>
        <v>-25.071323044151349</v>
      </c>
      <c r="AR151" s="114">
        <f t="shared" si="512"/>
        <v>-28.483107603972122</v>
      </c>
      <c r="AS151" s="114">
        <f t="shared" si="512"/>
        <v>-28.532983359573592</v>
      </c>
      <c r="AT151" s="114">
        <f t="shared" si="512"/>
        <v>-31.228697970073764</v>
      </c>
      <c r="AU151" s="114">
        <f t="shared" si="512"/>
        <v>-33.877424655434545</v>
      </c>
      <c r="AV151" s="114">
        <f t="shared" si="512"/>
        <v>-36.432605877542251</v>
      </c>
      <c r="AW151" s="114">
        <f t="shared" si="512"/>
        <v>-36.88945785293518</v>
      </c>
      <c r="AX151" s="114">
        <f t="shared" si="512"/>
        <v>-35.280976779038902</v>
      </c>
      <c r="AY151" s="114">
        <f t="shared" si="512"/>
        <v>-37.227671531806052</v>
      </c>
      <c r="AZ151" s="114">
        <f t="shared" si="512"/>
        <v>-37.024844134037544</v>
      </c>
      <c r="BA151" s="114">
        <f t="shared" si="512"/>
        <v>-40.790899039701372</v>
      </c>
      <c r="BB151" s="114">
        <f t="shared" si="512"/>
        <v>-39.180038450809477</v>
      </c>
      <c r="BC151" s="114">
        <f t="shared" si="512"/>
        <v>-38.60311156492758</v>
      </c>
      <c r="BD151" s="114">
        <f t="shared" si="512"/>
        <v>-40.7862960342202</v>
      </c>
      <c r="BE151" s="114">
        <f t="shared" si="512"/>
        <v>-40.466685896940966</v>
      </c>
      <c r="BF151" s="114">
        <f t="shared" si="512"/>
        <v>-44.219599828576222</v>
      </c>
      <c r="BG151" s="114">
        <f t="shared" si="512"/>
        <v>-43.356069828505255</v>
      </c>
      <c r="BH151" s="114">
        <f t="shared" ref="BH151:CE151" si="513">(BH209-BH23)*BH148/BH12</f>
        <v>-35.438948088709481</v>
      </c>
      <c r="BI151" s="114">
        <f t="shared" si="513"/>
        <v>-34.158752917058742</v>
      </c>
      <c r="BJ151" s="114">
        <f t="shared" si="513"/>
        <v>-31.907257169674299</v>
      </c>
      <c r="BK151" s="114">
        <f t="shared" si="513"/>
        <v>-30.596803234782868</v>
      </c>
      <c r="BL151" s="114">
        <f t="shared" si="513"/>
        <v>-34.429982897485395</v>
      </c>
      <c r="BM151" s="114">
        <f t="shared" si="513"/>
        <v>-29.890366005118953</v>
      </c>
      <c r="BN151" s="114">
        <f t="shared" si="513"/>
        <v>-30.701406557731232</v>
      </c>
      <c r="BO151" s="114">
        <f t="shared" si="513"/>
        <v>-29.325443829554249</v>
      </c>
      <c r="BP151" s="114">
        <f t="shared" si="513"/>
        <v>-31.901219110489432</v>
      </c>
      <c r="BQ151" s="114">
        <f t="shared" si="513"/>
        <v>-34.765132965572569</v>
      </c>
      <c r="BR151" s="114">
        <f t="shared" si="513"/>
        <v>-33.192088082989564</v>
      </c>
      <c r="BS151" s="114">
        <f t="shared" ref="BS151" si="514">(BS209-BS23)*BS148/BS12</f>
        <v>-36.672099368357991</v>
      </c>
      <c r="BT151" s="114">
        <f t="shared" si="513"/>
        <v>-36.684689410771718</v>
      </c>
      <c r="BU151" s="114">
        <f t="shared" si="513"/>
        <v>-36.842053026454032</v>
      </c>
      <c r="BV151" s="114">
        <f t="shared" si="513"/>
        <v>-36.876675957459263</v>
      </c>
      <c r="BW151" s="114">
        <f t="shared" si="513"/>
        <v>-36.856552294518849</v>
      </c>
      <c r="BX151" s="114">
        <f t="shared" si="513"/>
        <v>-36.803653712156354</v>
      </c>
      <c r="BY151" s="114">
        <f t="shared" si="513"/>
        <v>-36.744020646243264</v>
      </c>
      <c r="BZ151" s="114">
        <f t="shared" si="513"/>
        <v>-36.661421452516088</v>
      </c>
      <c r="CA151" s="114">
        <f t="shared" si="513"/>
        <v>-36.607581322943204</v>
      </c>
      <c r="CB151" s="114">
        <f t="shared" si="513"/>
        <v>-36.502338592909538</v>
      </c>
      <c r="CC151" s="114">
        <f t="shared" si="513"/>
        <v>-36.342579111758688</v>
      </c>
      <c r="CD151" s="114">
        <f t="shared" si="513"/>
        <v>-36.260098280553898</v>
      </c>
      <c r="CE151" s="114">
        <f t="shared" si="513"/>
        <v>-36.176563733354968</v>
      </c>
      <c r="CF151" s="4"/>
      <c r="CG151" s="4"/>
      <c r="CH151" s="4"/>
      <c r="CI151" s="4"/>
      <c r="CJ151" s="4"/>
      <c r="CK151" s="4"/>
      <c r="CL151" s="4"/>
      <c r="CM151" s="4"/>
      <c r="CN151" s="240">
        <f t="shared" si="480"/>
        <v>144</v>
      </c>
    </row>
    <row r="152" spans="1:92" hidden="1" outlineLevel="2">
      <c r="A152" s="144"/>
      <c r="B152" s="45" t="s">
        <v>114</v>
      </c>
      <c r="C152" s="72">
        <f t="shared" si="499"/>
        <v>0</v>
      </c>
      <c r="D152" s="72">
        <f t="shared" si="499"/>
        <v>175.928</v>
      </c>
      <c r="E152" s="72">
        <f t="shared" si="499"/>
        <v>203.387</v>
      </c>
      <c r="F152" s="72">
        <f t="shared" si="499"/>
        <v>81.453000000000003</v>
      </c>
      <c r="G152" s="72">
        <f t="shared" si="510"/>
        <v>323.62400000000002</v>
      </c>
      <c r="H152" s="72">
        <f t="shared" si="510"/>
        <v>603.51099999999997</v>
      </c>
      <c r="I152" s="72">
        <f t="shared" si="510"/>
        <v>603.99299999999994</v>
      </c>
      <c r="J152" s="72">
        <f t="shared" si="510"/>
        <v>457.27199999999993</v>
      </c>
      <c r="K152" s="72">
        <f t="shared" si="510"/>
        <v>588.6400000000001</v>
      </c>
      <c r="L152" s="72">
        <f t="shared" si="510"/>
        <v>104.79600000000001</v>
      </c>
      <c r="M152" s="72">
        <f t="shared" si="510"/>
        <v>-12.623000000000005</v>
      </c>
      <c r="N152" s="72">
        <f t="shared" si="510"/>
        <v>396.983</v>
      </c>
      <c r="O152" s="72">
        <f t="shared" si="510"/>
        <v>620.10600983742756</v>
      </c>
      <c r="P152" s="72">
        <f t="shared" si="511"/>
        <v>743.18594756761604</v>
      </c>
      <c r="Q152" s="72">
        <f t="shared" si="511"/>
        <v>809.77812911691547</v>
      </c>
      <c r="R152" s="72"/>
      <c r="S152" s="4"/>
      <c r="T152" s="195"/>
      <c r="U152" s="195"/>
      <c r="V152" s="195"/>
      <c r="W152" s="195"/>
      <c r="X152" s="195"/>
      <c r="Y152" s="195"/>
      <c r="Z152" s="195"/>
      <c r="AA152" s="195"/>
      <c r="AB152" s="114">
        <f>+AB154-AB153</f>
        <v>46.31</v>
      </c>
      <c r="AC152" s="114">
        <f t="shared" ref="AC152:BW152" si="515">+AC154-AC153</f>
        <v>45.39</v>
      </c>
      <c r="AD152" s="114">
        <f t="shared" si="515"/>
        <v>36.460999999999999</v>
      </c>
      <c r="AE152" s="114">
        <f t="shared" si="515"/>
        <v>47.767000000000003</v>
      </c>
      <c r="AF152" s="114">
        <f t="shared" si="515"/>
        <v>42.194000000000003</v>
      </c>
      <c r="AG152" s="114">
        <f t="shared" si="515"/>
        <v>54.894999999999996</v>
      </c>
      <c r="AH152" s="114">
        <f t="shared" si="515"/>
        <v>58.518000000000001</v>
      </c>
      <c r="AI152" s="114">
        <f t="shared" si="515"/>
        <v>47.78</v>
      </c>
      <c r="AJ152" s="114">
        <f t="shared" si="515"/>
        <v>27.752000000000002</v>
      </c>
      <c r="AK152" s="114">
        <f t="shared" si="515"/>
        <v>13.635000000000002</v>
      </c>
      <c r="AL152" s="114">
        <f t="shared" si="515"/>
        <v>16.518999999999998</v>
      </c>
      <c r="AM152" s="114">
        <f t="shared" si="515"/>
        <v>23.547000000000001</v>
      </c>
      <c r="AN152" s="114">
        <f t="shared" si="515"/>
        <v>50.396000000000001</v>
      </c>
      <c r="AO152" s="114">
        <f t="shared" si="515"/>
        <v>72.932000000000002</v>
      </c>
      <c r="AP152" s="114">
        <f t="shared" si="515"/>
        <v>91.594999999999999</v>
      </c>
      <c r="AQ152" s="114">
        <f t="shared" si="515"/>
        <v>108.70099999999999</v>
      </c>
      <c r="AR152" s="114">
        <f t="shared" si="515"/>
        <v>132.733</v>
      </c>
      <c r="AS152" s="114">
        <f t="shared" si="515"/>
        <v>147.36099999999999</v>
      </c>
      <c r="AT152" s="114">
        <f t="shared" si="515"/>
        <v>167.42600000000002</v>
      </c>
      <c r="AU152" s="114">
        <f t="shared" si="515"/>
        <v>155.99099999999999</v>
      </c>
      <c r="AV152" s="114">
        <f t="shared" si="515"/>
        <v>168.649</v>
      </c>
      <c r="AW152" s="114">
        <f t="shared" si="515"/>
        <v>157.40699999999998</v>
      </c>
      <c r="AX152" s="114">
        <f t="shared" si="515"/>
        <v>144.941</v>
      </c>
      <c r="AY152" s="114">
        <f t="shared" si="515"/>
        <v>132.99599999999998</v>
      </c>
      <c r="AZ152" s="114">
        <f t="shared" si="515"/>
        <v>103.282</v>
      </c>
      <c r="BA152" s="114">
        <f t="shared" si="515"/>
        <v>110.78399999999999</v>
      </c>
      <c r="BB152" s="114">
        <f t="shared" si="515"/>
        <v>131.34</v>
      </c>
      <c r="BC152" s="114">
        <f t="shared" si="515"/>
        <v>111.86600000000001</v>
      </c>
      <c r="BD152" s="114">
        <f t="shared" si="515"/>
        <v>112.24000000000001</v>
      </c>
      <c r="BE152" s="114">
        <f t="shared" si="515"/>
        <v>148.21199999999999</v>
      </c>
      <c r="BF152" s="114">
        <f t="shared" si="515"/>
        <v>152.06400000000002</v>
      </c>
      <c r="BG152" s="114">
        <f t="shared" si="515"/>
        <v>176.12400000000002</v>
      </c>
      <c r="BH152" s="114">
        <f t="shared" si="515"/>
        <v>63.538000000000004</v>
      </c>
      <c r="BI152" s="114">
        <f t="shared" si="515"/>
        <v>12.123000000000005</v>
      </c>
      <c r="BJ152" s="114">
        <f t="shared" si="515"/>
        <v>16.485999999999983</v>
      </c>
      <c r="BK152" s="114">
        <f t="shared" ref="BK152:BQ152" si="516">+BK154-BK153</f>
        <v>12.649000000000015</v>
      </c>
      <c r="BL152" s="114">
        <f t="shared" si="516"/>
        <v>-9.6460000000000008</v>
      </c>
      <c r="BM152" s="114">
        <f t="shared" si="516"/>
        <v>-16.080999999999996</v>
      </c>
      <c r="BN152" s="114">
        <f t="shared" si="516"/>
        <v>-2.974000000000018</v>
      </c>
      <c r="BO152" s="114">
        <f t="shared" si="516"/>
        <v>16.07800000000001</v>
      </c>
      <c r="BP152" s="114">
        <f t="shared" si="516"/>
        <v>48.698999999999998</v>
      </c>
      <c r="BQ152" s="114">
        <f t="shared" si="516"/>
        <v>107.649</v>
      </c>
      <c r="BR152" s="114">
        <f>+BR154-BR153</f>
        <v>139.67399999999998</v>
      </c>
      <c r="BS152" s="114">
        <f>+BS154-BS153</f>
        <v>100.96100000000001</v>
      </c>
      <c r="BT152" s="114">
        <f t="shared" si="515"/>
        <v>117.56653189634824</v>
      </c>
      <c r="BU152" s="114">
        <f t="shared" si="515"/>
        <v>154.59285437643337</v>
      </c>
      <c r="BV152" s="114">
        <f t="shared" si="515"/>
        <v>169.74976354677426</v>
      </c>
      <c r="BW152" s="114">
        <f t="shared" si="515"/>
        <v>178.19686001787176</v>
      </c>
      <c r="BX152" s="114">
        <f t="shared" ref="BX152:CE152" si="517">+BX154-BX153</f>
        <v>179.38088059523429</v>
      </c>
      <c r="BY152" s="114">
        <f t="shared" si="517"/>
        <v>179.94809695907625</v>
      </c>
      <c r="BZ152" s="114">
        <f t="shared" si="517"/>
        <v>186.3822331667871</v>
      </c>
      <c r="CA152" s="114">
        <f t="shared" si="517"/>
        <v>197.47473684651851</v>
      </c>
      <c r="CB152" s="114">
        <f t="shared" si="517"/>
        <v>202.5841495982155</v>
      </c>
      <c r="CC152" s="114">
        <f t="shared" si="517"/>
        <v>202.0256803222689</v>
      </c>
      <c r="CD152" s="114">
        <f t="shared" si="517"/>
        <v>202.30491496024217</v>
      </c>
      <c r="CE152" s="114">
        <f t="shared" si="517"/>
        <v>202.86338423618881</v>
      </c>
      <c r="CF152" s="4"/>
      <c r="CG152" s="4"/>
      <c r="CH152" s="4"/>
      <c r="CI152" s="4"/>
      <c r="CJ152" s="4"/>
      <c r="CK152" s="4"/>
      <c r="CL152" s="4"/>
      <c r="CM152" s="4"/>
      <c r="CN152" s="240">
        <f t="shared" si="480"/>
        <v>145</v>
      </c>
    </row>
    <row r="153" spans="1:92" hidden="1" outlineLevel="2">
      <c r="A153" s="144"/>
      <c r="B153" s="42" t="s">
        <v>52</v>
      </c>
      <c r="C153" s="195">
        <v>-31.805</v>
      </c>
      <c r="D153" s="72">
        <f t="shared" ref="D153:F154" si="518">(SUMIF($T$5:$BT$5,D$5,$T153:$BT153))</f>
        <v>-59.436</v>
      </c>
      <c r="E153" s="72">
        <f t="shared" si="518"/>
        <v>-92.738</v>
      </c>
      <c r="F153" s="72">
        <f t="shared" si="518"/>
        <v>-101.78</v>
      </c>
      <c r="G153" s="72">
        <f t="shared" ref="G153:N154" si="519">(SUMIF($T$5:$CF$5,G$5,$T153:$CF153))</f>
        <v>-106.48</v>
      </c>
      <c r="H153" s="72">
        <f t="shared" si="519"/>
        <v>-152.25200000000001</v>
      </c>
      <c r="I153" s="72">
        <f t="shared" si="519"/>
        <v>-183.762</v>
      </c>
      <c r="J153" s="72">
        <f t="shared" si="519"/>
        <v>-181.02600000000001</v>
      </c>
      <c r="K153" s="72">
        <f t="shared" si="519"/>
        <v>-198.636</v>
      </c>
      <c r="L153" s="72">
        <f t="shared" si="519"/>
        <v>-237.77800000000002</v>
      </c>
      <c r="M153" s="72">
        <f t="shared" si="519"/>
        <v>-191.18100000000001</v>
      </c>
      <c r="N153" s="72">
        <f t="shared" si="519"/>
        <v>-145.50700000000001</v>
      </c>
      <c r="O153" s="72">
        <f>SUMIF($T$5:$CF$5,O$5,$T153:$CF153)</f>
        <v>-153.06938501764603</v>
      </c>
      <c r="P153" s="72">
        <f t="shared" si="511"/>
        <v>-171.63429487215802</v>
      </c>
      <c r="Q153" s="72">
        <f t="shared" si="511"/>
        <v>-218.20473705905897</v>
      </c>
      <c r="R153" s="72"/>
      <c r="S153" s="4"/>
      <c r="T153" s="195"/>
      <c r="U153" s="195"/>
      <c r="V153" s="195"/>
      <c r="W153" s="195"/>
      <c r="X153" s="195"/>
      <c r="Y153" s="195"/>
      <c r="Z153" s="195"/>
      <c r="AA153" s="195"/>
      <c r="AB153" s="195">
        <v>-11.023999999999999</v>
      </c>
      <c r="AC153" s="195">
        <f>-24.988-AB153</f>
        <v>-13.964</v>
      </c>
      <c r="AD153" s="195">
        <f>-40.891-AC153-AB153</f>
        <v>-15.903</v>
      </c>
      <c r="AE153" s="195">
        <f>-59.436-AD153-AC153-AB153</f>
        <v>-18.545000000000002</v>
      </c>
      <c r="AF153" s="195">
        <v>-21.507000000000001</v>
      </c>
      <c r="AG153" s="195">
        <f>-44.444-AF153</f>
        <v>-22.937000000000001</v>
      </c>
      <c r="AH153" s="195">
        <f>-68.318-AG153-AF153</f>
        <v>-23.873999999999999</v>
      </c>
      <c r="AI153" s="195">
        <f>-92.738-AH153-AG153-AF153</f>
        <v>-24.420000000000005</v>
      </c>
      <c r="AJ153" s="195">
        <v>-21.603000000000002</v>
      </c>
      <c r="AK153" s="195">
        <f>-50.45-AJ153</f>
        <v>-28.847000000000001</v>
      </c>
      <c r="AL153" s="195">
        <f>-76.509-AK153-AJ153</f>
        <v>-26.058999999999997</v>
      </c>
      <c r="AM153" s="195">
        <f>-101.78-AL153-AK153-AJ153</f>
        <v>-25.271000000000001</v>
      </c>
      <c r="AN153" s="195">
        <v>-25.437999999999999</v>
      </c>
      <c r="AO153" s="195">
        <f>-52.027-AN153</f>
        <v>-26.589000000000002</v>
      </c>
      <c r="AP153" s="195">
        <f>-78.397-AO153-AN153</f>
        <v>-26.370000000000008</v>
      </c>
      <c r="AQ153" s="195">
        <f>-106.48-AP153-AO153-AN153</f>
        <v>-28.083000000000002</v>
      </c>
      <c r="AR153" s="195">
        <v>-32.817</v>
      </c>
      <c r="AS153" s="195">
        <f>-70.669-AR153</f>
        <v>-37.851999999999997</v>
      </c>
      <c r="AT153" s="195">
        <f>-110.218-AS153-AR153</f>
        <v>-39.549000000000014</v>
      </c>
      <c r="AU153" s="195">
        <f>-152.252-AT153-AS153-AR153</f>
        <v>-42.033999999999999</v>
      </c>
      <c r="AV153" s="195">
        <v>-45.118000000000002</v>
      </c>
      <c r="AW153" s="195">
        <f>-90.154-AV153</f>
        <v>-45.035999999999994</v>
      </c>
      <c r="AX153" s="195">
        <f>-136.387-AW153-AV153</f>
        <v>-46.232999999999997</v>
      </c>
      <c r="AY153" s="195">
        <f>-183.762-AX153-AW153-AV153</f>
        <v>-47.374999999999993</v>
      </c>
      <c r="AZ153" s="195">
        <v>-44.780999999999999</v>
      </c>
      <c r="BA153" s="195">
        <f>-89.442-AZ153</f>
        <v>-44.660999999999994</v>
      </c>
      <c r="BB153" s="195">
        <f>-134.599-BA153-AZ153</f>
        <v>-45.156999999999989</v>
      </c>
      <c r="BC153" s="195">
        <f>-181.026-BB153-BA153-AZ153</f>
        <v>-46.427000000000028</v>
      </c>
      <c r="BD153" s="195">
        <v>-47.344000000000001</v>
      </c>
      <c r="BE153" s="195">
        <f>-95.839-BD153</f>
        <v>-48.494999999999997</v>
      </c>
      <c r="BF153" s="195">
        <f>-145.054-BD153-BE153</f>
        <v>-49.215000000000011</v>
      </c>
      <c r="BG153" s="195">
        <f>-198.636-BF153-BE153-BD153</f>
        <v>-53.581999999999987</v>
      </c>
      <c r="BH153" s="195">
        <v>-57.676000000000002</v>
      </c>
      <c r="BI153" s="195">
        <f>-119.052-BH153</f>
        <v>-61.376000000000005</v>
      </c>
      <c r="BJ153" s="195">
        <f>-179.778-BI153-BH153</f>
        <v>-60.725999999999985</v>
      </c>
      <c r="BK153" s="195">
        <f>-237.778-BJ153-BI153-BH153</f>
        <v>-58.000000000000014</v>
      </c>
      <c r="BL153" s="195">
        <v>-53.618000000000002</v>
      </c>
      <c r="BM153" s="195">
        <f>-103.227-BL153</f>
        <v>-49.609000000000002</v>
      </c>
      <c r="BN153" s="195">
        <f>-148.88-BM153-BL153</f>
        <v>-45.652999999999984</v>
      </c>
      <c r="BO153" s="195">
        <f>-191.181-BN153-BM153-BL153</f>
        <v>-42.301000000000009</v>
      </c>
      <c r="BP153" s="195">
        <v>-39.494</v>
      </c>
      <c r="BQ153" s="195">
        <f>-76.242-BP153</f>
        <v>-36.748000000000005</v>
      </c>
      <c r="BR153" s="195">
        <f>-111.567-BQ153-BP153</f>
        <v>-35.324999999999989</v>
      </c>
      <c r="BS153" s="195">
        <f>-145.507-BR153-BQ153-BP153</f>
        <v>-33.940000000000012</v>
      </c>
      <c r="BT153" s="56">
        <f t="shared" ref="BT153:CE153" si="520">BT60</f>
        <v>-33.883975513985924</v>
      </c>
      <c r="BU153" s="56">
        <f t="shared" si="520"/>
        <v>-37.48148910870777</v>
      </c>
      <c r="BV153" s="56">
        <f t="shared" si="520"/>
        <v>-40.813232549524614</v>
      </c>
      <c r="BW153" s="56">
        <f t="shared" si="520"/>
        <v>-40.890687845427735</v>
      </c>
      <c r="BX153" s="56">
        <f t="shared" si="520"/>
        <v>-41.003380711841892</v>
      </c>
      <c r="BY153" s="56">
        <f t="shared" si="520"/>
        <v>-41.106436969882651</v>
      </c>
      <c r="BZ153" s="56">
        <f t="shared" si="520"/>
        <v>-41.20068066657177</v>
      </c>
      <c r="CA153" s="56">
        <f t="shared" si="520"/>
        <v>-48.323796523861731</v>
      </c>
      <c r="CB153" s="56">
        <f t="shared" si="520"/>
        <v>-55.172686997922234</v>
      </c>
      <c r="CC153" s="56">
        <f t="shared" si="520"/>
        <v>-54.733870547654405</v>
      </c>
      <c r="CD153" s="56">
        <f t="shared" si="520"/>
        <v>-54.332578231908933</v>
      </c>
      <c r="CE153" s="56">
        <f t="shared" si="520"/>
        <v>-53.965601281573385</v>
      </c>
      <c r="CF153" s="4"/>
      <c r="CG153" s="4"/>
      <c r="CH153" s="4"/>
      <c r="CI153" s="4"/>
      <c r="CJ153" s="4"/>
      <c r="CK153" s="4"/>
      <c r="CL153" s="4"/>
      <c r="CM153" s="4"/>
      <c r="CN153" s="240">
        <f t="shared" si="480"/>
        <v>146</v>
      </c>
    </row>
    <row r="154" spans="1:92" hidden="1" outlineLevel="2">
      <c r="A154" s="144"/>
      <c r="B154" s="45" t="s">
        <v>183</v>
      </c>
      <c r="C154" s="72">
        <f t="shared" si="499"/>
        <v>153.12599999999998</v>
      </c>
      <c r="D154" s="72">
        <f t="shared" si="518"/>
        <v>116.49200000000002</v>
      </c>
      <c r="E154" s="72">
        <f t="shared" si="518"/>
        <v>110.64899999999999</v>
      </c>
      <c r="F154" s="72">
        <f t="shared" si="518"/>
        <v>-20.326999999999998</v>
      </c>
      <c r="G154" s="72">
        <f t="shared" si="519"/>
        <v>217.14400000000001</v>
      </c>
      <c r="H154" s="72">
        <f t="shared" si="519"/>
        <v>451.25900000000001</v>
      </c>
      <c r="I154" s="72">
        <f t="shared" si="519"/>
        <v>420.23099999999999</v>
      </c>
      <c r="J154" s="72">
        <f t="shared" si="519"/>
        <v>276.24599999999998</v>
      </c>
      <c r="K154" s="72">
        <f t="shared" si="519"/>
        <v>390.00400000000002</v>
      </c>
      <c r="L154" s="72">
        <f t="shared" si="519"/>
        <v>-132.982</v>
      </c>
      <c r="M154" s="72">
        <f t="shared" si="519"/>
        <v>-203.80400000000003</v>
      </c>
      <c r="N154" s="72">
        <f t="shared" si="519"/>
        <v>251.476</v>
      </c>
      <c r="O154" s="72">
        <f>SUMIF($T$5:$CF$5,O$5,$T154:$CF154)</f>
        <v>467.03662481978154</v>
      </c>
      <c r="P154" s="72">
        <f t="shared" si="511"/>
        <v>571.55165269545819</v>
      </c>
      <c r="Q154" s="72">
        <f t="shared" si="511"/>
        <v>591.57339205785638</v>
      </c>
      <c r="R154" s="72"/>
      <c r="S154" s="4"/>
      <c r="T154" s="195">
        <v>14.788</v>
      </c>
      <c r="U154" s="195">
        <v>17.329999999999998</v>
      </c>
      <c r="V154" s="195">
        <v>24.911000000000001</v>
      </c>
      <c r="W154" s="195">
        <v>27.018999999999998</v>
      </c>
      <c r="X154" s="195">
        <v>36.238999999999997</v>
      </c>
      <c r="Y154" s="195">
        <v>37.043999999999997</v>
      </c>
      <c r="Z154" s="195">
        <v>40.131</v>
      </c>
      <c r="AA154" s="195">
        <v>39.712000000000003</v>
      </c>
      <c r="AB154" s="195">
        <v>35.286000000000001</v>
      </c>
      <c r="AC154" s="195">
        <v>31.425999999999998</v>
      </c>
      <c r="AD154" s="195">
        <v>20.558</v>
      </c>
      <c r="AE154" s="195">
        <v>29.222000000000001</v>
      </c>
      <c r="AF154" s="195">
        <v>20.687000000000001</v>
      </c>
      <c r="AG154" s="195">
        <v>31.957999999999998</v>
      </c>
      <c r="AH154" s="195">
        <v>34.643999999999998</v>
      </c>
      <c r="AI154" s="195">
        <v>23.36</v>
      </c>
      <c r="AJ154" s="195">
        <v>6.149</v>
      </c>
      <c r="AK154" s="195">
        <v>-15.212</v>
      </c>
      <c r="AL154" s="195">
        <v>-9.5399999999999991</v>
      </c>
      <c r="AM154" s="195">
        <v>-1.724</v>
      </c>
      <c r="AN154" s="195">
        <v>24.957999999999998</v>
      </c>
      <c r="AO154" s="195">
        <v>46.343000000000004</v>
      </c>
      <c r="AP154" s="195">
        <v>65.224999999999994</v>
      </c>
      <c r="AQ154" s="195">
        <v>80.617999999999995</v>
      </c>
      <c r="AR154" s="195">
        <v>99.915999999999997</v>
      </c>
      <c r="AS154" s="195">
        <v>109.509</v>
      </c>
      <c r="AT154" s="195">
        <v>127.877</v>
      </c>
      <c r="AU154" s="195">
        <v>113.95699999999999</v>
      </c>
      <c r="AV154" s="195">
        <v>123.53100000000001</v>
      </c>
      <c r="AW154" s="195">
        <v>112.371</v>
      </c>
      <c r="AX154" s="195">
        <v>98.707999999999998</v>
      </c>
      <c r="AY154" s="195">
        <v>85.620999999999995</v>
      </c>
      <c r="AZ154" s="195">
        <v>58.500999999999998</v>
      </c>
      <c r="BA154" s="195">
        <v>66.123000000000005</v>
      </c>
      <c r="BB154" s="195">
        <v>86.183000000000007</v>
      </c>
      <c r="BC154" s="195">
        <v>65.438999999999993</v>
      </c>
      <c r="BD154" s="195">
        <v>64.896000000000001</v>
      </c>
      <c r="BE154" s="195">
        <v>99.716999999999999</v>
      </c>
      <c r="BF154" s="195">
        <v>102.849</v>
      </c>
      <c r="BG154" s="195">
        <f>390.004-BF154-BE154-BD154</f>
        <v>122.54200000000004</v>
      </c>
      <c r="BH154" s="195">
        <v>5.8620000000000001</v>
      </c>
      <c r="BI154" s="195">
        <v>-49.253</v>
      </c>
      <c r="BJ154" s="114">
        <f t="shared" ref="BJ154:CE154" si="521">BJ21</f>
        <v>-44.24</v>
      </c>
      <c r="BK154" s="114">
        <f t="shared" si="521"/>
        <v>-45.350999999999999</v>
      </c>
      <c r="BL154" s="114">
        <f t="shared" si="521"/>
        <v>-63.264000000000003</v>
      </c>
      <c r="BM154" s="114">
        <f t="shared" si="521"/>
        <v>-65.69</v>
      </c>
      <c r="BN154" s="114">
        <f t="shared" si="521"/>
        <v>-48.627000000000002</v>
      </c>
      <c r="BO154" s="114">
        <f t="shared" si="521"/>
        <v>-26.222999999999999</v>
      </c>
      <c r="BP154" s="114">
        <f t="shared" si="521"/>
        <v>9.2050000000000001</v>
      </c>
      <c r="BQ154" s="114">
        <f t="shared" si="521"/>
        <v>70.900999999999996</v>
      </c>
      <c r="BR154" s="114">
        <f t="shared" si="521"/>
        <v>104.349</v>
      </c>
      <c r="BS154" s="114">
        <f t="shared" si="521"/>
        <v>67.021000000000001</v>
      </c>
      <c r="BT154" s="56">
        <f t="shared" si="521"/>
        <v>83.682556382362321</v>
      </c>
      <c r="BU154" s="56">
        <f t="shared" si="521"/>
        <v>117.1113652677256</v>
      </c>
      <c r="BV154" s="56">
        <f t="shared" si="521"/>
        <v>128.93653099724963</v>
      </c>
      <c r="BW154" s="56">
        <f t="shared" si="521"/>
        <v>137.30617217244401</v>
      </c>
      <c r="BX154" s="56">
        <f t="shared" si="521"/>
        <v>138.3774998833924</v>
      </c>
      <c r="BY154" s="56">
        <f t="shared" si="521"/>
        <v>138.8416599891936</v>
      </c>
      <c r="BZ154" s="56">
        <f t="shared" si="521"/>
        <v>145.18155250021533</v>
      </c>
      <c r="CA154" s="56">
        <f t="shared" si="521"/>
        <v>149.15094032265677</v>
      </c>
      <c r="CB154" s="56">
        <f t="shared" si="521"/>
        <v>147.41146260029328</v>
      </c>
      <c r="CC154" s="56">
        <f t="shared" si="521"/>
        <v>147.29180977461448</v>
      </c>
      <c r="CD154" s="56">
        <f t="shared" si="521"/>
        <v>147.97233672833323</v>
      </c>
      <c r="CE154" s="56">
        <f t="shared" si="521"/>
        <v>148.89778295461542</v>
      </c>
      <c r="CF154" s="4"/>
      <c r="CG154" s="4"/>
      <c r="CH154" s="4"/>
      <c r="CI154" s="4"/>
      <c r="CJ154" s="4"/>
      <c r="CK154" s="4"/>
      <c r="CL154" s="4"/>
      <c r="CM154" s="4"/>
      <c r="CN154" s="240">
        <f t="shared" si="480"/>
        <v>147</v>
      </c>
    </row>
    <row r="155" spans="1:92" hidden="1" outlineLevel="2">
      <c r="A155" s="144"/>
      <c r="B155" s="45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4"/>
      <c r="T155" s="195"/>
      <c r="U155" s="195"/>
      <c r="V155" s="195"/>
      <c r="W155" s="195"/>
      <c r="X155" s="195"/>
      <c r="Y155" s="195"/>
      <c r="Z155" s="195"/>
      <c r="AA155" s="195"/>
      <c r="AB155" s="195"/>
      <c r="AC155" s="195"/>
      <c r="AD155" s="195"/>
      <c r="AE155" s="195"/>
      <c r="AF155" s="195"/>
      <c r="AG155" s="195"/>
      <c r="AH155" s="195"/>
      <c r="AI155" s="195"/>
      <c r="AJ155" s="195"/>
      <c r="AK155" s="195"/>
      <c r="AL155" s="195"/>
      <c r="AM155" s="195"/>
      <c r="AN155" s="195"/>
      <c r="AO155" s="195"/>
      <c r="AP155" s="195"/>
      <c r="AQ155" s="195"/>
      <c r="AR155" s="195"/>
      <c r="AS155" s="195"/>
      <c r="AT155" s="195"/>
      <c r="AU155" s="195"/>
      <c r="AV155" s="195"/>
      <c r="AW155" s="195"/>
      <c r="AX155" s="195"/>
      <c r="AY155" s="195"/>
      <c r="AZ155" s="195"/>
      <c r="BA155" s="195"/>
      <c r="BB155" s="195"/>
      <c r="BC155" s="195"/>
      <c r="BD155" s="195"/>
      <c r="BE155" s="195"/>
      <c r="BF155" s="195"/>
      <c r="BG155" s="195"/>
      <c r="BH155" s="195"/>
      <c r="BI155" s="195"/>
      <c r="BJ155" s="114"/>
      <c r="BK155" s="114"/>
      <c r="BL155" s="114"/>
      <c r="BM155" s="114"/>
      <c r="BN155" s="114"/>
      <c r="BO155" s="114"/>
      <c r="BP155" s="114"/>
      <c r="BQ155" s="114"/>
      <c r="BR155" s="114"/>
      <c r="BS155" s="114"/>
      <c r="BT155" s="56"/>
      <c r="BU155" s="56"/>
      <c r="BV155" s="56"/>
      <c r="BW155" s="56"/>
      <c r="BX155" s="56"/>
      <c r="BY155" s="56"/>
      <c r="BZ155" s="56"/>
      <c r="CA155" s="56"/>
      <c r="CB155" s="56"/>
      <c r="CC155" s="56"/>
      <c r="CD155" s="56"/>
      <c r="CE155" s="56"/>
      <c r="CF155" s="4"/>
      <c r="CG155" s="4"/>
      <c r="CH155" s="4"/>
      <c r="CI155" s="4"/>
      <c r="CJ155" s="4"/>
      <c r="CK155" s="4"/>
      <c r="CL155" s="4"/>
      <c r="CM155" s="4"/>
      <c r="CN155" s="240">
        <f t="shared" si="480"/>
        <v>148</v>
      </c>
    </row>
    <row r="156" spans="1:92" hidden="1" outlineLevel="2">
      <c r="A156" s="144"/>
      <c r="B156" s="45" t="s">
        <v>236</v>
      </c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4"/>
      <c r="T156" s="195"/>
      <c r="U156" s="195"/>
      <c r="V156" s="195"/>
      <c r="W156" s="195"/>
      <c r="X156" s="195"/>
      <c r="Y156" s="195"/>
      <c r="Z156" s="195"/>
      <c r="AA156" s="195"/>
      <c r="AB156" s="195"/>
      <c r="AC156" s="195"/>
      <c r="AD156" s="195"/>
      <c r="AE156" s="195"/>
      <c r="AF156" s="195"/>
      <c r="AG156" s="195"/>
      <c r="AH156" s="195"/>
      <c r="AI156" s="195"/>
      <c r="AJ156" s="195"/>
      <c r="AK156" s="195"/>
      <c r="AL156" s="195"/>
      <c r="AM156" s="195"/>
      <c r="AN156" s="195"/>
      <c r="AO156" s="195"/>
      <c r="AP156" s="195"/>
      <c r="AQ156" s="195"/>
      <c r="AR156" s="195"/>
      <c r="AS156" s="195"/>
      <c r="AT156" s="195"/>
      <c r="AU156" s="195"/>
      <c r="AV156" s="195"/>
      <c r="AW156" s="195"/>
      <c r="AX156" s="195"/>
      <c r="AY156" s="195"/>
      <c r="AZ156" s="195"/>
      <c r="BA156" s="195"/>
      <c r="BB156" s="195"/>
      <c r="BC156" s="195"/>
      <c r="BD156" s="195"/>
      <c r="BE156" s="195"/>
      <c r="BF156" s="195"/>
      <c r="BG156" s="195"/>
      <c r="BH156" s="195"/>
      <c r="BI156" s="195"/>
      <c r="BJ156" s="114"/>
      <c r="BK156" s="114"/>
      <c r="BL156" s="114"/>
      <c r="BM156" s="114"/>
      <c r="BN156" s="114"/>
      <c r="BO156" s="114"/>
      <c r="BP156" s="114"/>
      <c r="BQ156" s="114"/>
      <c r="BR156" s="114"/>
      <c r="BS156" s="114"/>
      <c r="BT156" s="56"/>
      <c r="BU156" s="56"/>
      <c r="BV156" s="56"/>
      <c r="BW156" s="56"/>
      <c r="BX156" s="56"/>
      <c r="BY156" s="56"/>
      <c r="BZ156" s="56"/>
      <c r="CA156" s="56"/>
      <c r="CB156" s="56"/>
      <c r="CC156" s="56"/>
      <c r="CD156" s="56"/>
      <c r="CE156" s="56"/>
      <c r="CF156" s="4"/>
      <c r="CG156" s="4"/>
      <c r="CH156" s="4"/>
      <c r="CI156" s="4"/>
      <c r="CJ156" s="4"/>
      <c r="CK156" s="4"/>
      <c r="CL156" s="4"/>
      <c r="CM156" s="4"/>
      <c r="CN156" s="240">
        <f t="shared" si="480"/>
        <v>149</v>
      </c>
    </row>
    <row r="157" spans="1:92" hidden="1" outlineLevel="2">
      <c r="A157" s="144"/>
      <c r="B157" s="42" t="s">
        <v>166</v>
      </c>
      <c r="C157" s="72"/>
      <c r="D157" s="74">
        <f>+D148/C148-1</f>
        <v>0.16084752267264513</v>
      </c>
      <c r="E157" s="74">
        <f t="shared" ref="E157:O157" si="522">+E148/D148-1</f>
        <v>0.29800043151147348</v>
      </c>
      <c r="F157" s="74">
        <f t="shared" si="522"/>
        <v>-0.31193900202683134</v>
      </c>
      <c r="G157" s="74">
        <f t="shared" si="522"/>
        <v>0.90893416561462592</v>
      </c>
      <c r="H157" s="74">
        <f t="shared" si="522"/>
        <v>0.69803731860429252</v>
      </c>
      <c r="I157" s="74">
        <f t="shared" si="522"/>
        <v>7.826814994413378E-2</v>
      </c>
      <c r="J157" s="74">
        <f t="shared" si="522"/>
        <v>-3.5831918908147409E-2</v>
      </c>
      <c r="K157" s="74">
        <f t="shared" si="522"/>
        <v>0.26057504862024872</v>
      </c>
      <c r="L157" s="74">
        <f t="shared" si="522"/>
        <v>-0.46098776540881103</v>
      </c>
      <c r="M157" s="74">
        <f t="shared" si="522"/>
        <v>-0.42171526589539809</v>
      </c>
      <c r="N157" s="74">
        <f t="shared" si="522"/>
        <v>1.2634325701018456</v>
      </c>
      <c r="O157" s="74">
        <f t="shared" si="522"/>
        <v>0.35347934034542861</v>
      </c>
      <c r="P157" s="74">
        <f>+P148/O148-1</f>
        <v>0.15140663090976658</v>
      </c>
      <c r="Q157" s="74">
        <f>+Q148/P148-1</f>
        <v>8.9603660789402184E-2</v>
      </c>
      <c r="R157" s="72"/>
      <c r="S157" s="4"/>
      <c r="T157" s="195"/>
      <c r="U157" s="195"/>
      <c r="V157" s="195"/>
      <c r="W157" s="195"/>
      <c r="X157" s="195"/>
      <c r="Y157" s="195"/>
      <c r="Z157" s="195"/>
      <c r="AA157" s="195"/>
      <c r="AB157" s="195"/>
      <c r="AC157" s="74">
        <f>+AC148/AB148-1</f>
        <v>-1.4813045036435102E-2</v>
      </c>
      <c r="AD157" s="74">
        <f t="shared" ref="AD157:BW157" si="523">+AD148/AC148-1</f>
        <v>-3.8374025492336039E-2</v>
      </c>
      <c r="AE157" s="74">
        <f t="shared" si="523"/>
        <v>0.16748381162892478</v>
      </c>
      <c r="AF157" s="74">
        <f t="shared" si="523"/>
        <v>7.5172015069981279E-2</v>
      </c>
      <c r="AG157" s="74">
        <f t="shared" si="523"/>
        <v>9.4858507011126747E-2</v>
      </c>
      <c r="AH157" s="74">
        <f t="shared" si="523"/>
        <v>9.8108849118110575E-2</v>
      </c>
      <c r="AI157" s="74">
        <f t="shared" si="523"/>
        <v>-7.5920810765646718E-2</v>
      </c>
      <c r="AJ157" s="74">
        <f t="shared" si="523"/>
        <v>-0.19645241071191122</v>
      </c>
      <c r="AK157" s="74">
        <f t="shared" si="523"/>
        <v>-0.27199015084823175</v>
      </c>
      <c r="AL157" s="74">
        <f t="shared" si="523"/>
        <v>5.7634084028112431E-2</v>
      </c>
      <c r="AM157" s="74">
        <f t="shared" si="523"/>
        <v>0.16823410071695055</v>
      </c>
      <c r="AN157" s="74">
        <f t="shared" si="523"/>
        <v>0.40845205156884679</v>
      </c>
      <c r="AO157" s="74">
        <f t="shared" si="523"/>
        <v>0.17834098734084636</v>
      </c>
      <c r="AP157" s="74">
        <f t="shared" si="523"/>
        <v>0.18848708421640681</v>
      </c>
      <c r="AQ157" s="74">
        <f t="shared" si="523"/>
        <v>9.9959335793082804E-2</v>
      </c>
      <c r="AR157" s="74">
        <f t="shared" si="523"/>
        <v>0.18504424388572893</v>
      </c>
      <c r="AS157" s="74">
        <f t="shared" si="523"/>
        <v>0.16409179111739491</v>
      </c>
      <c r="AT157" s="74">
        <f t="shared" si="523"/>
        <v>0.14001465323944773</v>
      </c>
      <c r="AU157" s="74">
        <f t="shared" si="523"/>
        <v>-4.2518088788725095E-2</v>
      </c>
      <c r="AV157" s="74">
        <f t="shared" si="523"/>
        <v>3.9531950357006185E-2</v>
      </c>
      <c r="AW157" s="74">
        <f t="shared" si="523"/>
        <v>2.6434333432279189E-4</v>
      </c>
      <c r="AX157" s="74">
        <f t="shared" si="523"/>
        <v>-5.5425946023225703E-2</v>
      </c>
      <c r="AY157" s="74">
        <f t="shared" si="523"/>
        <v>-2.8918304071036127E-3</v>
      </c>
      <c r="AZ157" s="74">
        <f t="shared" si="523"/>
        <v>-9.3800526684989505E-2</v>
      </c>
      <c r="BA157" s="74">
        <f t="shared" si="523"/>
        <v>7.6188228247434653E-2</v>
      </c>
      <c r="BB157" s="74">
        <f t="shared" si="523"/>
        <v>8.0508454590477063E-2</v>
      </c>
      <c r="BC157" s="74">
        <f t="shared" si="523"/>
        <v>-1.0138202580712741E-2</v>
      </c>
      <c r="BD157" s="74">
        <f t="shared" si="523"/>
        <v>2.9650094923520998E-2</v>
      </c>
      <c r="BE157" s="74">
        <f t="shared" si="523"/>
        <v>0.16579651797760042</v>
      </c>
      <c r="BF157" s="74">
        <f t="shared" si="523"/>
        <v>5.9729018795279698E-2</v>
      </c>
      <c r="BG157" s="74">
        <f t="shared" si="523"/>
        <v>2.6484292122833875E-2</v>
      </c>
      <c r="BH157" s="74">
        <f t="shared" si="523"/>
        <v>-0.36153107042201182</v>
      </c>
      <c r="BI157" s="74">
        <f t="shared" si="523"/>
        <v>-0.27053396915573691</v>
      </c>
      <c r="BJ157" s="74">
        <f t="shared" si="523"/>
        <v>-1.6170786712399243E-2</v>
      </c>
      <c r="BK157" s="74">
        <f t="shared" si="523"/>
        <v>-7.8490193332497959E-2</v>
      </c>
      <c r="BL157" s="74">
        <f t="shared" si="523"/>
        <v>-0.29824673662656764</v>
      </c>
      <c r="BM157" s="74">
        <f t="shared" si="523"/>
        <v>-0.25220548007659338</v>
      </c>
      <c r="BN157" s="74">
        <f t="shared" si="523"/>
        <v>0.24473962977358088</v>
      </c>
      <c r="BO157" s="74">
        <f t="shared" si="523"/>
        <v>0.28349180498496906</v>
      </c>
      <c r="BP157" s="74">
        <f t="shared" si="523"/>
        <v>0.36522701470181373</v>
      </c>
      <c r="BQ157" s="74">
        <f t="shared" si="523"/>
        <v>0.34683680528864635</v>
      </c>
      <c r="BR157" s="74">
        <f t="shared" si="523"/>
        <v>0.18226699389304257</v>
      </c>
      <c r="BS157" s="74">
        <f t="shared" si="523"/>
        <v>-9.8189893333391898E-2</v>
      </c>
      <c r="BT157" s="74">
        <f t="shared" si="523"/>
        <v>5.9516462474583642E-2</v>
      </c>
      <c r="BU157" s="74">
        <f t="shared" si="523"/>
        <v>0.18344537934874405</v>
      </c>
      <c r="BV157" s="74">
        <f t="shared" si="523"/>
        <v>8.0043325490623207E-2</v>
      </c>
      <c r="BW157" s="74">
        <f t="shared" si="523"/>
        <v>3.2830405481229619E-2</v>
      </c>
      <c r="BX157" s="74">
        <f t="shared" ref="BX157:CE157" si="524">+BX148/BW148-1</f>
        <v>6.6444525298805512E-3</v>
      </c>
      <c r="BY157" s="74">
        <f t="shared" si="524"/>
        <v>3.16207815437064E-3</v>
      </c>
      <c r="BZ157" s="74">
        <f t="shared" si="524"/>
        <v>3.5755511263751316E-2</v>
      </c>
      <c r="CA157" s="74">
        <f t="shared" si="524"/>
        <v>5.9514812604509748E-2</v>
      </c>
      <c r="CB157" s="74">
        <f t="shared" si="524"/>
        <v>2.5873753945893974E-2</v>
      </c>
      <c r="CC157" s="74">
        <f t="shared" si="524"/>
        <v>-2.7567273997212149E-3</v>
      </c>
      <c r="CD157" s="74">
        <f t="shared" si="524"/>
        <v>1.3821739767334584E-3</v>
      </c>
      <c r="CE157" s="74">
        <f t="shared" si="524"/>
        <v>2.7605324173975987E-3</v>
      </c>
      <c r="CF157" s="4"/>
      <c r="CG157" s="4"/>
      <c r="CH157" s="4"/>
      <c r="CI157" s="4"/>
      <c r="CJ157" s="4"/>
      <c r="CK157" s="4"/>
      <c r="CL157" s="4"/>
      <c r="CM157" s="4"/>
      <c r="CN157" s="240">
        <f t="shared" si="480"/>
        <v>150</v>
      </c>
    </row>
    <row r="158" spans="1:92" hidden="1" outlineLevel="2">
      <c r="A158" s="144"/>
      <c r="B158" s="42" t="s">
        <v>239</v>
      </c>
      <c r="C158" s="72"/>
      <c r="D158" s="74">
        <f>D150/D148</f>
        <v>0.44677330813621619</v>
      </c>
      <c r="E158" s="74">
        <f t="shared" ref="E158:O158" si="525">E150/E148</f>
        <v>0.39551591341578102</v>
      </c>
      <c r="F158" s="74">
        <f t="shared" si="525"/>
        <v>0.30400056321879843</v>
      </c>
      <c r="G158" s="74">
        <f t="shared" si="525"/>
        <v>0.42941371634805187</v>
      </c>
      <c r="H158" s="74">
        <f t="shared" si="525"/>
        <v>0.43613190678711466</v>
      </c>
      <c r="I158" s="74">
        <f t="shared" si="525"/>
        <v>0.41795844072726401</v>
      </c>
      <c r="J158" s="74">
        <f t="shared" si="525"/>
        <v>0.35431552008604567</v>
      </c>
      <c r="K158" s="74">
        <f t="shared" si="525"/>
        <v>0.34738985982674397</v>
      </c>
      <c r="L158" s="74">
        <f t="shared" si="525"/>
        <v>0.20156485353884135</v>
      </c>
      <c r="M158" s="74">
        <f t="shared" si="525"/>
        <v>0.1643839354876008</v>
      </c>
      <c r="N158" s="74">
        <f t="shared" si="525"/>
        <v>0.34680871889926906</v>
      </c>
      <c r="O158" s="74">
        <f t="shared" si="525"/>
        <v>0.36854919979779466</v>
      </c>
      <c r="P158" s="74">
        <f>P150/P148</f>
        <v>0.37124062229709404</v>
      </c>
      <c r="Q158" s="74">
        <f>Q150/Q148</f>
        <v>0.36561682650267824</v>
      </c>
      <c r="R158" s="72"/>
      <c r="S158" s="4"/>
      <c r="T158" s="195"/>
      <c r="U158" s="195"/>
      <c r="V158" s="195"/>
      <c r="W158" s="195"/>
      <c r="X158" s="195"/>
      <c r="Y158" s="195"/>
      <c r="Z158" s="195"/>
      <c r="AA158" s="195"/>
      <c r="AB158" s="195"/>
      <c r="AC158" s="74">
        <f t="shared" ref="AC158:BW158" si="526">AC150/AC148</f>
        <v>0.46538338767119158</v>
      </c>
      <c r="AD158" s="74">
        <f t="shared" si="526"/>
        <v>0.41615199421156229</v>
      </c>
      <c r="AE158" s="74">
        <f t="shared" si="526"/>
        <v>0.44227160122661641</v>
      </c>
      <c r="AF158" s="74">
        <f t="shared" si="526"/>
        <v>0.37956356005897501</v>
      </c>
      <c r="AG158" s="74">
        <f t="shared" si="526"/>
        <v>0.42024492946164166</v>
      </c>
      <c r="AH158" s="74">
        <f t="shared" si="526"/>
        <v>0.40108139111196878</v>
      </c>
      <c r="AI158" s="74">
        <f t="shared" si="526"/>
        <v>0.37948197186251464</v>
      </c>
      <c r="AJ158" s="74">
        <f t="shared" si="526"/>
        <v>0.32226269920957662</v>
      </c>
      <c r="AK158" s="74">
        <f t="shared" si="526"/>
        <v>0.28449762540112289</v>
      </c>
      <c r="AL158" s="74">
        <f t="shared" si="526"/>
        <v>0.29135649002396696</v>
      </c>
      <c r="AM158" s="74">
        <f t="shared" si="526"/>
        <v>0.31030596467920807</v>
      </c>
      <c r="AN158" s="74">
        <f t="shared" si="526"/>
        <v>0.37777914808982954</v>
      </c>
      <c r="AO158" s="74">
        <f t="shared" si="526"/>
        <v>0.4303378835670949</v>
      </c>
      <c r="AP158" s="74">
        <f t="shared" si="526"/>
        <v>0.43878469615822568</v>
      </c>
      <c r="AQ158" s="74">
        <f t="shared" si="526"/>
        <v>0.45370696622999807</v>
      </c>
      <c r="AR158" s="74">
        <f t="shared" si="526"/>
        <v>0.4614057950554723</v>
      </c>
      <c r="AS158" s="74">
        <f t="shared" si="526"/>
        <v>0.43245245898954993</v>
      </c>
      <c r="AT158" s="74">
        <f t="shared" si="526"/>
        <v>0.42842597446558278</v>
      </c>
      <c r="AU158" s="74">
        <f t="shared" si="526"/>
        <v>0.42766048304037324</v>
      </c>
      <c r="AV158" s="74">
        <f t="shared" si="526"/>
        <v>0.44436029103235225</v>
      </c>
      <c r="AW158" s="74">
        <f t="shared" si="526"/>
        <v>0.42088032928677604</v>
      </c>
      <c r="AX158" s="74">
        <f t="shared" si="526"/>
        <v>0.41330007333700008</v>
      </c>
      <c r="AY158" s="74">
        <f t="shared" si="526"/>
        <v>0.39150328667948348</v>
      </c>
      <c r="AZ158" s="74">
        <f t="shared" si="526"/>
        <v>0.3560987996122888</v>
      </c>
      <c r="BA158" s="74">
        <f t="shared" si="526"/>
        <v>0.35746267726269687</v>
      </c>
      <c r="BB158" s="74">
        <f t="shared" si="526"/>
        <v>0.37217797500220329</v>
      </c>
      <c r="BC158" s="74">
        <f t="shared" si="526"/>
        <v>0.3317783476580628</v>
      </c>
      <c r="BD158" s="74">
        <f t="shared" si="526"/>
        <v>0.3277004861858796</v>
      </c>
      <c r="BE158" s="74">
        <f t="shared" si="526"/>
        <v>0.34658607381618556</v>
      </c>
      <c r="BF158" s="74">
        <f t="shared" si="526"/>
        <v>0.34023379781278168</v>
      </c>
      <c r="BG158" s="74">
        <f t="shared" si="526"/>
        <v>0.37062628836584616</v>
      </c>
      <c r="BH158" s="74">
        <f t="shared" si="526"/>
        <v>0.26177937197649648</v>
      </c>
      <c r="BI158" s="74">
        <f t="shared" si="526"/>
        <v>0.16780546078424238</v>
      </c>
      <c r="BJ158" s="74">
        <f t="shared" si="526"/>
        <v>0.17834520195497366</v>
      </c>
      <c r="BK158" s="74">
        <f t="shared" ref="BK158:BQ158" si="527">BK150/BK148</f>
        <v>0.17295000653787632</v>
      </c>
      <c r="BL158" s="74">
        <f t="shared" si="527"/>
        <v>0.14124181007502851</v>
      </c>
      <c r="BM158" s="74">
        <f t="shared" si="527"/>
        <v>0.1052406776951078</v>
      </c>
      <c r="BN158" s="74">
        <f t="shared" si="527"/>
        <v>0.16976205715835452</v>
      </c>
      <c r="BO158" s="74">
        <f t="shared" si="527"/>
        <v>0.21658435096193498</v>
      </c>
      <c r="BP158" s="74">
        <f t="shared" si="527"/>
        <v>0.2816239774928177</v>
      </c>
      <c r="BQ158" s="74">
        <f t="shared" si="527"/>
        <v>0.36946348269238621</v>
      </c>
      <c r="BR158" s="74">
        <f>BR150/BR148</f>
        <v>0.37932604978723622</v>
      </c>
      <c r="BS158" s="74">
        <f>BS150/BS148</f>
        <v>0.3348965364267103</v>
      </c>
      <c r="BT158" s="74">
        <f t="shared" si="526"/>
        <v>0.35424902887873677</v>
      </c>
      <c r="BU158" s="74">
        <f t="shared" si="526"/>
        <v>0.37149499860467744</v>
      </c>
      <c r="BV158" s="74">
        <f t="shared" si="526"/>
        <v>0.37125862641585289</v>
      </c>
      <c r="BW158" s="74">
        <f t="shared" si="526"/>
        <v>0.37411746654882105</v>
      </c>
      <c r="BX158" s="74">
        <f t="shared" ref="BX158:CE158" si="528">BX150/BX148</f>
        <v>0.37360283555811463</v>
      </c>
      <c r="BY158" s="74">
        <f t="shared" si="528"/>
        <v>0.37329962135096023</v>
      </c>
      <c r="BZ158" s="74">
        <f t="shared" si="528"/>
        <v>0.37097706019065563</v>
      </c>
      <c r="CA158" s="74">
        <f t="shared" si="528"/>
        <v>0.36746735198301628</v>
      </c>
      <c r="CB158" s="74">
        <f t="shared" si="528"/>
        <v>0.36585691173887203</v>
      </c>
      <c r="CC158" s="74">
        <f t="shared" si="528"/>
        <v>0.36576617540242157</v>
      </c>
      <c r="CD158" s="74">
        <f t="shared" si="528"/>
        <v>0.3655628145227256</v>
      </c>
      <c r="CE158" s="74">
        <f t="shared" si="528"/>
        <v>0.36528220284584728</v>
      </c>
      <c r="CF158" s="4"/>
      <c r="CG158" s="4"/>
      <c r="CH158" s="4"/>
      <c r="CI158" s="4"/>
      <c r="CJ158" s="4"/>
      <c r="CK158" s="4"/>
      <c r="CL158" s="4"/>
      <c r="CM158" s="4"/>
      <c r="CN158" s="240">
        <f t="shared" si="480"/>
        <v>151</v>
      </c>
    </row>
    <row r="159" spans="1:92" hidden="1" outlineLevel="2">
      <c r="A159" s="144"/>
      <c r="B159" s="42" t="s">
        <v>237</v>
      </c>
      <c r="C159" s="72"/>
      <c r="D159" s="74">
        <f t="shared" ref="D159:O159" si="529">-D151/D148</f>
        <v>0.14066463684356093</v>
      </c>
      <c r="E159" s="74">
        <f t="shared" si="529"/>
        <v>0.12287626044363115</v>
      </c>
      <c r="F159" s="74">
        <f t="shared" si="529"/>
        <v>0.14531187382804697</v>
      </c>
      <c r="G159" s="74">
        <f t="shared" si="529"/>
        <v>9.9128861684042738E-2</v>
      </c>
      <c r="H159" s="74">
        <f t="shared" si="529"/>
        <v>7.3399884233828386E-2</v>
      </c>
      <c r="I159" s="74">
        <f t="shared" si="529"/>
        <v>8.1287342659522005E-2</v>
      </c>
      <c r="J159" s="74">
        <f t="shared" si="529"/>
        <v>8.995549205858247E-2</v>
      </c>
      <c r="K159" s="74">
        <f t="shared" si="529"/>
        <v>7.7428104103058518E-2</v>
      </c>
      <c r="L159" s="74">
        <f t="shared" si="529"/>
        <v>0.11239900298072512</v>
      </c>
      <c r="M159" s="74">
        <f t="shared" si="529"/>
        <v>0.18295662100111207</v>
      </c>
      <c r="N159" s="74">
        <f t="shared" si="529"/>
        <v>8.8751227468509816E-2</v>
      </c>
      <c r="O159" s="74">
        <f t="shared" si="529"/>
        <v>7.0725762852435023E-2</v>
      </c>
      <c r="P159" s="74">
        <f>-P151/P148</f>
        <v>6.1240622297093955E-2</v>
      </c>
      <c r="Q159" s="74">
        <f>-Q151/Q148</f>
        <v>5.5616826502678303E-2</v>
      </c>
      <c r="R159" s="72"/>
      <c r="S159" s="4"/>
      <c r="T159" s="195"/>
      <c r="U159" s="195"/>
      <c r="V159" s="195"/>
      <c r="W159" s="195"/>
      <c r="X159" s="195"/>
      <c r="Y159" s="195"/>
      <c r="Z159" s="195"/>
      <c r="AA159" s="195"/>
      <c r="AB159" s="195"/>
      <c r="AC159" s="74">
        <f t="shared" ref="AC159:BV159" si="530">-AC151/AC148</f>
        <v>0.14162929527395618</v>
      </c>
      <c r="AD159" s="74">
        <f t="shared" si="530"/>
        <v>0.1457079173381246</v>
      </c>
      <c r="AE159" s="74">
        <f t="shared" si="530"/>
        <v>0.13879445079999359</v>
      </c>
      <c r="AF159" s="74">
        <f t="shared" si="530"/>
        <v>0.13023571823330476</v>
      </c>
      <c r="AG159" s="74">
        <f t="shared" si="530"/>
        <v>0.12397002175239534</v>
      </c>
      <c r="AH159" s="74">
        <f t="shared" si="530"/>
        <v>0.11346994524001232</v>
      </c>
      <c r="AI159" s="74">
        <f t="shared" si="530"/>
        <v>0.12535331191517002</v>
      </c>
      <c r="AJ159" s="74">
        <f t="shared" si="530"/>
        <v>0.13857072348826524</v>
      </c>
      <c r="AK159" s="74">
        <f t="shared" si="530"/>
        <v>0.16052842904155318</v>
      </c>
      <c r="AL159" s="74">
        <f t="shared" si="530"/>
        <v>0.14935040368041527</v>
      </c>
      <c r="AM159" s="74">
        <f t="shared" si="530"/>
        <v>0.13703375652002756</v>
      </c>
      <c r="AN159" s="74">
        <f t="shared" si="530"/>
        <v>0.11448128964455953</v>
      </c>
      <c r="AO159" s="74">
        <f t="shared" si="530"/>
        <v>0.10696887258003288</v>
      </c>
      <c r="AP159" s="74">
        <f t="shared" si="530"/>
        <v>9.7074784910655201E-2</v>
      </c>
      <c r="AQ159" s="74">
        <f t="shared" si="530"/>
        <v>8.5032790482227311E-2</v>
      </c>
      <c r="AR159" s="74">
        <f t="shared" si="530"/>
        <v>8.1519589481377108E-2</v>
      </c>
      <c r="AS159" s="74">
        <f t="shared" si="530"/>
        <v>7.0151113645149657E-2</v>
      </c>
      <c r="AT159" s="74">
        <f t="shared" si="530"/>
        <v>6.7348950192638896E-2</v>
      </c>
      <c r="AU159" s="74">
        <f t="shared" si="530"/>
        <v>7.6305661768665767E-2</v>
      </c>
      <c r="AV159" s="74">
        <f t="shared" si="530"/>
        <v>7.8940299309332079E-2</v>
      </c>
      <c r="AW159" s="74">
        <f t="shared" si="530"/>
        <v>7.9909059279432773E-2</v>
      </c>
      <c r="AX159" s="74">
        <f t="shared" si="530"/>
        <v>8.0909279494007433E-2</v>
      </c>
      <c r="AY159" s="74">
        <f t="shared" si="530"/>
        <v>8.5621204318830829E-2</v>
      </c>
      <c r="AZ159" s="74">
        <f t="shared" si="530"/>
        <v>9.3969062117650368E-2</v>
      </c>
      <c r="BA159" s="74">
        <f t="shared" si="530"/>
        <v>9.6198144092874027E-2</v>
      </c>
      <c r="BB159" s="74">
        <f t="shared" si="530"/>
        <v>8.5514567693093971E-2</v>
      </c>
      <c r="BC159" s="74">
        <f t="shared" si="530"/>
        <v>8.5118310570638261E-2</v>
      </c>
      <c r="BD159" s="74">
        <f t="shared" si="530"/>
        <v>8.7342433206030787E-2</v>
      </c>
      <c r="BE159" s="74">
        <f t="shared" si="530"/>
        <v>7.4333726243113352E-2</v>
      </c>
      <c r="BF159" s="74">
        <f t="shared" si="530"/>
        <v>7.6649309471486307E-2</v>
      </c>
      <c r="BG159" s="74">
        <f t="shared" si="530"/>
        <v>7.3213477885372802E-2</v>
      </c>
      <c r="BH159" s="74">
        <f t="shared" si="530"/>
        <v>9.3730770177468184E-2</v>
      </c>
      <c r="BI159" s="74">
        <f t="shared" si="530"/>
        <v>0.12385065196935072</v>
      </c>
      <c r="BJ159" s="74">
        <f t="shared" si="530"/>
        <v>0.11758882448856552</v>
      </c>
      <c r="BK159" s="74">
        <f t="shared" ref="BK159:BQ159" si="531">-BK151/BK148</f>
        <v>0.1223637191050633</v>
      </c>
      <c r="BL159" s="74">
        <f t="shared" si="531"/>
        <v>0.19621354345699255</v>
      </c>
      <c r="BM159" s="74">
        <f t="shared" si="531"/>
        <v>0.22779339571182811</v>
      </c>
      <c r="BN159" s="74">
        <f t="shared" si="531"/>
        <v>0.18797048054399493</v>
      </c>
      <c r="BO159" s="74">
        <f t="shared" si="531"/>
        <v>0.13988877677072542</v>
      </c>
      <c r="BP159" s="74">
        <f t="shared" si="531"/>
        <v>0.11146555570091138</v>
      </c>
      <c r="BQ159" s="74">
        <f t="shared" si="531"/>
        <v>9.0190817682605728E-2</v>
      </c>
      <c r="BR159" s="74">
        <f>-BR151/BR148</f>
        <v>7.2834549542568044E-2</v>
      </c>
      <c r="BS159" s="74">
        <f>-BS151/BS148</f>
        <v>8.9232598250873527E-2</v>
      </c>
      <c r="BT159" s="74">
        <f t="shared" si="530"/>
        <v>8.4249028878736712E-2</v>
      </c>
      <c r="BU159" s="74">
        <f t="shared" si="530"/>
        <v>7.1494998604677451E-2</v>
      </c>
      <c r="BV159" s="74">
        <f t="shared" si="530"/>
        <v>6.6258626415852867E-2</v>
      </c>
      <c r="BW159" s="74">
        <f>-BW151/BW148</f>
        <v>6.411746654882107E-2</v>
      </c>
      <c r="BX159" s="74">
        <f t="shared" ref="BX159:CE159" si="532">-BX151/BX148</f>
        <v>6.3602835558114565E-2</v>
      </c>
      <c r="BY159" s="74">
        <f t="shared" si="532"/>
        <v>6.3299621350960275E-2</v>
      </c>
      <c r="BZ159" s="74">
        <f t="shared" si="532"/>
        <v>6.0977060190655616E-2</v>
      </c>
      <c r="CA159" s="74">
        <f t="shared" si="532"/>
        <v>5.7467351983016286E-2</v>
      </c>
      <c r="CB159" s="74">
        <f t="shared" si="532"/>
        <v>5.5856911738871966E-2</v>
      </c>
      <c r="CC159" s="74">
        <f t="shared" si="532"/>
        <v>5.5766175402421569E-2</v>
      </c>
      <c r="CD159" s="74">
        <f t="shared" si="532"/>
        <v>5.556281452272558E-2</v>
      </c>
      <c r="CE159" s="74">
        <f t="shared" si="532"/>
        <v>5.5282202845847242E-2</v>
      </c>
      <c r="CF159" s="4"/>
      <c r="CG159" s="4"/>
      <c r="CH159" s="4"/>
      <c r="CI159" s="4"/>
      <c r="CJ159" s="4"/>
      <c r="CK159" s="4"/>
      <c r="CL159" s="4"/>
      <c r="CM159" s="4"/>
      <c r="CN159" s="240">
        <f t="shared" si="480"/>
        <v>152</v>
      </c>
    </row>
    <row r="160" spans="1:92" hidden="1" outlineLevel="2">
      <c r="A160" s="144"/>
      <c r="B160" s="42" t="s">
        <v>238</v>
      </c>
      <c r="C160" s="72"/>
      <c r="D160" s="74">
        <f>D152/D148</f>
        <v>0.30610867129265529</v>
      </c>
      <c r="E160" s="74">
        <f t="shared" ref="E160:O160" si="533">E152/E148</f>
        <v>0.27263965297214987</v>
      </c>
      <c r="F160" s="74">
        <f t="shared" si="533"/>
        <v>0.1586886893907514</v>
      </c>
      <c r="G160" s="74">
        <f t="shared" si="533"/>
        <v>0.33028485466400909</v>
      </c>
      <c r="H160" s="74">
        <f t="shared" si="533"/>
        <v>0.3627320225532864</v>
      </c>
      <c r="I160" s="74">
        <f t="shared" si="533"/>
        <v>0.33667109806774187</v>
      </c>
      <c r="J160" s="74">
        <f t="shared" si="533"/>
        <v>0.26436002802746317</v>
      </c>
      <c r="K160" s="74">
        <f t="shared" si="533"/>
        <v>0.26996175572368553</v>
      </c>
      <c r="L160" s="74">
        <f t="shared" si="533"/>
        <v>8.9165850558116141E-2</v>
      </c>
      <c r="M160" s="74">
        <f t="shared" si="533"/>
        <v>-1.8572685513511294E-2</v>
      </c>
      <c r="N160" s="74">
        <f t="shared" si="533"/>
        <v>0.25805749143075934</v>
      </c>
      <c r="O160" s="74">
        <f t="shared" si="533"/>
        <v>0.29782343694535979</v>
      </c>
      <c r="P160" s="74">
        <f>P152/P148</f>
        <v>0.30999999999999994</v>
      </c>
      <c r="Q160" s="74">
        <f>Q152/Q148</f>
        <v>0.31000000000000005</v>
      </c>
      <c r="R160" s="72"/>
      <c r="S160" s="4"/>
      <c r="T160" s="195"/>
      <c r="U160" s="195"/>
      <c r="V160" s="195"/>
      <c r="W160" s="195"/>
      <c r="X160" s="195"/>
      <c r="Y160" s="195"/>
      <c r="Z160" s="195"/>
      <c r="AA160" s="195"/>
      <c r="AB160" s="195"/>
      <c r="AC160" s="74">
        <f>AC152/AC148</f>
        <v>0.32375409239723535</v>
      </c>
      <c r="AD160" s="74">
        <f t="shared" ref="AD160:BW160" si="534">AD152/AD148</f>
        <v>0.27044407687343774</v>
      </c>
      <c r="AE160" s="74">
        <f t="shared" si="534"/>
        <v>0.30347715042662282</v>
      </c>
      <c r="AF160" s="74">
        <f t="shared" si="534"/>
        <v>0.24932784182567025</v>
      </c>
      <c r="AG160" s="74">
        <f t="shared" si="534"/>
        <v>0.29627490770924636</v>
      </c>
      <c r="AH160" s="74">
        <f t="shared" si="534"/>
        <v>0.28761144587195647</v>
      </c>
      <c r="AI160" s="74">
        <f t="shared" si="534"/>
        <v>0.25412865994734463</v>
      </c>
      <c r="AJ160" s="74">
        <f t="shared" si="534"/>
        <v>0.18369197572131138</v>
      </c>
      <c r="AK160" s="74">
        <f t="shared" si="534"/>
        <v>0.12396919635956979</v>
      </c>
      <c r="AL160" s="74">
        <f t="shared" si="534"/>
        <v>0.14200608634355175</v>
      </c>
      <c r="AM160" s="74">
        <f t="shared" si="534"/>
        <v>0.17327220815918057</v>
      </c>
      <c r="AN160" s="74">
        <f t="shared" si="534"/>
        <v>0.26329785844526993</v>
      </c>
      <c r="AO160" s="74">
        <f t="shared" si="534"/>
        <v>0.32336901098706206</v>
      </c>
      <c r="AP160" s="74">
        <f t="shared" si="534"/>
        <v>0.34170991124757044</v>
      </c>
      <c r="AQ160" s="74">
        <f t="shared" si="534"/>
        <v>0.36867417574777078</v>
      </c>
      <c r="AR160" s="74">
        <f t="shared" si="534"/>
        <v>0.37988620557409519</v>
      </c>
      <c r="AS160" s="74">
        <f t="shared" si="534"/>
        <v>0.36230134534440028</v>
      </c>
      <c r="AT160" s="74">
        <f t="shared" si="534"/>
        <v>0.36107702427294397</v>
      </c>
      <c r="AU160" s="74">
        <f t="shared" si="534"/>
        <v>0.35135482127170747</v>
      </c>
      <c r="AV160" s="74">
        <f t="shared" si="534"/>
        <v>0.3654199917230202</v>
      </c>
      <c r="AW160" s="74">
        <f t="shared" si="534"/>
        <v>0.34097127000734334</v>
      </c>
      <c r="AX160" s="74">
        <f t="shared" si="534"/>
        <v>0.33239079384299264</v>
      </c>
      <c r="AY160" s="74">
        <f t="shared" si="534"/>
        <v>0.30588208236065267</v>
      </c>
      <c r="AZ160" s="74">
        <f t="shared" si="534"/>
        <v>0.26212973749463847</v>
      </c>
      <c r="BA160" s="74">
        <f t="shared" si="534"/>
        <v>0.2612645331698229</v>
      </c>
      <c r="BB160" s="74">
        <f t="shared" si="534"/>
        <v>0.28666340730910933</v>
      </c>
      <c r="BC160" s="74">
        <f t="shared" si="534"/>
        <v>0.24666003708742448</v>
      </c>
      <c r="BD160" s="74">
        <f t="shared" si="534"/>
        <v>0.24035805297984883</v>
      </c>
      <c r="BE160" s="74">
        <f t="shared" si="534"/>
        <v>0.27225234757307232</v>
      </c>
      <c r="BF160" s="74">
        <f t="shared" si="534"/>
        <v>0.26358448834129533</v>
      </c>
      <c r="BG160" s="74">
        <f t="shared" si="534"/>
        <v>0.2974128104804733</v>
      </c>
      <c r="BH160" s="74">
        <f t="shared" si="534"/>
        <v>0.16804860179902828</v>
      </c>
      <c r="BI160" s="74">
        <f t="shared" si="534"/>
        <v>4.3954808814891645E-2</v>
      </c>
      <c r="BJ160" s="74">
        <f t="shared" si="534"/>
        <v>6.0756377466408142E-2</v>
      </c>
      <c r="BK160" s="74">
        <f t="shared" ref="BK160:BQ160" si="535">BK152/BK148</f>
        <v>5.058628743281296E-2</v>
      </c>
      <c r="BL160" s="74">
        <f t="shared" si="535"/>
        <v>-5.4971733381964073E-2</v>
      </c>
      <c r="BM160" s="74">
        <f t="shared" si="535"/>
        <v>-0.12255271801672035</v>
      </c>
      <c r="BN160" s="74">
        <f t="shared" si="535"/>
        <v>-1.8208423385640313E-2</v>
      </c>
      <c r="BO160" s="74">
        <f t="shared" si="535"/>
        <v>7.6695574191209495E-2</v>
      </c>
      <c r="BP160" s="74">
        <f t="shared" si="535"/>
        <v>0.17015842179190629</v>
      </c>
      <c r="BQ160" s="74">
        <f t="shared" si="535"/>
        <v>0.27927266500978049</v>
      </c>
      <c r="BR160" s="74">
        <f>BR152/BR148</f>
        <v>0.30649150024466826</v>
      </c>
      <c r="BS160" s="74">
        <f>BS152/BS148</f>
        <v>0.24566393817583684</v>
      </c>
      <c r="BT160" s="74">
        <f t="shared" si="534"/>
        <v>0.27</v>
      </c>
      <c r="BU160" s="74">
        <f t="shared" si="534"/>
        <v>0.3</v>
      </c>
      <c r="BV160" s="74">
        <f t="shared" si="534"/>
        <v>0.30499999999999999</v>
      </c>
      <c r="BW160" s="74">
        <f t="shared" si="534"/>
        <v>0.31</v>
      </c>
      <c r="BX160" s="74">
        <f t="shared" ref="BX160:CE160" si="536">BX152/BX148</f>
        <v>0.31</v>
      </c>
      <c r="BY160" s="74">
        <f t="shared" si="536"/>
        <v>0.31</v>
      </c>
      <c r="BZ160" s="74">
        <f t="shared" si="536"/>
        <v>0.31</v>
      </c>
      <c r="CA160" s="74">
        <f t="shared" si="536"/>
        <v>0.31000000000000005</v>
      </c>
      <c r="CB160" s="74">
        <f t="shared" si="536"/>
        <v>0.31</v>
      </c>
      <c r="CC160" s="74">
        <f t="shared" si="536"/>
        <v>0.31000000000000005</v>
      </c>
      <c r="CD160" s="74">
        <f t="shared" si="536"/>
        <v>0.31</v>
      </c>
      <c r="CE160" s="74">
        <f t="shared" si="536"/>
        <v>0.31</v>
      </c>
      <c r="CF160" s="4"/>
      <c r="CG160" s="4"/>
      <c r="CH160" s="4"/>
      <c r="CI160" s="4"/>
      <c r="CJ160" s="4"/>
      <c r="CK160" s="4"/>
      <c r="CL160" s="4"/>
      <c r="CM160" s="4"/>
      <c r="CN160" s="240">
        <f t="shared" si="480"/>
        <v>153</v>
      </c>
    </row>
    <row r="161" spans="1:92" hidden="1" outlineLevel="2">
      <c r="A161" s="144"/>
      <c r="B161" s="42" t="s">
        <v>240</v>
      </c>
      <c r="C161" s="72"/>
      <c r="D161" s="74">
        <f>+D154/D148</f>
        <v>0.20269207480460191</v>
      </c>
      <c r="E161" s="74">
        <f t="shared" ref="E161:O161" si="537">+E154/E148</f>
        <v>0.14832464691310362</v>
      </c>
      <c r="F161" s="74">
        <f t="shared" si="537"/>
        <v>-3.9601549227723999E-2</v>
      </c>
      <c r="G161" s="74">
        <f t="shared" si="537"/>
        <v>0.22161327491521512</v>
      </c>
      <c r="H161" s="74">
        <f t="shared" si="537"/>
        <v>0.27122304277034465</v>
      </c>
      <c r="I161" s="74">
        <f t="shared" si="537"/>
        <v>0.23424051638364227</v>
      </c>
      <c r="J161" s="74">
        <f t="shared" si="537"/>
        <v>0.15970450913783174</v>
      </c>
      <c r="K161" s="74">
        <f t="shared" si="537"/>
        <v>0.17886342175057798</v>
      </c>
      <c r="L161" s="74">
        <f t="shared" si="537"/>
        <v>-0.11314795544600366</v>
      </c>
      <c r="M161" s="74">
        <f t="shared" si="537"/>
        <v>-0.29986434273909962</v>
      </c>
      <c r="N161" s="74">
        <f t="shared" si="537"/>
        <v>0.16347114540179714</v>
      </c>
      <c r="O161" s="74">
        <f t="shared" si="537"/>
        <v>0.22430753867335376</v>
      </c>
      <c r="P161" s="74">
        <f>+P154/P148</f>
        <v>0.23840737693640504</v>
      </c>
      <c r="Q161" s="74">
        <f>+Q154/Q148</f>
        <v>0.22646666406997767</v>
      </c>
      <c r="R161" s="72"/>
      <c r="S161" s="4"/>
      <c r="T161" s="195"/>
      <c r="U161" s="195"/>
      <c r="V161" s="195"/>
      <c r="W161" s="195"/>
      <c r="X161" s="195"/>
      <c r="Y161" s="195"/>
      <c r="Z161" s="195"/>
      <c r="AA161" s="195"/>
      <c r="AB161" s="195"/>
      <c r="AC161" s="74">
        <f>+AC154/AC148</f>
        <v>0.22415281136099399</v>
      </c>
      <c r="AD161" s="74">
        <f t="shared" ref="AD161:BW161" si="538">+AD154/AD148</f>
        <v>0.1524859255742885</v>
      </c>
      <c r="AE161" s="74">
        <f t="shared" si="538"/>
        <v>0.1856555632500842</v>
      </c>
      <c r="AF161" s="74">
        <f t="shared" si="538"/>
        <v>0.12224119694382236</v>
      </c>
      <c r="AG161" s="74">
        <f t="shared" si="538"/>
        <v>0.17248116405086245</v>
      </c>
      <c r="AH161" s="74">
        <f t="shared" si="538"/>
        <v>0.17027258161229125</v>
      </c>
      <c r="AI161" s="74">
        <f t="shared" si="538"/>
        <v>0.1242454059516528</v>
      </c>
      <c r="AJ161" s="74">
        <f t="shared" si="538"/>
        <v>4.0700560633840574E-2</v>
      </c>
      <c r="AK161" s="74">
        <f t="shared" si="538"/>
        <v>-0.13830725449371289</v>
      </c>
      <c r="AL161" s="74">
        <f t="shared" si="538"/>
        <v>-8.2010900400598316E-2</v>
      </c>
      <c r="AM161" s="74">
        <f t="shared" si="538"/>
        <v>-1.2686171778418793E-2</v>
      </c>
      <c r="AN161" s="74">
        <f t="shared" si="538"/>
        <v>0.13039503038092401</v>
      </c>
      <c r="AO161" s="74">
        <f t="shared" si="538"/>
        <v>0.20547756919011431</v>
      </c>
      <c r="AP161" s="74">
        <f t="shared" si="538"/>
        <v>0.24333237579696249</v>
      </c>
      <c r="AQ161" s="74">
        <f t="shared" si="538"/>
        <v>0.27342687464175847</v>
      </c>
      <c r="AR161" s="74">
        <f t="shared" si="538"/>
        <v>0.28596287370993867</v>
      </c>
      <c r="AS161" s="74">
        <f t="shared" si="538"/>
        <v>0.26923852326816411</v>
      </c>
      <c r="AT161" s="74">
        <f t="shared" si="538"/>
        <v>0.27578420695083944</v>
      </c>
      <c r="AU161" s="74">
        <f t="shared" si="538"/>
        <v>0.25667725296754285</v>
      </c>
      <c r="AV161" s="74">
        <f t="shared" si="538"/>
        <v>0.26766062649370237</v>
      </c>
      <c r="AW161" s="74">
        <f t="shared" si="538"/>
        <v>0.24341536641950598</v>
      </c>
      <c r="AX161" s="74">
        <f t="shared" si="538"/>
        <v>0.2263654209551067</v>
      </c>
      <c r="AY161" s="74">
        <f t="shared" si="538"/>
        <v>0.19692268770340043</v>
      </c>
      <c r="AZ161" s="74">
        <f t="shared" si="538"/>
        <v>0.14847555017499509</v>
      </c>
      <c r="BA161" s="74">
        <f t="shared" si="538"/>
        <v>0.15593943824729384</v>
      </c>
      <c r="BB161" s="74">
        <f t="shared" si="538"/>
        <v>0.18810349042272706</v>
      </c>
      <c r="BC161" s="74">
        <f t="shared" si="538"/>
        <v>0.1442903667509696</v>
      </c>
      <c r="BD161" s="74">
        <f t="shared" si="538"/>
        <v>0.13897252500160609</v>
      </c>
      <c r="BE161" s="74">
        <f t="shared" si="538"/>
        <v>0.18317131772693204</v>
      </c>
      <c r="BF161" s="74">
        <f t="shared" si="538"/>
        <v>0.17827625895290064</v>
      </c>
      <c r="BG161" s="74">
        <f t="shared" si="538"/>
        <v>0.20693125651187896</v>
      </c>
      <c r="BH161" s="74">
        <f t="shared" si="538"/>
        <v>1.5504122001729733E-2</v>
      </c>
      <c r="BI161" s="74">
        <f t="shared" si="538"/>
        <v>-0.17857842106408128</v>
      </c>
      <c r="BJ161" s="74">
        <f t="shared" si="538"/>
        <v>-0.16303907188607902</v>
      </c>
      <c r="BK161" s="74">
        <f t="shared" ref="BK161:BQ161" si="539">+BK154/BK148</f>
        <v>-0.18136917711799333</v>
      </c>
      <c r="BL161" s="74">
        <f t="shared" si="539"/>
        <v>-0.36053615391629434</v>
      </c>
      <c r="BM161" s="74">
        <f t="shared" si="539"/>
        <v>-0.50062110854538655</v>
      </c>
      <c r="BN161" s="74">
        <f t="shared" si="539"/>
        <v>-0.29772057968175059</v>
      </c>
      <c r="BO161" s="74">
        <f t="shared" si="539"/>
        <v>-0.12508944159821403</v>
      </c>
      <c r="BP161" s="74">
        <f t="shared" si="539"/>
        <v>3.2163047959804056E-2</v>
      </c>
      <c r="BQ161" s="74">
        <f t="shared" si="539"/>
        <v>0.18393771629888289</v>
      </c>
      <c r="BR161" s="74">
        <f>+BR154/BR148</f>
        <v>0.22897662814146438</v>
      </c>
      <c r="BS161" s="74">
        <f>+BS154/BS148</f>
        <v>0.1630792365416622</v>
      </c>
      <c r="BT161" s="74">
        <f t="shared" si="538"/>
        <v>0.1921830121106059</v>
      </c>
      <c r="BU161" s="74">
        <f t="shared" si="538"/>
        <v>0.22726412370113744</v>
      </c>
      <c r="BV161" s="74">
        <f t="shared" si="538"/>
        <v>0.23166831654127767</v>
      </c>
      <c r="BW161" s="74">
        <f t="shared" si="538"/>
        <v>0.2388645533326946</v>
      </c>
      <c r="BX161" s="74">
        <f t="shared" ref="BX161:CE161" si="540">+BX154/BX148</f>
        <v>0.2391393376011296</v>
      </c>
      <c r="BY161" s="74">
        <f t="shared" si="540"/>
        <v>0.2391851612992516</v>
      </c>
      <c r="BZ161" s="74">
        <f t="shared" si="540"/>
        <v>0.24147302299351767</v>
      </c>
      <c r="CA161" s="74">
        <f t="shared" si="540"/>
        <v>0.23414028669378506</v>
      </c>
      <c r="CB161" s="74">
        <f t="shared" si="540"/>
        <v>0.22557319265462145</v>
      </c>
      <c r="CC161" s="74">
        <f t="shared" si="540"/>
        <v>0.2260131531659415</v>
      </c>
      <c r="CD161" s="74">
        <f t="shared" si="540"/>
        <v>0.22674399381151045</v>
      </c>
      <c r="CE161" s="74">
        <f t="shared" si="540"/>
        <v>0.22753397755698387</v>
      </c>
      <c r="CF161" s="4"/>
      <c r="CG161" s="4"/>
      <c r="CH161" s="4"/>
      <c r="CI161" s="4"/>
      <c r="CJ161" s="4"/>
      <c r="CK161" s="4"/>
      <c r="CL161" s="4"/>
      <c r="CM161" s="4"/>
      <c r="CN161" s="240">
        <f t="shared" si="480"/>
        <v>154</v>
      </c>
    </row>
    <row r="162" spans="1:92" hidden="1" outlineLevel="2">
      <c r="A162" s="144"/>
      <c r="B162" s="45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4"/>
      <c r="T162" s="195"/>
      <c r="U162" s="195"/>
      <c r="V162" s="195"/>
      <c r="W162" s="195"/>
      <c r="X162" s="195"/>
      <c r="Y162" s="195"/>
      <c r="Z162" s="195"/>
      <c r="AA162" s="195"/>
      <c r="AB162" s="195"/>
      <c r="AC162" s="195"/>
      <c r="AD162" s="195"/>
      <c r="AE162" s="195"/>
      <c r="AF162" s="195"/>
      <c r="AG162" s="195"/>
      <c r="AH162" s="195"/>
      <c r="AI162" s="195"/>
      <c r="AJ162" s="195"/>
      <c r="AK162" s="195"/>
      <c r="AL162" s="195"/>
      <c r="AM162" s="195"/>
      <c r="AN162" s="195"/>
      <c r="AO162" s="195"/>
      <c r="AP162" s="195"/>
      <c r="AQ162" s="195"/>
      <c r="AR162" s="195"/>
      <c r="AS162" s="195"/>
      <c r="AT162" s="195"/>
      <c r="AU162" s="195"/>
      <c r="AV162" s="195"/>
      <c r="AW162" s="195"/>
      <c r="AX162" s="195"/>
      <c r="AY162" s="195"/>
      <c r="AZ162" s="195"/>
      <c r="BA162" s="195"/>
      <c r="BB162" s="195"/>
      <c r="BC162" s="195"/>
      <c r="BD162" s="195"/>
      <c r="BE162" s="195"/>
      <c r="BF162" s="195"/>
      <c r="BG162" s="195"/>
      <c r="BH162" s="195"/>
      <c r="BI162" s="195"/>
      <c r="BJ162" s="114"/>
      <c r="BK162" s="114"/>
      <c r="BL162" s="114"/>
      <c r="BM162" s="114"/>
      <c r="BN162" s="114"/>
      <c r="BO162" s="114"/>
      <c r="BP162" s="114"/>
      <c r="BQ162" s="114"/>
      <c r="BR162" s="114"/>
      <c r="BS162" s="114"/>
      <c r="BT162" s="56"/>
      <c r="BU162" s="56"/>
      <c r="BV162" s="56"/>
      <c r="BW162" s="56"/>
      <c r="BX162" s="56"/>
      <c r="BY162" s="56"/>
      <c r="BZ162" s="56"/>
      <c r="CA162" s="56"/>
      <c r="CB162" s="56"/>
      <c r="CC162" s="56"/>
      <c r="CD162" s="56"/>
      <c r="CE162" s="56"/>
      <c r="CF162" s="4"/>
      <c r="CG162" s="4"/>
      <c r="CH162" s="4"/>
      <c r="CI162" s="4"/>
      <c r="CJ162" s="4"/>
      <c r="CK162" s="4"/>
      <c r="CL162" s="4"/>
      <c r="CM162" s="4"/>
      <c r="CN162" s="240">
        <f t="shared" si="480"/>
        <v>155</v>
      </c>
    </row>
    <row r="163" spans="1:92" hidden="1" outlineLevel="2">
      <c r="A163" s="144"/>
      <c r="B163" s="45" t="s">
        <v>150</v>
      </c>
      <c r="C163" s="195">
        <v>-125.13800000000001</v>
      </c>
      <c r="D163" s="72">
        <f>(SUMIF($T$5:$BT$5,D$5,$T163:$BT163))</f>
        <v>-211.38900000000001</v>
      </c>
      <c r="E163" s="72">
        <f>(SUMIF($T$5:$BT$5,E$5,$T163:$BT163))</f>
        <v>-127.054</v>
      </c>
      <c r="F163" s="72">
        <f>(SUMIF($T$5:$BT$5,F$5,$T163:$BT163))</f>
        <v>-48.174999999999997</v>
      </c>
      <c r="G163" s="72">
        <f t="shared" ref="G163:N163" si="541">(SUMIF($T$5:$CF$5,G$5,$T163:$CF163))</f>
        <v>-163.36199999999999</v>
      </c>
      <c r="H163" s="72">
        <f t="shared" si="541"/>
        <v>-369.56799999999998</v>
      </c>
      <c r="I163" s="72">
        <f t="shared" si="541"/>
        <v>-277.68599999999998</v>
      </c>
      <c r="J163" s="72">
        <f t="shared" si="541"/>
        <v>-167.58600000000001</v>
      </c>
      <c r="K163" s="72">
        <f t="shared" si="541"/>
        <v>-342.93200000000002</v>
      </c>
      <c r="L163" s="72">
        <f t="shared" si="541"/>
        <v>-155.36099999999999</v>
      </c>
      <c r="M163" s="72">
        <f t="shared" si="541"/>
        <v>-28.379999999999995</v>
      </c>
      <c r="N163" s="72">
        <f t="shared" si="541"/>
        <v>-106.131</v>
      </c>
      <c r="O163" s="72">
        <f>SUMIF($T$5:$CF$5,O$5,$T163:$CF163)</f>
        <v>-240.3838404363164</v>
      </c>
      <c r="P163" s="72">
        <f>SUMIF($T$5:$CF$5,P$5,$T163:$CF163)</f>
        <v>-343.93643291716825</v>
      </c>
      <c r="Q163" s="72">
        <f>SUMIF($T$5:$CF$5,Q$5,$T163:$CF163)</f>
        <v>-204.12592447225933</v>
      </c>
      <c r="R163" s="72"/>
      <c r="S163" s="4"/>
      <c r="T163" s="195"/>
      <c r="U163" s="195"/>
      <c r="V163" s="195"/>
      <c r="W163" s="195"/>
      <c r="X163" s="195"/>
      <c r="Y163" s="195"/>
      <c r="Z163" s="195"/>
      <c r="AA163" s="195"/>
      <c r="AB163" s="195">
        <v>-49.415999999999997</v>
      </c>
      <c r="AC163" s="195">
        <f>-108.249-AB163</f>
        <v>-58.832999999999998</v>
      </c>
      <c r="AD163" s="195">
        <f>-166.165-AC163-AB163</f>
        <v>-57.915999999999997</v>
      </c>
      <c r="AE163" s="195">
        <f>-211.389-AD163-AC163-AB163</f>
        <v>-45.224000000000018</v>
      </c>
      <c r="AF163" s="195">
        <v>-30.181000000000001</v>
      </c>
      <c r="AG163" s="195">
        <f>-77.67-AF163</f>
        <v>-47.489000000000004</v>
      </c>
      <c r="AH163" s="195">
        <f>-105.717-AG163-AF163</f>
        <v>-28.046999999999993</v>
      </c>
      <c r="AI163" s="195">
        <f>-127.054-AH163-AG163-AF163</f>
        <v>-21.337</v>
      </c>
      <c r="AJ163" s="195">
        <v>-15.984999999999999</v>
      </c>
      <c r="AK163" s="195">
        <f>-31.392-AJ163</f>
        <v>-15.407</v>
      </c>
      <c r="AL163" s="195">
        <f>-40.708-AK163-AJ163</f>
        <v>-9.3159999999999989</v>
      </c>
      <c r="AM163" s="195">
        <f>-48.175-AL163-AK163-AJ163</f>
        <v>-7.4669999999999952</v>
      </c>
      <c r="AN163" s="195">
        <v>-8.3070000000000004</v>
      </c>
      <c r="AO163" s="195">
        <f>-48.316-AN163</f>
        <v>-40.009</v>
      </c>
      <c r="AP163" s="195">
        <f>-88.228-AO163-AN163</f>
        <v>-39.911999999999992</v>
      </c>
      <c r="AQ163" s="195">
        <f>-163.362-AP163-AO163-AN163</f>
        <v>-75.134</v>
      </c>
      <c r="AR163" s="195">
        <v>-81.622</v>
      </c>
      <c r="AS163" s="195">
        <f>-183.762-AR163</f>
        <v>-102.14</v>
      </c>
      <c r="AT163" s="195">
        <f>-273.316-AS163-AR163</f>
        <v>-89.553999999999988</v>
      </c>
      <c r="AU163" s="195">
        <f>-369.568-AT163-AS163-AR163</f>
        <v>-96.252000000000024</v>
      </c>
      <c r="AV163" s="195">
        <v>-102.73699999999999</v>
      </c>
      <c r="AW163" s="195">
        <f>-168.976-AV163</f>
        <v>-66.239000000000004</v>
      </c>
      <c r="AX163" s="195">
        <f>-230.11-AW163-AV163</f>
        <v>-61.134000000000015</v>
      </c>
      <c r="AY163" s="195">
        <f>-277.686-AX163-AW163-AV163</f>
        <v>-47.575999999999965</v>
      </c>
      <c r="AZ163" s="195">
        <v>-44.072000000000003</v>
      </c>
      <c r="BA163" s="195">
        <f>-86.217-AZ163</f>
        <v>-42.144999999999996</v>
      </c>
      <c r="BB163" s="195">
        <f>-129.599-BA163-AZ163</f>
        <v>-43.381999999999991</v>
      </c>
      <c r="BC163" s="195">
        <f>-167.586-BB163-BA163-AZ163</f>
        <v>-37.987000000000023</v>
      </c>
      <c r="BD163" s="195">
        <v>-30.302</v>
      </c>
      <c r="BE163" s="195">
        <f>-92.82-BD163</f>
        <v>-62.517999999999994</v>
      </c>
      <c r="BF163" s="195">
        <f>-213.244-BD163-BE163</f>
        <v>-120.42400000000001</v>
      </c>
      <c r="BG163" s="195">
        <f>-342.932-BF163-BE163-BD163</f>
        <v>-129.68800000000002</v>
      </c>
      <c r="BH163" s="195">
        <v>-96.387</v>
      </c>
      <c r="BI163" s="195">
        <f>-130.562-BH163</f>
        <v>-34.175000000000011</v>
      </c>
      <c r="BJ163" s="195">
        <f>-144.715-BI163-BH163</f>
        <v>-14.152999999999992</v>
      </c>
      <c r="BK163" s="195">
        <f>-155.361-BJ163-BI163-BH163</f>
        <v>-10.645999999999987</v>
      </c>
      <c r="BL163" s="195">
        <v>-8.032</v>
      </c>
      <c r="BM163" s="195">
        <f>-12.213-BL163</f>
        <v>-4.1809999999999992</v>
      </c>
      <c r="BN163" s="195">
        <f>-20.596-BM163-BL163</f>
        <v>-8.3829999999999991</v>
      </c>
      <c r="BO163" s="195">
        <f>-28.38-BN163-BM163-BL163</f>
        <v>-7.7840000000000007</v>
      </c>
      <c r="BP163" s="195">
        <v>-9.766</v>
      </c>
      <c r="BQ163" s="195">
        <f>-25.282-BP163</f>
        <v>-15.516</v>
      </c>
      <c r="BR163" s="195">
        <f>-66.445-BQ163-BP163</f>
        <v>-41.162999999999997</v>
      </c>
      <c r="BS163" s="195">
        <f>-106.131-BR163-BQ163-BP163</f>
        <v>-39.686000000000007</v>
      </c>
      <c r="BT163" s="80">
        <f t="shared" ref="BT163:CE163" si="542">SUM(BP163:BS163)/SUM(BP$242:BS$242)*BT$242</f>
        <v>-76.854409289926721</v>
      </c>
      <c r="BU163" s="80">
        <f t="shared" si="542"/>
        <v>-77.711992692593455</v>
      </c>
      <c r="BV163" s="80">
        <f t="shared" si="542"/>
        <v>-42.713889193873094</v>
      </c>
      <c r="BW163" s="80">
        <f t="shared" si="542"/>
        <v>-43.103549259923135</v>
      </c>
      <c r="BX163" s="80">
        <f t="shared" si="542"/>
        <v>-42.933386920852875</v>
      </c>
      <c r="BY163" s="80">
        <f t="shared" si="542"/>
        <v>-43.017588232774969</v>
      </c>
      <c r="BZ163" s="80">
        <f t="shared" si="542"/>
        <v>-127.03220865670461</v>
      </c>
      <c r="CA163" s="80">
        <f t="shared" si="542"/>
        <v>-130.95324910683581</v>
      </c>
      <c r="CB163" s="80">
        <f t="shared" si="542"/>
        <v>-51.020536536134806</v>
      </c>
      <c r="CC163" s="80">
        <f t="shared" si="542"/>
        <v>-51.035226521141681</v>
      </c>
      <c r="CD163" s="80">
        <f t="shared" si="542"/>
        <v>-51.039410689087916</v>
      </c>
      <c r="CE163" s="80">
        <f t="shared" si="542"/>
        <v>-51.030750725894897</v>
      </c>
      <c r="CF163" s="4"/>
      <c r="CG163" s="4"/>
      <c r="CH163" s="4"/>
      <c r="CI163" s="4"/>
      <c r="CJ163" s="4"/>
      <c r="CK163" s="4"/>
      <c r="CL163" s="4"/>
      <c r="CM163" s="4"/>
      <c r="CN163" s="240">
        <f t="shared" si="480"/>
        <v>156</v>
      </c>
    </row>
    <row r="164" spans="1:92" hidden="1" outlineLevel="2">
      <c r="A164" s="144"/>
      <c r="B164" s="45" t="s">
        <v>184</v>
      </c>
      <c r="C164" s="195">
        <v>320.637</v>
      </c>
      <c r="D164" s="72">
        <f>AE164</f>
        <v>480.84</v>
      </c>
      <c r="E164" s="72">
        <f>AI164</f>
        <v>564.70799999999997</v>
      </c>
      <c r="F164" s="72">
        <f>AM164</f>
        <v>453.13299999999998</v>
      </c>
      <c r="G164" s="72">
        <f>AQ164</f>
        <v>668.08100000000002</v>
      </c>
      <c r="H164" s="72">
        <f>AU164</f>
        <v>1103.3409999999999</v>
      </c>
      <c r="I164" s="72">
        <f>AY164</f>
        <v>1128.124</v>
      </c>
      <c r="J164" s="72">
        <f>BC164</f>
        <v>1113.877</v>
      </c>
      <c r="K164" s="72">
        <f>BG164</f>
        <v>1514.0840000000001</v>
      </c>
      <c r="L164" s="72">
        <f>BK164</f>
        <v>976.76099999999997</v>
      </c>
      <c r="M164" s="72">
        <f>BO164</f>
        <v>733.00800000000004</v>
      </c>
      <c r="N164" s="72">
        <f>BS164</f>
        <v>896.803</v>
      </c>
      <c r="O164" s="72">
        <f>BW164</f>
        <v>984.11745541867026</v>
      </c>
      <c r="P164" s="72">
        <f>BX164</f>
        <v>986.04746162768117</v>
      </c>
      <c r="Q164" s="72">
        <f>BY164</f>
        <v>987.95861289057348</v>
      </c>
      <c r="R164" s="72"/>
      <c r="S164" s="4"/>
      <c r="T164" s="195"/>
      <c r="U164" s="195"/>
      <c r="V164" s="195"/>
      <c r="W164" s="195"/>
      <c r="X164" s="195"/>
      <c r="Y164" s="195"/>
      <c r="Z164" s="195"/>
      <c r="AA164" s="195"/>
      <c r="AB164" s="195">
        <v>382.28100000000001</v>
      </c>
      <c r="AC164" s="195">
        <v>427.93599999999998</v>
      </c>
      <c r="AD164" s="195">
        <v>446.52100000000002</v>
      </c>
      <c r="AE164" s="195">
        <v>480.84</v>
      </c>
      <c r="AF164" s="195">
        <v>520.13400000000001</v>
      </c>
      <c r="AG164" s="195">
        <v>535.15899999999999</v>
      </c>
      <c r="AH164" s="195">
        <v>553.10299999999995</v>
      </c>
      <c r="AI164" s="195">
        <v>564.70799999999997</v>
      </c>
      <c r="AJ164" s="195">
        <v>502.74799999999999</v>
      </c>
      <c r="AK164" s="195">
        <v>466.75299999999999</v>
      </c>
      <c r="AL164" s="195">
        <v>462.76100000000002</v>
      </c>
      <c r="AM164" s="195">
        <v>453.13299999999998</v>
      </c>
      <c r="AN164" s="195">
        <v>501.86099999999999</v>
      </c>
      <c r="AO164" s="195">
        <v>529.18799999999999</v>
      </c>
      <c r="AP164" s="195">
        <v>611.72400000000005</v>
      </c>
      <c r="AQ164" s="195">
        <v>668.08100000000002</v>
      </c>
      <c r="AR164" s="195">
        <v>790.03300000000002</v>
      </c>
      <c r="AS164" s="195">
        <v>911.79</v>
      </c>
      <c r="AT164" s="195">
        <v>1001.126</v>
      </c>
      <c r="AU164" s="195">
        <v>1103.3409999999999</v>
      </c>
      <c r="AV164" s="195">
        <v>1123.7909999999999</v>
      </c>
      <c r="AW164" s="195">
        <v>1138.6120000000001</v>
      </c>
      <c r="AX164" s="195">
        <v>1119.3389999999999</v>
      </c>
      <c r="AY164" s="195">
        <v>1128.124</v>
      </c>
      <c r="AZ164" s="195">
        <v>1090.511</v>
      </c>
      <c r="BA164" s="195">
        <v>1079.607</v>
      </c>
      <c r="BB164" s="195">
        <v>1080.1769999999999</v>
      </c>
      <c r="BC164" s="195">
        <v>1113.877</v>
      </c>
      <c r="BD164" s="195">
        <v>1180.519</v>
      </c>
      <c r="BE164" s="195">
        <v>1284.577</v>
      </c>
      <c r="BF164" s="195">
        <v>1384.3530000000001</v>
      </c>
      <c r="BG164" s="195">
        <v>1514.0840000000001</v>
      </c>
      <c r="BH164" s="195">
        <v>1331.402</v>
      </c>
      <c r="BI164" s="195">
        <v>1164.373</v>
      </c>
      <c r="BJ164" s="195">
        <v>1094.8019999999999</v>
      </c>
      <c r="BK164" s="195">
        <v>976.76099999999997</v>
      </c>
      <c r="BL164" s="195">
        <v>875.62199999999996</v>
      </c>
      <c r="BM164" s="195">
        <v>778.07500000000005</v>
      </c>
      <c r="BN164" s="195">
        <v>749.721</v>
      </c>
      <c r="BO164" s="195">
        <v>733.00800000000004</v>
      </c>
      <c r="BP164" s="195">
        <v>782.78800000000001</v>
      </c>
      <c r="BQ164" s="195">
        <v>857.48199999999997</v>
      </c>
      <c r="BR164" s="195">
        <v>894.71400000000006</v>
      </c>
      <c r="BS164" s="195">
        <v>896.803</v>
      </c>
      <c r="BT164" s="78">
        <f>+BS164-BT163+BT153</f>
        <v>939.77343377594082</v>
      </c>
      <c r="BU164" s="78">
        <f>+BT164-BU163+BU153</f>
        <v>980.00393735982641</v>
      </c>
      <c r="BV164" s="78">
        <f>+BU164-BV163+BV153</f>
        <v>981.9045940041749</v>
      </c>
      <c r="BW164" s="78">
        <f>+BV164-BW163+BW153</f>
        <v>984.11745541867026</v>
      </c>
      <c r="BX164" s="78">
        <f t="shared" ref="BX164:CE164" si="543">+BW164-BX163+BX153</f>
        <v>986.04746162768117</v>
      </c>
      <c r="BY164" s="78">
        <f t="shared" si="543"/>
        <v>987.95861289057348</v>
      </c>
      <c r="BZ164" s="78">
        <f t="shared" si="543"/>
        <v>1073.7901408807063</v>
      </c>
      <c r="CA164" s="78">
        <f t="shared" si="543"/>
        <v>1156.4195934636803</v>
      </c>
      <c r="CB164" s="78">
        <f t="shared" si="543"/>
        <v>1152.2674430018928</v>
      </c>
      <c r="CC164" s="78">
        <f t="shared" si="543"/>
        <v>1148.5687989753803</v>
      </c>
      <c r="CD164" s="78">
        <f t="shared" si="543"/>
        <v>1145.2756314325593</v>
      </c>
      <c r="CE164" s="78">
        <f t="shared" si="543"/>
        <v>1142.3407808768809</v>
      </c>
      <c r="CF164" s="4"/>
      <c r="CG164" s="4"/>
      <c r="CH164" s="4"/>
      <c r="CI164" s="4"/>
      <c r="CJ164" s="4"/>
      <c r="CK164" s="4"/>
      <c r="CL164" s="4"/>
      <c r="CM164" s="4"/>
      <c r="CN164" s="240">
        <f t="shared" si="480"/>
        <v>157</v>
      </c>
    </row>
    <row r="165" spans="1:92" hidden="1" outlineLevel="2">
      <c r="A165" s="144"/>
      <c r="B165" s="45"/>
      <c r="C165" s="195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4"/>
      <c r="T165" s="195"/>
      <c r="U165" s="195"/>
      <c r="V165" s="195"/>
      <c r="W165" s="195"/>
      <c r="X165" s="195"/>
      <c r="Y165" s="195"/>
      <c r="Z165" s="195"/>
      <c r="AA165" s="195"/>
      <c r="AB165" s="195"/>
      <c r="AC165" s="195"/>
      <c r="AD165" s="195"/>
      <c r="AE165" s="195"/>
      <c r="AF165" s="195"/>
      <c r="AG165" s="195"/>
      <c r="AH165" s="195"/>
      <c r="AI165" s="195"/>
      <c r="AJ165" s="195"/>
      <c r="AK165" s="195"/>
      <c r="AL165" s="195"/>
      <c r="AM165" s="195"/>
      <c r="AN165" s="195"/>
      <c r="AO165" s="195"/>
      <c r="AP165" s="195"/>
      <c r="AQ165" s="195"/>
      <c r="AR165" s="195"/>
      <c r="AS165" s="195"/>
      <c r="AT165" s="195"/>
      <c r="AU165" s="195"/>
      <c r="AV165" s="195"/>
      <c r="AW165" s="195"/>
      <c r="AX165" s="195"/>
      <c r="AY165" s="195"/>
      <c r="AZ165" s="195"/>
      <c r="BA165" s="195"/>
      <c r="BB165" s="195"/>
      <c r="BC165" s="195"/>
      <c r="BD165" s="195"/>
      <c r="BE165" s="195"/>
      <c r="BF165" s="195"/>
      <c r="BG165" s="195"/>
      <c r="BH165" s="195"/>
      <c r="BI165" s="195"/>
      <c r="BJ165" s="195"/>
      <c r="BK165" s="195"/>
      <c r="BL165" s="195"/>
      <c r="BM165" s="195"/>
      <c r="BN165" s="195"/>
      <c r="BO165" s="195"/>
      <c r="BP165" s="195"/>
      <c r="BQ165" s="195"/>
      <c r="BR165" s="195"/>
      <c r="BS165" s="195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4"/>
      <c r="CG165" s="4"/>
      <c r="CH165" s="4"/>
      <c r="CI165" s="4"/>
      <c r="CJ165" s="4"/>
      <c r="CK165" s="4"/>
      <c r="CL165" s="4"/>
      <c r="CM165" s="4"/>
      <c r="CN165" s="240">
        <f t="shared" si="480"/>
        <v>158</v>
      </c>
    </row>
    <row r="166" spans="1:92" hidden="1" outlineLevel="2">
      <c r="A166" s="144"/>
      <c r="B166" s="45" t="s">
        <v>186</v>
      </c>
      <c r="C166" s="75">
        <f t="shared" ref="C166:O166" si="544">C148/C164</f>
        <v>1.5440825606527009</v>
      </c>
      <c r="D166" s="75">
        <f t="shared" si="544"/>
        <v>1.1952499792030613</v>
      </c>
      <c r="E166" s="75">
        <f t="shared" si="544"/>
        <v>1.3210225461654519</v>
      </c>
      <c r="F166" s="75">
        <f t="shared" si="544"/>
        <v>1.1327535182827118</v>
      </c>
      <c r="G166" s="75">
        <f t="shared" si="544"/>
        <v>1.4666380274248183</v>
      </c>
      <c r="H166" s="75">
        <f t="shared" si="544"/>
        <v>1.5079590081398226</v>
      </c>
      <c r="I166" s="75">
        <f t="shared" si="544"/>
        <v>1.5902640135304276</v>
      </c>
      <c r="J166" s="75">
        <f t="shared" si="544"/>
        <v>1.5528931829995591</v>
      </c>
      <c r="K166" s="75">
        <f t="shared" si="544"/>
        <v>1.440116268318006</v>
      </c>
      <c r="L166" s="75">
        <f t="shared" si="544"/>
        <v>1.2032554534835034</v>
      </c>
      <c r="M166" s="75">
        <f t="shared" si="544"/>
        <v>0.92721225416366526</v>
      </c>
      <c r="N166" s="75">
        <f t="shared" si="544"/>
        <v>1.7153722723942715</v>
      </c>
      <c r="O166" s="75">
        <f t="shared" si="544"/>
        <v>2.1157294642375155</v>
      </c>
      <c r="P166" s="75">
        <f>P148/P164</f>
        <v>2.4312967861144221</v>
      </c>
      <c r="Q166" s="75">
        <f>Q148/Q164</f>
        <v>2.6440252447798627</v>
      </c>
      <c r="R166" s="75"/>
      <c r="S166" s="4"/>
      <c r="T166" s="195"/>
      <c r="U166" s="195"/>
      <c r="V166" s="195"/>
      <c r="W166" s="195"/>
      <c r="X166" s="195"/>
      <c r="Y166" s="195"/>
      <c r="Z166" s="195"/>
      <c r="AA166" s="195"/>
      <c r="AB166" s="75">
        <f t="shared" ref="AB166:BW166" si="545">(AB148*4)/AB164</f>
        <v>1.4890303206280195</v>
      </c>
      <c r="AC166" s="75">
        <f t="shared" si="545"/>
        <v>1.3104669857174907</v>
      </c>
      <c r="AD166" s="75">
        <f t="shared" si="545"/>
        <v>1.2077281919551375</v>
      </c>
      <c r="AE166" s="75">
        <f t="shared" si="545"/>
        <v>1.3093669411862574</v>
      </c>
      <c r="AF166" s="75">
        <f t="shared" si="545"/>
        <v>1.3014415516001645</v>
      </c>
      <c r="AG166" s="75">
        <f t="shared" si="545"/>
        <v>1.3848893506415849</v>
      </c>
      <c r="AH166" s="75">
        <f t="shared" si="545"/>
        <v>1.4714221401800389</v>
      </c>
      <c r="AI166" s="75">
        <f t="shared" si="545"/>
        <v>1.3317679225369572</v>
      </c>
      <c r="AJ166" s="75">
        <f t="shared" si="545"/>
        <v>1.2020256669345279</v>
      </c>
      <c r="AK166" s="75">
        <f t="shared" si="545"/>
        <v>0.94257133858807551</v>
      </c>
      <c r="AL166" s="75">
        <f t="shared" si="545"/>
        <v>1.0054952772597516</v>
      </c>
      <c r="AM166" s="75">
        <f t="shared" si="545"/>
        <v>1.1996124758073237</v>
      </c>
      <c r="AN166" s="75">
        <f t="shared" si="545"/>
        <v>1.5255459180928583</v>
      </c>
      <c r="AO166" s="75">
        <f t="shared" si="545"/>
        <v>1.7047854448702542</v>
      </c>
      <c r="AP166" s="75">
        <f t="shared" si="545"/>
        <v>1.7527447018590081</v>
      </c>
      <c r="AQ166" s="75">
        <f t="shared" si="545"/>
        <v>1.765312888706609</v>
      </c>
      <c r="AR166" s="75">
        <f t="shared" si="545"/>
        <v>1.7690501536011787</v>
      </c>
      <c r="AS166" s="75">
        <f t="shared" si="545"/>
        <v>1.7843406924840151</v>
      </c>
      <c r="AT166" s="75">
        <f t="shared" si="545"/>
        <v>1.852653911695431</v>
      </c>
      <c r="AU166" s="75">
        <f t="shared" si="545"/>
        <v>1.6095477282182029</v>
      </c>
      <c r="AV166" s="75">
        <f t="shared" si="545"/>
        <v>1.6427289415914526</v>
      </c>
      <c r="AW166" s="75">
        <f t="shared" si="545"/>
        <v>1.6217745816836637</v>
      </c>
      <c r="AX166" s="75">
        <f t="shared" si="545"/>
        <v>1.558262510285088</v>
      </c>
      <c r="AY166" s="75">
        <f t="shared" si="545"/>
        <v>1.5416567682276061</v>
      </c>
      <c r="AZ166" s="75">
        <f t="shared" si="545"/>
        <v>1.4452343901161933</v>
      </c>
      <c r="BA166" s="75">
        <f t="shared" si="545"/>
        <v>1.5710531702739978</v>
      </c>
      <c r="BB166" s="75">
        <f t="shared" si="545"/>
        <v>1.6966404579990133</v>
      </c>
      <c r="BC166" s="75">
        <f t="shared" si="545"/>
        <v>1.6286286546898807</v>
      </c>
      <c r="BD166" s="75">
        <f t="shared" si="545"/>
        <v>1.5822532292999945</v>
      </c>
      <c r="BE166" s="75">
        <f t="shared" si="545"/>
        <v>1.6951634662616568</v>
      </c>
      <c r="BF166" s="75">
        <f t="shared" si="545"/>
        <v>1.6669389960508627</v>
      </c>
      <c r="BG166" s="75">
        <f t="shared" si="545"/>
        <v>1.56447594717334</v>
      </c>
      <c r="BH166" s="75">
        <f t="shared" si="545"/>
        <v>1.1359243864738073</v>
      </c>
      <c r="BI166" s="75">
        <f t="shared" si="545"/>
        <v>0.94748332364285315</v>
      </c>
      <c r="BJ166" s="75">
        <f t="shared" si="545"/>
        <v>0.99139753124309249</v>
      </c>
      <c r="BK166" s="75">
        <f t="shared" ref="BK166:BQ166" si="546">(BK148*4)/BK164</f>
        <v>1.0239884680080389</v>
      </c>
      <c r="BL166" s="75">
        <f t="shared" si="546"/>
        <v>0.80158789980151257</v>
      </c>
      <c r="BM166" s="75">
        <f t="shared" si="546"/>
        <v>0.67457250265077273</v>
      </c>
      <c r="BN166" s="75">
        <f t="shared" si="546"/>
        <v>0.87142283596164438</v>
      </c>
      <c r="BO166" s="75">
        <f t="shared" si="546"/>
        <v>1.1439656865955077</v>
      </c>
      <c r="BP166" s="75">
        <f t="shared" si="546"/>
        <v>1.4624547131534973</v>
      </c>
      <c r="BQ166" s="75">
        <f t="shared" si="546"/>
        <v>1.7981112139963289</v>
      </c>
      <c r="BR166" s="75">
        <f>(BR148*4)/BR164</f>
        <v>2.0373840132153962</v>
      </c>
      <c r="BS166" s="75">
        <f>(BS148*4)/BS164</f>
        <v>1.8330536360828409</v>
      </c>
      <c r="BT166" s="75">
        <f t="shared" si="545"/>
        <v>1.8533471322617507</v>
      </c>
      <c r="BU166" s="75">
        <f t="shared" si="545"/>
        <v>2.1032956907351932</v>
      </c>
      <c r="BV166" s="75">
        <f t="shared" si="545"/>
        <v>2.267253275689781</v>
      </c>
      <c r="BW166" s="75">
        <f t="shared" si="545"/>
        <v>2.3364226598674218</v>
      </c>
      <c r="BX166" s="75">
        <f t="shared" ref="BX166:CE166" si="547">(BX148*4)/BX164</f>
        <v>2.3473434066345202</v>
      </c>
      <c r="BY166" s="75">
        <f t="shared" si="547"/>
        <v>2.3502107256403715</v>
      </c>
      <c r="BZ166" s="75">
        <f t="shared" si="547"/>
        <v>2.2396667181999645</v>
      </c>
      <c r="CA166" s="75">
        <f t="shared" si="547"/>
        <v>2.2034053513122749</v>
      </c>
      <c r="CB166" s="75">
        <f t="shared" si="547"/>
        <v>2.2685610384545547</v>
      </c>
      <c r="CC166" s="75">
        <f t="shared" si="547"/>
        <v>2.2695923607063961</v>
      </c>
      <c r="CD166" s="75">
        <f t="shared" si="547"/>
        <v>2.2792644214579285</v>
      </c>
      <c r="CE166" s="75">
        <f t="shared" si="547"/>
        <v>2.2914283534998994</v>
      </c>
      <c r="CF166" s="4"/>
      <c r="CG166" s="4"/>
      <c r="CH166" s="4"/>
      <c r="CI166" s="4"/>
      <c r="CJ166" s="4"/>
      <c r="CK166" s="4"/>
      <c r="CL166" s="4"/>
      <c r="CM166" s="4"/>
      <c r="CN166" s="240">
        <f t="shared" si="480"/>
        <v>159</v>
      </c>
    </row>
    <row r="167" spans="1:92" hidden="1" outlineLevel="2">
      <c r="A167" s="144"/>
      <c r="B167" s="45" t="s">
        <v>187</v>
      </c>
      <c r="C167" s="75">
        <f t="shared" ref="C167:O167" si="548">C163/C153</f>
        <v>3.9345385945606037</v>
      </c>
      <c r="D167" s="75">
        <f t="shared" si="548"/>
        <v>3.5565818695739959</v>
      </c>
      <c r="E167" s="75">
        <f t="shared" si="548"/>
        <v>1.3700317022148418</v>
      </c>
      <c r="F167" s="75">
        <f t="shared" si="548"/>
        <v>0.47332481823540967</v>
      </c>
      <c r="G167" s="75">
        <f t="shared" si="548"/>
        <v>1.5342036063110442</v>
      </c>
      <c r="H167" s="75">
        <f t="shared" si="548"/>
        <v>2.4273441399784565</v>
      </c>
      <c r="I167" s="75">
        <f t="shared" si="548"/>
        <v>1.5111176412968947</v>
      </c>
      <c r="J167" s="75">
        <f t="shared" si="548"/>
        <v>0.9257565211627059</v>
      </c>
      <c r="K167" s="75">
        <f t="shared" si="548"/>
        <v>1.726434281801889</v>
      </c>
      <c r="L167" s="75">
        <f t="shared" si="548"/>
        <v>0.65338677253572652</v>
      </c>
      <c r="M167" s="75">
        <f t="shared" si="548"/>
        <v>0.14844571374770502</v>
      </c>
      <c r="N167" s="75">
        <f t="shared" si="548"/>
        <v>0.72938758960050032</v>
      </c>
      <c r="O167" s="75">
        <f t="shared" si="548"/>
        <v>1.5704240296556014</v>
      </c>
      <c r="P167" s="75">
        <f>P163/P153</f>
        <v>2.0038910823349707</v>
      </c>
      <c r="Q167" s="75">
        <f>Q163/Q153</f>
        <v>0.93547888658810785</v>
      </c>
      <c r="R167" s="75"/>
      <c r="S167" s="4"/>
      <c r="T167" s="195"/>
      <c r="U167" s="195"/>
      <c r="V167" s="195"/>
      <c r="W167" s="195"/>
      <c r="X167" s="195"/>
      <c r="Y167" s="195"/>
      <c r="Z167" s="195"/>
      <c r="AA167" s="195"/>
      <c r="AB167" s="75">
        <f t="shared" ref="AB167:BW167" si="549">AB163/AB153</f>
        <v>4.4825834542815679</v>
      </c>
      <c r="AC167" s="75">
        <f t="shared" si="549"/>
        <v>4.2131910627327409</v>
      </c>
      <c r="AD167" s="75">
        <f t="shared" si="549"/>
        <v>3.641828585801421</v>
      </c>
      <c r="AE167" s="75">
        <f t="shared" si="549"/>
        <v>2.4386087894311141</v>
      </c>
      <c r="AF167" s="75">
        <f t="shared" si="549"/>
        <v>1.4033105500534708</v>
      </c>
      <c r="AG167" s="75">
        <f t="shared" si="549"/>
        <v>2.0704102541744782</v>
      </c>
      <c r="AH167" s="75">
        <f t="shared" si="549"/>
        <v>1.1747926614727315</v>
      </c>
      <c r="AI167" s="75">
        <f t="shared" si="549"/>
        <v>0.87375102375102354</v>
      </c>
      <c r="AJ167" s="75">
        <f t="shared" si="549"/>
        <v>0.73994352636207927</v>
      </c>
      <c r="AK167" s="75">
        <f t="shared" si="549"/>
        <v>0.53409366658578017</v>
      </c>
      <c r="AL167" s="75">
        <f t="shared" si="549"/>
        <v>0.35749645036263861</v>
      </c>
      <c r="AM167" s="75">
        <f t="shared" si="549"/>
        <v>0.29547702900557932</v>
      </c>
      <c r="AN167" s="75">
        <f t="shared" si="549"/>
        <v>0.32655869172104729</v>
      </c>
      <c r="AO167" s="75">
        <f t="shared" si="549"/>
        <v>1.5047199969912368</v>
      </c>
      <c r="AP167" s="75">
        <f t="shared" si="549"/>
        <v>1.5135381114903292</v>
      </c>
      <c r="AQ167" s="75">
        <f t="shared" si="549"/>
        <v>2.6754264145568492</v>
      </c>
      <c r="AR167" s="75">
        <f t="shared" si="549"/>
        <v>2.4871865191821314</v>
      </c>
      <c r="AS167" s="75">
        <f t="shared" si="549"/>
        <v>2.6984043115291136</v>
      </c>
      <c r="AT167" s="75">
        <f t="shared" si="549"/>
        <v>2.2643808945864614</v>
      </c>
      <c r="AU167" s="75">
        <f t="shared" si="549"/>
        <v>2.2898605890469628</v>
      </c>
      <c r="AV167" s="75">
        <f t="shared" si="549"/>
        <v>2.2770734518374041</v>
      </c>
      <c r="AW167" s="75">
        <f t="shared" si="549"/>
        <v>1.4708011368682834</v>
      </c>
      <c r="AX167" s="75">
        <f t="shared" si="549"/>
        <v>1.3223022516384404</v>
      </c>
      <c r="AY167" s="75">
        <f t="shared" si="549"/>
        <v>1.0042427440633239</v>
      </c>
      <c r="AZ167" s="75">
        <f t="shared" si="549"/>
        <v>0.98416739242089291</v>
      </c>
      <c r="BA167" s="75">
        <f t="shared" si="549"/>
        <v>0.94366449474933389</v>
      </c>
      <c r="BB167" s="75">
        <f t="shared" si="549"/>
        <v>0.96069269437739446</v>
      </c>
      <c r="BC167" s="75">
        <f t="shared" si="549"/>
        <v>0.81820923169707283</v>
      </c>
      <c r="BD167" s="75">
        <f t="shared" si="549"/>
        <v>0.64003886448124359</v>
      </c>
      <c r="BE167" s="75">
        <f t="shared" si="549"/>
        <v>1.2891638313228166</v>
      </c>
      <c r="BF167" s="75">
        <f t="shared" si="549"/>
        <v>2.4468962714619522</v>
      </c>
      <c r="BG167" s="75">
        <f t="shared" si="549"/>
        <v>2.4203650479638692</v>
      </c>
      <c r="BH167" s="75">
        <f t="shared" si="549"/>
        <v>1.6711803869893889</v>
      </c>
      <c r="BI167" s="75">
        <f t="shared" si="549"/>
        <v>0.55681373826903036</v>
      </c>
      <c r="BJ167" s="75">
        <f t="shared" si="549"/>
        <v>0.23306326779303749</v>
      </c>
      <c r="BK167" s="75">
        <f t="shared" ref="BK167:BQ167" si="550">BK163/BK153</f>
        <v>0.18355172413793075</v>
      </c>
      <c r="BL167" s="75">
        <f t="shared" si="550"/>
        <v>0.14980044015069566</v>
      </c>
      <c r="BM167" s="75">
        <f t="shared" si="550"/>
        <v>8.4279062266927357E-2</v>
      </c>
      <c r="BN167" s="75">
        <f t="shared" si="550"/>
        <v>0.18362429632225707</v>
      </c>
      <c r="BO167" s="75">
        <f t="shared" si="550"/>
        <v>0.18401456230349161</v>
      </c>
      <c r="BP167" s="75">
        <f t="shared" si="550"/>
        <v>0.24727806755456525</v>
      </c>
      <c r="BQ167" s="75">
        <f t="shared" si="550"/>
        <v>0.42222705997605309</v>
      </c>
      <c r="BR167" s="75">
        <f>BR163/BR153</f>
        <v>1.1652653927813166</v>
      </c>
      <c r="BS167" s="75">
        <f>BS163/BS153</f>
        <v>1.1692987625220976</v>
      </c>
      <c r="BT167" s="75">
        <f t="shared" si="549"/>
        <v>2.2681638775888135</v>
      </c>
      <c r="BU167" s="75">
        <f t="shared" si="549"/>
        <v>2.073343256646099</v>
      </c>
      <c r="BV167" s="75">
        <f t="shared" si="549"/>
        <v>1.0465696178817039</v>
      </c>
      <c r="BW167" s="75">
        <f t="shared" si="549"/>
        <v>1.0541165123673222</v>
      </c>
      <c r="BX167" s="75">
        <f t="shared" ref="BX167:CE167" si="551">BX163/BX153</f>
        <v>1.0470694409949859</v>
      </c>
      <c r="BY167" s="75">
        <f t="shared" si="551"/>
        <v>1.046492749159762</v>
      </c>
      <c r="BZ167" s="75">
        <f t="shared" si="551"/>
        <v>3.0832550967967958</v>
      </c>
      <c r="CA167" s="75">
        <f t="shared" si="551"/>
        <v>2.7099122694586426</v>
      </c>
      <c r="CB167" s="75">
        <f t="shared" si="551"/>
        <v>0.92474264554228081</v>
      </c>
      <c r="CC167" s="75">
        <f t="shared" si="551"/>
        <v>0.93242495022725502</v>
      </c>
      <c r="CD167" s="75">
        <f t="shared" si="551"/>
        <v>0.93938871207685526</v>
      </c>
      <c r="CE167" s="75">
        <f t="shared" si="551"/>
        <v>0.94561627247762003</v>
      </c>
      <c r="CF167" s="4"/>
      <c r="CG167" s="4"/>
      <c r="CH167" s="4"/>
      <c r="CI167" s="4"/>
      <c r="CJ167" s="4"/>
      <c r="CK167" s="4"/>
      <c r="CL167" s="4"/>
      <c r="CM167" s="4"/>
      <c r="CN167" s="240">
        <f t="shared" si="480"/>
        <v>160</v>
      </c>
    </row>
    <row r="168" spans="1:92" hidden="1" outlineLevel="2">
      <c r="A168" s="144"/>
      <c r="B168" s="45" t="s">
        <v>188</v>
      </c>
      <c r="C168" s="74">
        <f t="shared" ref="C168:Q168" si="552">C154*(1-C380)/C164</f>
        <v>0.29848005688675977</v>
      </c>
      <c r="D168" s="74">
        <f t="shared" si="552"/>
        <v>0.15141731137176609</v>
      </c>
      <c r="E168" s="74">
        <f t="shared" si="552"/>
        <v>0.12246262670264985</v>
      </c>
      <c r="F168" s="74">
        <f t="shared" si="552"/>
        <v>-2.8036746385718982E-2</v>
      </c>
      <c r="G168" s="74">
        <f t="shared" si="552"/>
        <v>0.20314153523300318</v>
      </c>
      <c r="H168" s="74">
        <f t="shared" si="552"/>
        <v>0.25562076910039599</v>
      </c>
      <c r="I168" s="74">
        <f t="shared" si="552"/>
        <v>0.23281516482230674</v>
      </c>
      <c r="J168" s="74">
        <f t="shared" si="552"/>
        <v>0.15500252720901861</v>
      </c>
      <c r="K168" s="74">
        <f t="shared" si="552"/>
        <v>0.16099007716877001</v>
      </c>
      <c r="L168" s="74">
        <f t="shared" si="552"/>
        <v>-8.5091184025570227E-2</v>
      </c>
      <c r="M168" s="74">
        <f t="shared" si="552"/>
        <v>-0.17377368323401657</v>
      </c>
      <c r="N168" s="74">
        <f t="shared" si="552"/>
        <v>0.17525866884923447</v>
      </c>
      <c r="O168" s="74">
        <f t="shared" si="552"/>
        <v>0.36067629215257596</v>
      </c>
      <c r="P168" s="74">
        <f t="shared" si="552"/>
        <v>0.44052570789190287</v>
      </c>
      <c r="Q168" s="74">
        <f t="shared" si="552"/>
        <v>0.45507551844559729</v>
      </c>
      <c r="R168" s="74"/>
      <c r="S168" s="4"/>
      <c r="T168" s="195"/>
      <c r="U168" s="195"/>
      <c r="V168" s="195"/>
      <c r="W168" s="195"/>
      <c r="X168" s="195"/>
      <c r="Y168" s="195"/>
      <c r="Z168" s="195"/>
      <c r="AA168" s="195"/>
      <c r="AB168" s="74">
        <f t="shared" ref="AB168:BG168" si="553">(AB154*(1-AB380)*4)/AB164</f>
        <v>0.23075957214719017</v>
      </c>
      <c r="AC168" s="74">
        <f t="shared" si="553"/>
        <v>0.18359053690271443</v>
      </c>
      <c r="AD168" s="74">
        <f t="shared" si="553"/>
        <v>0.11510096949527568</v>
      </c>
      <c r="AE168" s="74">
        <f t="shared" si="553"/>
        <v>0.15193203560435906</v>
      </c>
      <c r="AF168" s="74">
        <f t="shared" si="553"/>
        <v>9.9431108137518404E-2</v>
      </c>
      <c r="AG168" s="74">
        <f t="shared" si="553"/>
        <v>0.14929207955018975</v>
      </c>
      <c r="AH168" s="74">
        <f t="shared" si="553"/>
        <v>0.1565892790312112</v>
      </c>
      <c r="AI168" s="74">
        <f t="shared" si="553"/>
        <v>0.10341627885562096</v>
      </c>
      <c r="AJ168" s="74">
        <f t="shared" si="553"/>
        <v>3.0576949087813381E-2</v>
      </c>
      <c r="AK168" s="74">
        <f t="shared" si="553"/>
        <v>-8.1477783752862867E-2</v>
      </c>
      <c r="AL168" s="74">
        <f t="shared" si="553"/>
        <v>-5.1538483147888427E-2</v>
      </c>
      <c r="AM168" s="74">
        <f t="shared" si="553"/>
        <v>-9.5115562097662278E-3</v>
      </c>
      <c r="AN168" s="74">
        <f t="shared" si="553"/>
        <v>0.12432725396075806</v>
      </c>
      <c r="AO168" s="74">
        <f t="shared" si="553"/>
        <v>0.21893448075164218</v>
      </c>
      <c r="AP168" s="74">
        <f t="shared" si="553"/>
        <v>0.266562207793057</v>
      </c>
      <c r="AQ168" s="74">
        <f t="shared" si="553"/>
        <v>0.30167749120241405</v>
      </c>
      <c r="AR168" s="74">
        <f t="shared" si="553"/>
        <v>0.31617666603800093</v>
      </c>
      <c r="AS168" s="74">
        <f t="shared" si="553"/>
        <v>0.30025828315730596</v>
      </c>
      <c r="AT168" s="74">
        <f t="shared" si="553"/>
        <v>0.3193329311195594</v>
      </c>
      <c r="AU168" s="74">
        <f t="shared" si="553"/>
        <v>0.25820893087449848</v>
      </c>
      <c r="AV168" s="74">
        <f t="shared" si="553"/>
        <v>0.27480866104106549</v>
      </c>
      <c r="AW168" s="74">
        <f t="shared" si="553"/>
        <v>0.24672803378148131</v>
      </c>
      <c r="AX168" s="74">
        <f t="shared" si="553"/>
        <v>0.22046046818702822</v>
      </c>
      <c r="AY168" s="74">
        <f t="shared" si="553"/>
        <v>0.18974199644719905</v>
      </c>
      <c r="AZ168" s="74">
        <f t="shared" si="553"/>
        <v>0.13411373200270332</v>
      </c>
      <c r="BA168" s="74">
        <f t="shared" si="553"/>
        <v>0.15311821801822331</v>
      </c>
      <c r="BB168" s="74">
        <f t="shared" si="553"/>
        <v>0.19946499508876789</v>
      </c>
      <c r="BC168" s="74">
        <f t="shared" si="553"/>
        <v>0.14687214117896319</v>
      </c>
      <c r="BD168" s="74">
        <f t="shared" si="553"/>
        <v>0.13743107904235341</v>
      </c>
      <c r="BE168" s="74">
        <f t="shared" si="553"/>
        <v>0.19406582867356334</v>
      </c>
      <c r="BF168" s="74">
        <f t="shared" si="553"/>
        <v>0.18573478007415739</v>
      </c>
      <c r="BG168" s="74">
        <f t="shared" si="553"/>
        <v>0.20233685845699453</v>
      </c>
      <c r="BH168" s="74">
        <f t="shared" ref="BH168:CE168" si="554">(BH154*(1-BH380)*4)/BH164</f>
        <v>1.100719392039369E-2</v>
      </c>
      <c r="BI168" s="74">
        <f t="shared" si="554"/>
        <v>-0.10575004745043039</v>
      </c>
      <c r="BJ168" s="74">
        <f t="shared" si="554"/>
        <v>-0.1010228333525149</v>
      </c>
      <c r="BK168" s="74">
        <f t="shared" si="554"/>
        <v>-0.11607496613808291</v>
      </c>
      <c r="BL168" s="74">
        <f t="shared" si="554"/>
        <v>-0.18062588651267328</v>
      </c>
      <c r="BM168" s="74">
        <f t="shared" si="554"/>
        <v>-0.21106577129454099</v>
      </c>
      <c r="BN168" s="74">
        <f t="shared" si="554"/>
        <v>-0.16215031991900988</v>
      </c>
      <c r="BO168" s="74">
        <f t="shared" si="554"/>
        <v>-8.9436268089843493E-2</v>
      </c>
      <c r="BP168" s="74">
        <f t="shared" si="554"/>
        <v>2.9398125673873385E-2</v>
      </c>
      <c r="BQ168" s="74">
        <f t="shared" si="554"/>
        <v>0.20671279397118542</v>
      </c>
      <c r="BR168" s="74">
        <f>(BR154*(1-BR380)*4)/BR164</f>
        <v>0.29157082598461631</v>
      </c>
      <c r="BS168" s="74">
        <f>(BS154*(1-BS380)*4)/BS164</f>
        <v>0.18683311719519227</v>
      </c>
      <c r="BT168" s="74">
        <f t="shared" si="554"/>
        <v>0.27069819411710871</v>
      </c>
      <c r="BU168" s="74">
        <f t="shared" si="554"/>
        <v>0.36328277554987731</v>
      </c>
      <c r="BV168" s="74">
        <f t="shared" si="554"/>
        <v>0.39919056965932914</v>
      </c>
      <c r="BW168" s="74">
        <f t="shared" si="554"/>
        <v>0.42414730183466964</v>
      </c>
      <c r="BX168" s="74">
        <f t="shared" si="554"/>
        <v>0.42662003201256815</v>
      </c>
      <c r="BY168" s="74">
        <f t="shared" si="554"/>
        <v>0.4272230039396378</v>
      </c>
      <c r="BZ168" s="74">
        <f t="shared" si="554"/>
        <v>0.41102251063570439</v>
      </c>
      <c r="CA168" s="74">
        <f t="shared" si="554"/>
        <v>0.39208853010074596</v>
      </c>
      <c r="CB168" s="74">
        <f t="shared" si="554"/>
        <v>0.38891218269381878</v>
      </c>
      <c r="CC168" s="74">
        <f t="shared" si="554"/>
        <v>0.38984787164188495</v>
      </c>
      <c r="CD168" s="74">
        <f t="shared" si="554"/>
        <v>0.39277523358412786</v>
      </c>
      <c r="CE168" s="74">
        <f t="shared" si="554"/>
        <v>0.39624713374459886</v>
      </c>
      <c r="CF168" s="4"/>
      <c r="CG168" s="4"/>
      <c r="CH168" s="4"/>
      <c r="CI168" s="4"/>
      <c r="CJ168" s="4"/>
      <c r="CK168" s="4"/>
      <c r="CL168" s="4"/>
      <c r="CM168" s="4"/>
      <c r="CN168" s="240">
        <f t="shared" si="480"/>
        <v>161</v>
      </c>
    </row>
    <row r="169" spans="1:92" hidden="1" outlineLevel="2">
      <c r="A169" s="144"/>
      <c r="B169" s="45" t="s">
        <v>194</v>
      </c>
      <c r="C169" s="74"/>
      <c r="D169" s="74">
        <f t="shared" ref="D169:O169" si="555">-D153/C164</f>
        <v>0.18536850082803918</v>
      </c>
      <c r="E169" s="74">
        <f t="shared" si="555"/>
        <v>0.19286665002911571</v>
      </c>
      <c r="F169" s="74">
        <f t="shared" si="555"/>
        <v>0.18023474078638874</v>
      </c>
      <c r="G169" s="74">
        <f t="shared" si="555"/>
        <v>0.23498619610577912</v>
      </c>
      <c r="H169" s="74">
        <f t="shared" si="555"/>
        <v>0.22789452177206057</v>
      </c>
      <c r="I169" s="74">
        <f t="shared" si="555"/>
        <v>0.16655050433184304</v>
      </c>
      <c r="J169" s="74">
        <f t="shared" si="555"/>
        <v>0.16046640262949818</v>
      </c>
      <c r="K169" s="74">
        <f t="shared" si="555"/>
        <v>0.17832848689756589</v>
      </c>
      <c r="L169" s="74">
        <f t="shared" si="555"/>
        <v>0.15704412701012627</v>
      </c>
      <c r="M169" s="74">
        <f t="shared" si="555"/>
        <v>0.19572955922687332</v>
      </c>
      <c r="N169" s="74">
        <f t="shared" si="555"/>
        <v>0.19850670115469407</v>
      </c>
      <c r="O169" s="74">
        <f t="shared" si="555"/>
        <v>0.17068339982989134</v>
      </c>
      <c r="P169" s="74">
        <f>-P153/O164</f>
        <v>0.17440427860223265</v>
      </c>
      <c r="Q169" s="74">
        <f>-Q153/P164</f>
        <v>0.22129232673939003</v>
      </c>
      <c r="R169" s="74"/>
      <c r="S169" s="4"/>
      <c r="T169" s="195"/>
      <c r="U169" s="195"/>
      <c r="V169" s="195"/>
      <c r="W169" s="195"/>
      <c r="X169" s="195"/>
      <c r="Y169" s="195"/>
      <c r="Z169" s="195"/>
      <c r="AA169" s="195"/>
      <c r="AB169" s="74"/>
      <c r="AC169" s="74">
        <f t="shared" ref="AC169:BW169" si="556">-AC153/AB164</f>
        <v>3.6528103672429445E-2</v>
      </c>
      <c r="AD169" s="74">
        <f t="shared" si="556"/>
        <v>3.7162099005458762E-2</v>
      </c>
      <c r="AE169" s="74">
        <f t="shared" si="556"/>
        <v>4.1532201173069133E-2</v>
      </c>
      <c r="AF169" s="74">
        <f t="shared" si="556"/>
        <v>4.4727976041926631E-2</v>
      </c>
      <c r="AG169" s="74">
        <f t="shared" si="556"/>
        <v>4.4098251604394255E-2</v>
      </c>
      <c r="AH169" s="74">
        <f t="shared" si="556"/>
        <v>4.4611040830855875E-2</v>
      </c>
      <c r="AI169" s="74">
        <f t="shared" si="556"/>
        <v>4.4150908601110476E-2</v>
      </c>
      <c r="AJ169" s="74">
        <f t="shared" si="556"/>
        <v>3.8255169043116093E-2</v>
      </c>
      <c r="AK169" s="74">
        <f t="shared" si="556"/>
        <v>5.7378646956328022E-2</v>
      </c>
      <c r="AL169" s="74">
        <f t="shared" si="556"/>
        <v>5.5830385664366378E-2</v>
      </c>
      <c r="AM169" s="74">
        <f t="shared" si="556"/>
        <v>5.4609182709865353E-2</v>
      </c>
      <c r="AN169" s="74">
        <f t="shared" si="556"/>
        <v>5.6138043355924198E-2</v>
      </c>
      <c r="AO169" s="74">
        <f t="shared" si="556"/>
        <v>5.2980805442144341E-2</v>
      </c>
      <c r="AP169" s="74">
        <f t="shared" si="556"/>
        <v>4.9831061928841944E-2</v>
      </c>
      <c r="AQ169" s="74">
        <f t="shared" si="556"/>
        <v>4.5907958491084214E-2</v>
      </c>
      <c r="AR169" s="74">
        <f t="shared" si="556"/>
        <v>4.9121289184994033E-2</v>
      </c>
      <c r="AS169" s="74">
        <f t="shared" si="556"/>
        <v>4.7911922666521521E-2</v>
      </c>
      <c r="AT169" s="74">
        <f t="shared" si="556"/>
        <v>4.3375119270884763E-2</v>
      </c>
      <c r="AU169" s="74">
        <f t="shared" si="556"/>
        <v>4.1986722949958345E-2</v>
      </c>
      <c r="AV169" s="74">
        <f t="shared" si="556"/>
        <v>4.0892162984970198E-2</v>
      </c>
      <c r="AW169" s="74">
        <f t="shared" si="556"/>
        <v>4.0075067339033682E-2</v>
      </c>
      <c r="AX169" s="74">
        <f t="shared" si="556"/>
        <v>4.0604701162467983E-2</v>
      </c>
      <c r="AY169" s="74">
        <f t="shared" si="556"/>
        <v>4.2324085911417363E-2</v>
      </c>
      <c r="AZ169" s="74">
        <f t="shared" si="556"/>
        <v>3.9695104438873738E-2</v>
      </c>
      <c r="BA169" s="74">
        <f t="shared" si="556"/>
        <v>4.0954194868277345E-2</v>
      </c>
      <c r="BB169" s="74">
        <f t="shared" si="556"/>
        <v>4.1827257511298087E-2</v>
      </c>
      <c r="BC169" s="74">
        <f t="shared" si="556"/>
        <v>4.2980918867926307E-2</v>
      </c>
      <c r="BD169" s="74">
        <f t="shared" si="556"/>
        <v>4.2503795302353854E-2</v>
      </c>
      <c r="BE169" s="74">
        <f t="shared" si="556"/>
        <v>4.107938965827742E-2</v>
      </c>
      <c r="BF169" s="74">
        <f t="shared" si="556"/>
        <v>3.8312222622699933E-2</v>
      </c>
      <c r="BG169" s="74">
        <f t="shared" si="556"/>
        <v>3.8705445793088891E-2</v>
      </c>
      <c r="BH169" s="74">
        <f t="shared" si="556"/>
        <v>3.8092998803236806E-2</v>
      </c>
      <c r="BI169" s="74">
        <f t="shared" si="556"/>
        <v>4.6098774074246548E-2</v>
      </c>
      <c r="BJ169" s="74">
        <f t="shared" si="556"/>
        <v>5.2153390708991006E-2</v>
      </c>
      <c r="BK169" s="74">
        <f t="shared" si="556"/>
        <v>5.2977616043814332E-2</v>
      </c>
      <c r="BL169" s="74">
        <f t="shared" si="556"/>
        <v>5.4893674092229318E-2</v>
      </c>
      <c r="BM169" s="74">
        <f t="shared" si="556"/>
        <v>5.6655725872579728E-2</v>
      </c>
      <c r="BN169" s="74">
        <f t="shared" si="556"/>
        <v>5.8674292324004729E-2</v>
      </c>
      <c r="BO169" s="74">
        <f t="shared" si="556"/>
        <v>5.6422322437280015E-2</v>
      </c>
      <c r="BP169" s="74">
        <f t="shared" si="556"/>
        <v>5.3879357387641061E-2</v>
      </c>
      <c r="BQ169" s="74">
        <f t="shared" si="556"/>
        <v>4.6945022151591499E-2</v>
      </c>
      <c r="BR169" s="74">
        <f t="shared" si="556"/>
        <v>4.1196200036852072E-2</v>
      </c>
      <c r="BS169" s="74">
        <f t="shared" si="556"/>
        <v>3.79339096068688E-2</v>
      </c>
      <c r="BT169" s="74">
        <f t="shared" si="556"/>
        <v>3.7783075562844819E-2</v>
      </c>
      <c r="BU169" s="74">
        <f t="shared" si="556"/>
        <v>3.9883537628968603E-2</v>
      </c>
      <c r="BV169" s="74">
        <f t="shared" si="556"/>
        <v>4.1645988341105292E-2</v>
      </c>
      <c r="BW169" s="74">
        <f t="shared" si="556"/>
        <v>4.1644257593985629E-2</v>
      </c>
      <c r="BX169" s="74">
        <f t="shared" ref="BX169:CE169" si="557">-BX153/BW164</f>
        <v>4.1665128980359303E-2</v>
      </c>
      <c r="BY169" s="74">
        <f t="shared" si="557"/>
        <v>4.1688091668556936E-2</v>
      </c>
      <c r="BZ169" s="74">
        <f t="shared" si="557"/>
        <v>4.1702840715186082E-2</v>
      </c>
      <c r="CA169" s="74">
        <f t="shared" si="557"/>
        <v>4.5003017520935037E-2</v>
      </c>
      <c r="CB169" s="74">
        <f t="shared" si="557"/>
        <v>4.7709920611661662E-2</v>
      </c>
      <c r="CC169" s="74">
        <f t="shared" si="557"/>
        <v>4.7501012790104921E-2</v>
      </c>
      <c r="CD169" s="74">
        <f t="shared" si="557"/>
        <v>4.7304591836708564E-2</v>
      </c>
      <c r="CE169" s="74">
        <f t="shared" si="557"/>
        <v>4.7120186442866092E-2</v>
      </c>
      <c r="CF169" s="4"/>
      <c r="CG169" s="4"/>
      <c r="CH169" s="4"/>
      <c r="CI169" s="4"/>
      <c r="CJ169" s="4"/>
      <c r="CK169" s="4"/>
      <c r="CL169" s="4"/>
      <c r="CM169" s="4"/>
      <c r="CN169" s="240">
        <f t="shared" si="480"/>
        <v>162</v>
      </c>
    </row>
    <row r="170" spans="1:92" hidden="1" outlineLevel="2">
      <c r="A170" s="144"/>
      <c r="B170" s="45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4"/>
      <c r="T170" s="195"/>
      <c r="U170" s="195"/>
      <c r="V170" s="195"/>
      <c r="W170" s="195"/>
      <c r="X170" s="195"/>
      <c r="Y170" s="195"/>
      <c r="Z170" s="195"/>
      <c r="AA170" s="195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4"/>
      <c r="CG170" s="4"/>
      <c r="CH170" s="4"/>
      <c r="CI170" s="4"/>
      <c r="CJ170" s="4"/>
      <c r="CK170" s="4"/>
      <c r="CL170" s="4"/>
      <c r="CM170" s="4"/>
      <c r="CN170" s="240">
        <f t="shared" si="480"/>
        <v>163</v>
      </c>
    </row>
    <row r="171" spans="1:92" hidden="1" outlineLevel="2">
      <c r="A171" s="144"/>
      <c r="B171" s="40" t="s">
        <v>120</v>
      </c>
      <c r="C171" s="48"/>
      <c r="D171" s="73"/>
      <c r="E171" s="73"/>
      <c r="F171" s="73"/>
      <c r="G171" s="73"/>
      <c r="H171" s="73"/>
      <c r="I171" s="73"/>
      <c r="J171" s="73"/>
      <c r="K171" s="6"/>
      <c r="L171" s="6"/>
      <c r="M171" s="6"/>
      <c r="N171" s="6"/>
      <c r="O171" s="6"/>
      <c r="P171" s="6"/>
      <c r="Q171" s="6"/>
      <c r="R171" s="6"/>
      <c r="S171" s="4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240">
        <f t="shared" si="480"/>
        <v>164</v>
      </c>
    </row>
    <row r="172" spans="1:92" hidden="1" outlineLevel="2">
      <c r="A172" s="144"/>
      <c r="B172" s="45" t="s">
        <v>149</v>
      </c>
      <c r="C172" s="72">
        <f t="shared" ref="C172:F178" si="558">SUMIF($T$5:$BT$5,C$5,$T172:$BT172)</f>
        <v>101.54</v>
      </c>
      <c r="D172" s="72">
        <f t="shared" si="558"/>
        <v>115.50200000000001</v>
      </c>
      <c r="E172" s="72">
        <f t="shared" si="558"/>
        <v>130.98500000000001</v>
      </c>
      <c r="F172" s="72">
        <f t="shared" si="558"/>
        <v>74.574999999999989</v>
      </c>
      <c r="G172" s="72">
        <f t="shared" ref="G172:Q173" si="559">SUMIF($T$5:$CF$5,G$5,$T172:$CF172)</f>
        <v>116.551</v>
      </c>
      <c r="H172" s="72">
        <f t="shared" si="559"/>
        <v>146.01400000000001</v>
      </c>
      <c r="I172" s="72">
        <f t="shared" si="559"/>
        <v>151.00799999999998</v>
      </c>
      <c r="J172" s="72">
        <f t="shared" si="559"/>
        <v>131.75700000000001</v>
      </c>
      <c r="K172" s="72">
        <f t="shared" si="559"/>
        <v>156.95599999999999</v>
      </c>
      <c r="L172" s="72">
        <f t="shared" si="559"/>
        <v>88.546999999999997</v>
      </c>
      <c r="M172" s="72">
        <f t="shared" si="559"/>
        <v>49.32</v>
      </c>
      <c r="N172" s="72">
        <f t="shared" si="559"/>
        <v>56.876000000000005</v>
      </c>
      <c r="O172" s="72">
        <f t="shared" si="559"/>
        <v>73.889981418749997</v>
      </c>
      <c r="P172" s="72">
        <f t="shared" si="559"/>
        <v>93.259793516980807</v>
      </c>
      <c r="Q172" s="72">
        <f t="shared" si="559"/>
        <v>130.10952942589611</v>
      </c>
      <c r="R172" s="72"/>
      <c r="S172" s="4"/>
      <c r="T172" s="195">
        <f>14.355+0.017</f>
        <v>14.372</v>
      </c>
      <c r="U172" s="195">
        <v>15.986000000000001</v>
      </c>
      <c r="V172" s="195">
        <v>16.754999999999999</v>
      </c>
      <c r="W172" s="195">
        <v>17.390999999999998</v>
      </c>
      <c r="X172" s="195">
        <v>21.263000000000002</v>
      </c>
      <c r="Y172" s="195">
        <v>26.492999999999999</v>
      </c>
      <c r="Z172" s="195">
        <v>26.28</v>
      </c>
      <c r="AA172" s="195">
        <v>27.504000000000001</v>
      </c>
      <c r="AB172" s="195">
        <v>28.738</v>
      </c>
      <c r="AC172" s="195">
        <v>30.832000000000001</v>
      </c>
      <c r="AD172" s="195">
        <v>27.141999999999999</v>
      </c>
      <c r="AE172" s="195">
        <v>28.79</v>
      </c>
      <c r="AF172" s="195">
        <v>27.995999999999999</v>
      </c>
      <c r="AG172" s="195">
        <v>29.405000000000001</v>
      </c>
      <c r="AH172" s="195">
        <v>33.755000000000003</v>
      </c>
      <c r="AI172" s="195">
        <v>39.829000000000001</v>
      </c>
      <c r="AJ172" s="195">
        <v>25.192</v>
      </c>
      <c r="AK172" s="195">
        <v>17.030999999999999</v>
      </c>
      <c r="AL172" s="195">
        <v>15.833</v>
      </c>
      <c r="AM172" s="195">
        <v>16.518999999999998</v>
      </c>
      <c r="AN172" s="195">
        <v>21.741</v>
      </c>
      <c r="AO172" s="195">
        <v>27.358000000000001</v>
      </c>
      <c r="AP172" s="195">
        <v>34.151000000000003</v>
      </c>
      <c r="AQ172" s="195">
        <v>33.301000000000002</v>
      </c>
      <c r="AR172" s="195">
        <v>32.359000000000002</v>
      </c>
      <c r="AS172" s="195">
        <v>36.292999999999999</v>
      </c>
      <c r="AT172" s="195">
        <v>38.549999999999997</v>
      </c>
      <c r="AU172" s="195">
        <v>38.811999999999998</v>
      </c>
      <c r="AV172" s="195">
        <v>41.036000000000001</v>
      </c>
      <c r="AW172" s="195">
        <v>38.463000000000001</v>
      </c>
      <c r="AX172" s="195">
        <v>36.362000000000002</v>
      </c>
      <c r="AY172" s="195">
        <v>35.146999999999998</v>
      </c>
      <c r="AZ172" s="195">
        <v>31.81</v>
      </c>
      <c r="BA172" s="195">
        <v>33.536000000000001</v>
      </c>
      <c r="BB172" s="195">
        <v>32.953000000000003</v>
      </c>
      <c r="BC172" s="195">
        <v>33.457999999999998</v>
      </c>
      <c r="BD172" s="195">
        <v>34.722000000000001</v>
      </c>
      <c r="BE172" s="195">
        <v>38.439</v>
      </c>
      <c r="BF172" s="195">
        <v>43.776000000000003</v>
      </c>
      <c r="BG172" s="195">
        <f>156.956-BF172-BE172-BD172</f>
        <v>40.018999999999984</v>
      </c>
      <c r="BH172" s="195">
        <v>28.177</v>
      </c>
      <c r="BI172" s="195">
        <v>21.754000000000001</v>
      </c>
      <c r="BJ172" s="56">
        <f t="shared" ref="BJ172:CE172" si="560">BJ11</f>
        <v>20.577999999999999</v>
      </c>
      <c r="BK172" s="56">
        <f t="shared" si="560"/>
        <v>18.038</v>
      </c>
      <c r="BL172" s="56">
        <f t="shared" si="560"/>
        <v>13.622999999999999</v>
      </c>
      <c r="BM172" s="56">
        <f t="shared" si="560"/>
        <v>11.781000000000001</v>
      </c>
      <c r="BN172" s="56">
        <f t="shared" si="560"/>
        <v>12.553000000000001</v>
      </c>
      <c r="BO172" s="56">
        <f t="shared" si="560"/>
        <v>11.363</v>
      </c>
      <c r="BP172" s="56">
        <f t="shared" si="560"/>
        <v>11.920999999999999</v>
      </c>
      <c r="BQ172" s="56">
        <f t="shared" si="560"/>
        <v>13.348000000000001</v>
      </c>
      <c r="BR172" s="56">
        <f t="shared" si="560"/>
        <v>15.28</v>
      </c>
      <c r="BS172" s="56">
        <f t="shared" ref="BS172" si="561">BS11</f>
        <v>16.327000000000002</v>
      </c>
      <c r="BT172" s="56">
        <f t="shared" si="560"/>
        <v>17.143350000000002</v>
      </c>
      <c r="BU172" s="56">
        <f t="shared" si="560"/>
        <v>18.000517500000001</v>
      </c>
      <c r="BV172" s="56">
        <f t="shared" si="560"/>
        <v>18.900543375000002</v>
      </c>
      <c r="BW172" s="56">
        <f t="shared" si="560"/>
        <v>19.845570543750004</v>
      </c>
      <c r="BX172" s="56">
        <f t="shared" si="560"/>
        <v>20.837849070937505</v>
      </c>
      <c r="BY172" s="56">
        <f t="shared" si="560"/>
        <v>21.87974152448438</v>
      </c>
      <c r="BZ172" s="56">
        <f t="shared" si="560"/>
        <v>24.067715676932821</v>
      </c>
      <c r="CA172" s="56">
        <f t="shared" si="560"/>
        <v>26.474487244626104</v>
      </c>
      <c r="CB172" s="56">
        <f t="shared" si="560"/>
        <v>29.121935969088717</v>
      </c>
      <c r="CC172" s="56">
        <f t="shared" si="560"/>
        <v>32.034129565997588</v>
      </c>
      <c r="CD172" s="56">
        <f t="shared" si="560"/>
        <v>33.63583604429747</v>
      </c>
      <c r="CE172" s="56">
        <f t="shared" si="560"/>
        <v>35.317627846512345</v>
      </c>
      <c r="CF172" s="4"/>
      <c r="CG172" s="4"/>
      <c r="CH172" s="4"/>
      <c r="CI172" s="4"/>
      <c r="CJ172" s="4"/>
      <c r="CK172" s="4"/>
      <c r="CL172" s="4"/>
      <c r="CM172" s="4"/>
      <c r="CN172" s="240">
        <f t="shared" si="480"/>
        <v>165</v>
      </c>
    </row>
    <row r="173" spans="1:92" hidden="1" outlineLevel="2">
      <c r="A173" s="144"/>
      <c r="B173" s="42" t="s">
        <v>235</v>
      </c>
      <c r="C173" s="72">
        <f t="shared" si="558"/>
        <v>0</v>
      </c>
      <c r="D173" s="72">
        <f t="shared" si="558"/>
        <v>-51.186342745278694</v>
      </c>
      <c r="E173" s="72">
        <f t="shared" si="558"/>
        <v>-53.557707280865294</v>
      </c>
      <c r="F173" s="72">
        <f t="shared" si="558"/>
        <v>-37.27284109345058</v>
      </c>
      <c r="G173" s="72">
        <f t="shared" si="559"/>
        <v>-47.262729930460658</v>
      </c>
      <c r="H173" s="72">
        <f t="shared" si="559"/>
        <v>-56.136235861957005</v>
      </c>
      <c r="I173" s="72">
        <f t="shared" si="559"/>
        <v>-62.12471204132239</v>
      </c>
      <c r="J173" s="72">
        <f t="shared" si="559"/>
        <v>-62.235893189475973</v>
      </c>
      <c r="K173" s="72">
        <f t="shared" si="559"/>
        <v>-70.692651588242626</v>
      </c>
      <c r="L173" s="72">
        <f t="shared" si="559"/>
        <v>-48.25076141022538</v>
      </c>
      <c r="M173" s="72">
        <f t="shared" si="559"/>
        <v>-40.429199289889823</v>
      </c>
      <c r="N173" s="72">
        <f t="shared" si="559"/>
        <v>-46.431539527409562</v>
      </c>
      <c r="O173" s="72">
        <f t="shared" si="559"/>
        <v>-55.495963687360089</v>
      </c>
      <c r="P173" s="72">
        <f t="shared" si="559"/>
        <v>-68.346723536491055</v>
      </c>
      <c r="Q173" s="72">
        <f t="shared" si="559"/>
        <v>-94.251012670776035</v>
      </c>
      <c r="R173" s="72"/>
      <c r="S173" s="4"/>
      <c r="T173" s="195"/>
      <c r="U173" s="195"/>
      <c r="V173" s="195"/>
      <c r="W173" s="195"/>
      <c r="X173" s="195"/>
      <c r="Y173" s="195"/>
      <c r="Z173" s="195"/>
      <c r="AA173" s="195"/>
      <c r="AB173" s="114">
        <f t="shared" ref="AB173:BW173" si="562">+AB176-AB175-AB172</f>
        <v>-11.258753708088513</v>
      </c>
      <c r="AC173" s="114">
        <f t="shared" si="562"/>
        <v>-13.484285568113382</v>
      </c>
      <c r="AD173" s="114">
        <f t="shared" si="562"/>
        <v>-12.964195707608622</v>
      </c>
      <c r="AE173" s="114">
        <f t="shared" si="562"/>
        <v>-13.479107761468178</v>
      </c>
      <c r="AF173" s="114">
        <f t="shared" si="562"/>
        <v>-12.901920832340398</v>
      </c>
      <c r="AG173" s="114">
        <f t="shared" si="562"/>
        <v>-12.973661510370814</v>
      </c>
      <c r="AH173" s="114">
        <f t="shared" si="562"/>
        <v>-13.242821998423388</v>
      </c>
      <c r="AI173" s="114">
        <f t="shared" si="562"/>
        <v>-14.439302939730695</v>
      </c>
      <c r="AJ173" s="114">
        <f t="shared" si="562"/>
        <v>-7.7641263338836239</v>
      </c>
      <c r="AK173" s="114">
        <f t="shared" si="562"/>
        <v>-12.569040324993308</v>
      </c>
      <c r="AL173" s="114">
        <f t="shared" si="562"/>
        <v>-8.1943350585279866</v>
      </c>
      <c r="AM173" s="114">
        <f t="shared" si="562"/>
        <v>-8.7453393760456599</v>
      </c>
      <c r="AN173" s="114">
        <f t="shared" si="562"/>
        <v>-10.584062281837632</v>
      </c>
      <c r="AO173" s="114">
        <f t="shared" si="562"/>
        <v>-11.044545583955461</v>
      </c>
      <c r="AP173" s="114">
        <f t="shared" si="562"/>
        <v>-12.145799020516215</v>
      </c>
      <c r="AQ173" s="114">
        <f t="shared" si="562"/>
        <v>-13.48832304415135</v>
      </c>
      <c r="AR173" s="114">
        <f t="shared" si="562"/>
        <v>-13.113107603972118</v>
      </c>
      <c r="AS173" s="114">
        <f t="shared" si="562"/>
        <v>-13.599005632476583</v>
      </c>
      <c r="AT173" s="114">
        <f t="shared" si="562"/>
        <v>-14.953697970073769</v>
      </c>
      <c r="AU173" s="114">
        <f t="shared" si="562"/>
        <v>-14.470424655434538</v>
      </c>
      <c r="AV173" s="114">
        <f t="shared" si="562"/>
        <v>-17.426605877542254</v>
      </c>
      <c r="AW173" s="114">
        <f t="shared" si="562"/>
        <v>-14.042457852935179</v>
      </c>
      <c r="AX173" s="114">
        <f t="shared" si="562"/>
        <v>-15.686976779038908</v>
      </c>
      <c r="AY173" s="114">
        <f t="shared" si="562"/>
        <v>-14.968671531806045</v>
      </c>
      <c r="AZ173" s="114">
        <f t="shared" si="562"/>
        <v>-14.694844134037538</v>
      </c>
      <c r="BA173" s="114">
        <f t="shared" si="562"/>
        <v>-15.293899039701376</v>
      </c>
      <c r="BB173" s="114">
        <f t="shared" si="562"/>
        <v>-16.229038450809476</v>
      </c>
      <c r="BC173" s="114">
        <f t="shared" si="562"/>
        <v>-16.018111564927583</v>
      </c>
      <c r="BD173" s="114">
        <f t="shared" si="562"/>
        <v>-16.243296034220201</v>
      </c>
      <c r="BE173" s="114">
        <f t="shared" si="562"/>
        <v>-18.709685896940965</v>
      </c>
      <c r="BF173" s="114">
        <f t="shared" si="562"/>
        <v>-17.821599828576218</v>
      </c>
      <c r="BG173" s="114">
        <f t="shared" si="562"/>
        <v>-17.918069828505253</v>
      </c>
      <c r="BH173" s="114">
        <f t="shared" si="562"/>
        <v>-13.462948088709478</v>
      </c>
      <c r="BI173" s="114">
        <f t="shared" si="562"/>
        <v>-12.214752917058744</v>
      </c>
      <c r="BJ173" s="114">
        <f t="shared" si="562"/>
        <v>-11.810257169674298</v>
      </c>
      <c r="BK173" s="114">
        <f t="shared" si="562"/>
        <v>-10.762803234782867</v>
      </c>
      <c r="BL173" s="114">
        <f t="shared" ref="BL173:BQ173" si="563">+BL176-BL175-BL172</f>
        <v>-10.68698289748539</v>
      </c>
      <c r="BM173" s="114">
        <f t="shared" si="563"/>
        <v>-9.7073660051189528</v>
      </c>
      <c r="BN173" s="114">
        <f t="shared" si="563"/>
        <v>-9.5294065577312335</v>
      </c>
      <c r="BO173" s="114">
        <f t="shared" si="563"/>
        <v>-10.505443829554244</v>
      </c>
      <c r="BP173" s="114">
        <f t="shared" si="563"/>
        <v>-10.761219110489435</v>
      </c>
      <c r="BQ173" s="114">
        <f t="shared" si="563"/>
        <v>-11.084132965572579</v>
      </c>
      <c r="BR173" s="114">
        <f>+BR176-BR175-BR172</f>
        <v>-12.081088082989559</v>
      </c>
      <c r="BS173" s="114">
        <f>+BS176-BS175-BS172</f>
        <v>-12.505099368357989</v>
      </c>
      <c r="BT173" s="114">
        <f t="shared" si="562"/>
        <v>-12.78466991077171</v>
      </c>
      <c r="BU173" s="114">
        <f t="shared" si="562"/>
        <v>-13.563479963954029</v>
      </c>
      <c r="BV173" s="114">
        <f t="shared" si="562"/>
        <v>-14.246121524959253</v>
      </c>
      <c r="BW173" s="114">
        <f t="shared" si="562"/>
        <v>-14.901692287675093</v>
      </c>
      <c r="BX173" s="114">
        <f t="shared" ref="BX173:CE173" si="564">+BX176-BX175-BX172</f>
        <v>-15.553311459615729</v>
      </c>
      <c r="BY173" s="114">
        <f t="shared" si="564"/>
        <v>-16.118813865830759</v>
      </c>
      <c r="BZ173" s="114">
        <f t="shared" si="564"/>
        <v>-17.54591683729301</v>
      </c>
      <c r="CA173" s="114">
        <f t="shared" si="564"/>
        <v>-19.128681373751554</v>
      </c>
      <c r="CB173" s="114">
        <f t="shared" si="564"/>
        <v>-21.088448648798728</v>
      </c>
      <c r="CC173" s="114">
        <f t="shared" si="564"/>
        <v>-23.200200173236798</v>
      </c>
      <c r="CD173" s="114">
        <f t="shared" si="564"/>
        <v>-24.367050395105917</v>
      </c>
      <c r="CE173" s="114">
        <f t="shared" si="564"/>
        <v>-25.595313453634589</v>
      </c>
      <c r="CF173" s="4"/>
      <c r="CG173" s="4"/>
      <c r="CH173" s="4"/>
      <c r="CI173" s="4"/>
      <c r="CJ173" s="4"/>
      <c r="CK173" s="4"/>
      <c r="CL173" s="4"/>
      <c r="CM173" s="4"/>
      <c r="CN173" s="240">
        <f t="shared" si="480"/>
        <v>166</v>
      </c>
    </row>
    <row r="174" spans="1:92" hidden="1" outlineLevel="2">
      <c r="A174" s="144"/>
      <c r="B174" s="42" t="s">
        <v>242</v>
      </c>
      <c r="C174" s="72">
        <f t="shared" ref="C174:O174" si="565">+C172+C173</f>
        <v>101.54</v>
      </c>
      <c r="D174" s="72">
        <f t="shared" si="565"/>
        <v>64.315657254721316</v>
      </c>
      <c r="E174" s="72">
        <f t="shared" si="565"/>
        <v>77.427292719134726</v>
      </c>
      <c r="F174" s="72">
        <f t="shared" si="565"/>
        <v>37.302158906549408</v>
      </c>
      <c r="G174" s="72">
        <f t="shared" si="565"/>
        <v>69.288270069539351</v>
      </c>
      <c r="H174" s="72">
        <f t="shared" si="565"/>
        <v>89.877764138043005</v>
      </c>
      <c r="I174" s="72">
        <f t="shared" si="565"/>
        <v>88.883287958677585</v>
      </c>
      <c r="J174" s="72">
        <f t="shared" si="565"/>
        <v>69.521106810524032</v>
      </c>
      <c r="K174" s="72">
        <f t="shared" si="565"/>
        <v>86.263348411757363</v>
      </c>
      <c r="L174" s="72">
        <f t="shared" si="565"/>
        <v>40.296238589774617</v>
      </c>
      <c r="M174" s="72">
        <f t="shared" si="565"/>
        <v>8.8908007101101774</v>
      </c>
      <c r="N174" s="72">
        <f t="shared" si="565"/>
        <v>10.444460472590443</v>
      </c>
      <c r="O174" s="72">
        <f t="shared" si="565"/>
        <v>18.394017731389908</v>
      </c>
      <c r="P174" s="72">
        <f>+P172+P173</f>
        <v>24.913069980489752</v>
      </c>
      <c r="Q174" s="72">
        <f>+Q172+Q173</f>
        <v>35.858516755120078</v>
      </c>
      <c r="R174" s="72"/>
      <c r="S174" s="4"/>
      <c r="T174" s="195"/>
      <c r="U174" s="195"/>
      <c r="V174" s="195"/>
      <c r="W174" s="195"/>
      <c r="X174" s="195"/>
      <c r="Y174" s="195"/>
      <c r="Z174" s="195"/>
      <c r="AA174" s="195"/>
      <c r="AB174" s="72">
        <f t="shared" ref="AB174:BW174" si="566">+AB172+AB173</f>
        <v>17.479246291911487</v>
      </c>
      <c r="AC174" s="72">
        <f t="shared" si="566"/>
        <v>17.347714431886619</v>
      </c>
      <c r="AD174" s="72">
        <f t="shared" si="566"/>
        <v>14.177804292391377</v>
      </c>
      <c r="AE174" s="72">
        <f t="shared" si="566"/>
        <v>15.310892238531821</v>
      </c>
      <c r="AF174" s="72">
        <f t="shared" si="566"/>
        <v>15.094079167659601</v>
      </c>
      <c r="AG174" s="72">
        <f t="shared" si="566"/>
        <v>16.431338489629187</v>
      </c>
      <c r="AH174" s="72">
        <f t="shared" si="566"/>
        <v>20.512178001576615</v>
      </c>
      <c r="AI174" s="72">
        <f t="shared" si="566"/>
        <v>25.389697060269306</v>
      </c>
      <c r="AJ174" s="72">
        <f t="shared" si="566"/>
        <v>17.427873666116376</v>
      </c>
      <c r="AK174" s="72">
        <f t="shared" si="566"/>
        <v>4.4619596750066908</v>
      </c>
      <c r="AL174" s="72">
        <f t="shared" si="566"/>
        <v>7.6386649414720136</v>
      </c>
      <c r="AM174" s="72">
        <f t="shared" si="566"/>
        <v>7.7736606239543384</v>
      </c>
      <c r="AN174" s="72">
        <f t="shared" si="566"/>
        <v>11.156937718162368</v>
      </c>
      <c r="AO174" s="72">
        <f t="shared" si="566"/>
        <v>16.313454416044539</v>
      </c>
      <c r="AP174" s="72">
        <f t="shared" si="566"/>
        <v>22.005200979483789</v>
      </c>
      <c r="AQ174" s="72">
        <f t="shared" si="566"/>
        <v>19.812676955848652</v>
      </c>
      <c r="AR174" s="72">
        <f t="shared" si="566"/>
        <v>19.245892396027884</v>
      </c>
      <c r="AS174" s="72">
        <f t="shared" si="566"/>
        <v>22.693994367523416</v>
      </c>
      <c r="AT174" s="72">
        <f t="shared" si="566"/>
        <v>23.596302029926228</v>
      </c>
      <c r="AU174" s="72">
        <f t="shared" si="566"/>
        <v>24.341575344565459</v>
      </c>
      <c r="AV174" s="72">
        <f t="shared" si="566"/>
        <v>23.609394122457747</v>
      </c>
      <c r="AW174" s="72">
        <f t="shared" si="566"/>
        <v>24.420542147064822</v>
      </c>
      <c r="AX174" s="72">
        <f t="shared" si="566"/>
        <v>20.675023220961094</v>
      </c>
      <c r="AY174" s="72">
        <f t="shared" si="566"/>
        <v>20.178328468193953</v>
      </c>
      <c r="AZ174" s="72">
        <f t="shared" si="566"/>
        <v>17.115155865962461</v>
      </c>
      <c r="BA174" s="72">
        <f t="shared" si="566"/>
        <v>18.242100960298625</v>
      </c>
      <c r="BB174" s="72">
        <f t="shared" si="566"/>
        <v>16.723961549190527</v>
      </c>
      <c r="BC174" s="72">
        <f t="shared" si="566"/>
        <v>17.439888435072415</v>
      </c>
      <c r="BD174" s="72">
        <f t="shared" si="566"/>
        <v>18.4787039657798</v>
      </c>
      <c r="BE174" s="72">
        <f t="shared" si="566"/>
        <v>19.729314103059036</v>
      </c>
      <c r="BF174" s="72">
        <f t="shared" si="566"/>
        <v>25.954400171423785</v>
      </c>
      <c r="BG174" s="72">
        <f t="shared" si="566"/>
        <v>22.100930171494731</v>
      </c>
      <c r="BH174" s="72">
        <f t="shared" si="566"/>
        <v>14.714051911290522</v>
      </c>
      <c r="BI174" s="72">
        <f t="shared" si="566"/>
        <v>9.539247082941257</v>
      </c>
      <c r="BJ174" s="72">
        <f t="shared" si="566"/>
        <v>8.7677428303257017</v>
      </c>
      <c r="BK174" s="72">
        <f t="shared" si="566"/>
        <v>7.2751967652171334</v>
      </c>
      <c r="BL174" s="72">
        <f t="shared" ref="BL174:BQ174" si="567">+BL172+BL173</f>
        <v>2.9360171025146098</v>
      </c>
      <c r="BM174" s="72">
        <f t="shared" si="567"/>
        <v>2.0736339948810478</v>
      </c>
      <c r="BN174" s="72">
        <f t="shared" si="567"/>
        <v>3.0235934422687674</v>
      </c>
      <c r="BO174" s="72">
        <f t="shared" si="567"/>
        <v>0.85755617044575594</v>
      </c>
      <c r="BP174" s="72">
        <f t="shared" si="567"/>
        <v>1.1597808895105644</v>
      </c>
      <c r="BQ174" s="72">
        <f t="shared" si="567"/>
        <v>2.2638670344274221</v>
      </c>
      <c r="BR174" s="72">
        <f>+BR172+BR173</f>
        <v>3.1989119170104399</v>
      </c>
      <c r="BS174" s="72">
        <f>+BS172+BS173</f>
        <v>3.8219006316420128</v>
      </c>
      <c r="BT174" s="72">
        <f t="shared" si="566"/>
        <v>4.358680089228292</v>
      </c>
      <c r="BU174" s="72">
        <f t="shared" si="566"/>
        <v>4.4370375360459722</v>
      </c>
      <c r="BV174" s="72">
        <f t="shared" si="566"/>
        <v>4.6544218500407482</v>
      </c>
      <c r="BW174" s="72">
        <f t="shared" si="566"/>
        <v>4.9438782560749104</v>
      </c>
      <c r="BX174" s="72">
        <f t="shared" ref="BX174:CE174" si="568">+BX172+BX173</f>
        <v>5.2845376113217757</v>
      </c>
      <c r="BY174" s="72">
        <f t="shared" si="568"/>
        <v>5.7609276586536211</v>
      </c>
      <c r="BZ174" s="72">
        <f t="shared" si="568"/>
        <v>6.5217988396398106</v>
      </c>
      <c r="CA174" s="72">
        <f t="shared" si="568"/>
        <v>7.3458058708745497</v>
      </c>
      <c r="CB174" s="72">
        <f t="shared" si="568"/>
        <v>8.0334873202899892</v>
      </c>
      <c r="CC174" s="72">
        <f t="shared" si="568"/>
        <v>8.8339293927607905</v>
      </c>
      <c r="CD174" s="72">
        <f t="shared" si="568"/>
        <v>9.2687856491915532</v>
      </c>
      <c r="CE174" s="72">
        <f t="shared" si="568"/>
        <v>9.722314392877756</v>
      </c>
      <c r="CF174" s="4"/>
      <c r="CG174" s="4"/>
      <c r="CH174" s="4"/>
      <c r="CI174" s="4"/>
      <c r="CJ174" s="4"/>
      <c r="CK174" s="4"/>
      <c r="CL174" s="4"/>
      <c r="CM174" s="4"/>
      <c r="CN174" s="240">
        <f t="shared" si="480"/>
        <v>167</v>
      </c>
    </row>
    <row r="175" spans="1:92" hidden="1" outlineLevel="2">
      <c r="A175" s="144"/>
      <c r="B175" s="42" t="s">
        <v>241</v>
      </c>
      <c r="C175" s="72">
        <f t="shared" si="558"/>
        <v>0</v>
      </c>
      <c r="D175" s="72">
        <f t="shared" si="558"/>
        <v>-16.254657254721295</v>
      </c>
      <c r="E175" s="72">
        <f t="shared" si="558"/>
        <v>-16.11429271913471</v>
      </c>
      <c r="F175" s="72">
        <f t="shared" si="558"/>
        <v>-10.853158906549419</v>
      </c>
      <c r="G175" s="72">
        <f t="shared" ref="G175:O178" si="569">SUMIF($T$5:$CF$5,G$5,$T175:$CF175)</f>
        <v>-11.562270069539347</v>
      </c>
      <c r="H175" s="72">
        <f t="shared" si="569"/>
        <v>-10.741764138042983</v>
      </c>
      <c r="I175" s="72">
        <f t="shared" si="569"/>
        <v>-12.264287958677619</v>
      </c>
      <c r="J175" s="72">
        <f t="shared" si="569"/>
        <v>-11.881106810524022</v>
      </c>
      <c r="K175" s="72">
        <f t="shared" si="569"/>
        <v>-12.175348411757353</v>
      </c>
      <c r="L175" s="72">
        <f t="shared" si="569"/>
        <v>-9.9622385897746089</v>
      </c>
      <c r="M175" s="72">
        <f t="shared" si="569"/>
        <v>-9.3058007101101783</v>
      </c>
      <c r="N175" s="72">
        <f t="shared" si="569"/>
        <v>-5.1024604725904377</v>
      </c>
      <c r="O175" s="72">
        <f t="shared" si="569"/>
        <v>-5.2560293107961709</v>
      </c>
      <c r="P175" s="72">
        <f t="shared" ref="P175:Q178" si="570">SUMIF($T$5:$CF$5,P$5,$T175:$CF175)</f>
        <v>-5.6993228661411139</v>
      </c>
      <c r="Q175" s="72">
        <f t="shared" si="570"/>
        <v>-7.2344202814229366</v>
      </c>
      <c r="R175" s="72"/>
      <c r="S175" s="4"/>
      <c r="T175" s="195"/>
      <c r="U175" s="195"/>
      <c r="V175" s="195"/>
      <c r="W175" s="195"/>
      <c r="X175" s="195"/>
      <c r="Y175" s="195"/>
      <c r="Z175" s="195"/>
      <c r="AA175" s="195"/>
      <c r="AB175" s="114">
        <f t="shared" ref="AB175:BG175" si="571">(AB209-AB23)*AB172/AB12</f>
        <v>-3.9372462919114852</v>
      </c>
      <c r="AC175" s="114">
        <f t="shared" si="571"/>
        <v>-4.3667144318866171</v>
      </c>
      <c r="AD175" s="114">
        <f t="shared" si="571"/>
        <v>-3.9548042923913784</v>
      </c>
      <c r="AE175" s="114">
        <f t="shared" si="571"/>
        <v>-3.9958922385318152</v>
      </c>
      <c r="AF175" s="114">
        <f t="shared" si="571"/>
        <v>-3.6460791676595998</v>
      </c>
      <c r="AG175" s="114">
        <f t="shared" si="571"/>
        <v>-3.6453384896291849</v>
      </c>
      <c r="AH175" s="114">
        <f t="shared" si="571"/>
        <v>-3.8301780015766163</v>
      </c>
      <c r="AI175" s="114">
        <f t="shared" si="571"/>
        <v>-4.9926970602693075</v>
      </c>
      <c r="AJ175" s="114">
        <f t="shared" si="571"/>
        <v>-3.4908736661163777</v>
      </c>
      <c r="AK175" s="114">
        <f t="shared" si="571"/>
        <v>-2.7339596750066919</v>
      </c>
      <c r="AL175" s="114">
        <f t="shared" si="571"/>
        <v>-2.3646649414720149</v>
      </c>
      <c r="AM175" s="114">
        <f t="shared" si="571"/>
        <v>-2.2636606239543346</v>
      </c>
      <c r="AN175" s="114">
        <f t="shared" si="571"/>
        <v>-2.4889377181623686</v>
      </c>
      <c r="AO175" s="114">
        <f t="shared" si="571"/>
        <v>-2.9264544160445398</v>
      </c>
      <c r="AP175" s="114">
        <f t="shared" si="571"/>
        <v>-3.315200979483786</v>
      </c>
      <c r="AQ175" s="114">
        <f t="shared" si="571"/>
        <v>-2.8316769558486516</v>
      </c>
      <c r="AR175" s="114">
        <f t="shared" si="571"/>
        <v>-2.6378923960278819</v>
      </c>
      <c r="AS175" s="114">
        <f t="shared" si="571"/>
        <v>-2.5459943675234165</v>
      </c>
      <c r="AT175" s="114">
        <f t="shared" si="571"/>
        <v>-2.5963020299262292</v>
      </c>
      <c r="AU175" s="114">
        <f t="shared" si="571"/>
        <v>-2.9615753445654556</v>
      </c>
      <c r="AV175" s="114">
        <f t="shared" si="571"/>
        <v>-3.2393941224577509</v>
      </c>
      <c r="AW175" s="114">
        <f t="shared" si="571"/>
        <v>-3.0735421470648223</v>
      </c>
      <c r="AX175" s="114">
        <f t="shared" si="571"/>
        <v>-2.9420232209610981</v>
      </c>
      <c r="AY175" s="114">
        <f t="shared" si="571"/>
        <v>-3.0093284681939476</v>
      </c>
      <c r="AZ175" s="114">
        <f t="shared" si="571"/>
        <v>-2.9891558659624584</v>
      </c>
      <c r="BA175" s="114">
        <f t="shared" si="571"/>
        <v>-3.2261009602986235</v>
      </c>
      <c r="BB175" s="114">
        <f t="shared" si="571"/>
        <v>-2.8179615491905254</v>
      </c>
      <c r="BC175" s="114">
        <f t="shared" si="571"/>
        <v>-2.8478884350724147</v>
      </c>
      <c r="BD175" s="114">
        <f t="shared" si="571"/>
        <v>-3.0327039657798007</v>
      </c>
      <c r="BE175" s="114">
        <f t="shared" si="571"/>
        <v>-2.8573141030590343</v>
      </c>
      <c r="BF175" s="114">
        <f t="shared" si="571"/>
        <v>-3.3554001714237849</v>
      </c>
      <c r="BG175" s="114">
        <f t="shared" si="571"/>
        <v>-2.9299301714947332</v>
      </c>
      <c r="BH175" s="114">
        <f t="shared" ref="BH175:CE175" si="572">(BH209-BH23)*BH172/BH12</f>
        <v>-2.6410519112905204</v>
      </c>
      <c r="BI175" s="114">
        <f t="shared" si="572"/>
        <v>-2.6942470829412559</v>
      </c>
      <c r="BJ175" s="114">
        <f t="shared" si="572"/>
        <v>-2.4197428303257014</v>
      </c>
      <c r="BK175" s="114">
        <f t="shared" si="572"/>
        <v>-2.207196765217132</v>
      </c>
      <c r="BL175" s="114">
        <f t="shared" si="572"/>
        <v>-2.673017102514609</v>
      </c>
      <c r="BM175" s="114">
        <f t="shared" si="572"/>
        <v>-2.6836339948810473</v>
      </c>
      <c r="BN175" s="114">
        <f t="shared" si="572"/>
        <v>-2.3595934422687685</v>
      </c>
      <c r="BO175" s="114">
        <f t="shared" si="572"/>
        <v>-1.5895561704457528</v>
      </c>
      <c r="BP175" s="114">
        <f t="shared" si="572"/>
        <v>-1.3287808895105646</v>
      </c>
      <c r="BQ175" s="114">
        <f t="shared" si="572"/>
        <v>-1.2038670344274214</v>
      </c>
      <c r="BR175" s="114">
        <f t="shared" si="572"/>
        <v>-1.1129119170104396</v>
      </c>
      <c r="BS175" s="114">
        <f t="shared" ref="BS175" si="573">(BS209-BS23)*BS172/BS12</f>
        <v>-1.4569006316420121</v>
      </c>
      <c r="BT175" s="114">
        <f t="shared" si="572"/>
        <v>-1.4443105892282913</v>
      </c>
      <c r="BU175" s="114">
        <f t="shared" si="572"/>
        <v>-1.2869469735459722</v>
      </c>
      <c r="BV175" s="114">
        <f t="shared" si="572"/>
        <v>-1.2523240425407478</v>
      </c>
      <c r="BW175" s="114">
        <f t="shared" si="572"/>
        <v>-1.2724477054811596</v>
      </c>
      <c r="BX175" s="114">
        <f t="shared" si="572"/>
        <v>-1.3253462878436486</v>
      </c>
      <c r="BY175" s="114">
        <f t="shared" si="572"/>
        <v>-1.3849793537567434</v>
      </c>
      <c r="BZ175" s="114">
        <f t="shared" si="572"/>
        <v>-1.4675785474839182</v>
      </c>
      <c r="CA175" s="114">
        <f t="shared" si="572"/>
        <v>-1.5214186770568032</v>
      </c>
      <c r="CB175" s="114">
        <f t="shared" si="572"/>
        <v>-1.6266614070904692</v>
      </c>
      <c r="CC175" s="114">
        <f t="shared" si="572"/>
        <v>-1.7864208882413202</v>
      </c>
      <c r="CD175" s="114">
        <f t="shared" si="572"/>
        <v>-1.8689017194461079</v>
      </c>
      <c r="CE175" s="114">
        <f t="shared" si="572"/>
        <v>-1.9524362666450388</v>
      </c>
      <c r="CF175" s="4"/>
      <c r="CG175" s="4"/>
      <c r="CH175" s="4"/>
      <c r="CI175" s="4"/>
      <c r="CJ175" s="4"/>
      <c r="CK175" s="4"/>
      <c r="CL175" s="4"/>
      <c r="CM175" s="4"/>
      <c r="CN175" s="240">
        <f t="shared" si="480"/>
        <v>168</v>
      </c>
    </row>
    <row r="176" spans="1:92" hidden="1" outlineLevel="2">
      <c r="A176" s="144"/>
      <c r="B176" s="45" t="s">
        <v>114</v>
      </c>
      <c r="C176" s="72">
        <f>SUMIF($T$5:$BT$5,C$5,$T176:$BT176)</f>
        <v>0</v>
      </c>
      <c r="D176" s="72">
        <f>SUMIF($T$5:$BT$5,D$5,$T176:$BT176)</f>
        <v>48.061000000000007</v>
      </c>
      <c r="E176" s="72">
        <f>SUMIF($T$5:$BT$5,E$5,$T176:$BT176)</f>
        <v>61.312999999999995</v>
      </c>
      <c r="F176" s="72">
        <f>SUMIF($T$5:$BT$5,F$5,$T176:$BT176)</f>
        <v>26.449000000000005</v>
      </c>
      <c r="G176" s="72">
        <f t="shared" si="569"/>
        <v>57.725999999999999</v>
      </c>
      <c r="H176" s="72">
        <f t="shared" si="569"/>
        <v>79.135999999999996</v>
      </c>
      <c r="I176" s="72">
        <f t="shared" si="569"/>
        <v>76.619</v>
      </c>
      <c r="J176" s="72">
        <f t="shared" si="569"/>
        <v>57.64</v>
      </c>
      <c r="K176" s="72">
        <f t="shared" si="569"/>
        <v>74.087999999999994</v>
      </c>
      <c r="L176" s="72">
        <f t="shared" si="569"/>
        <v>30.334</v>
      </c>
      <c r="M176" s="72">
        <f t="shared" si="569"/>
        <v>-0.41499999999999915</v>
      </c>
      <c r="N176" s="72">
        <f t="shared" si="569"/>
        <v>5.3420000000000005</v>
      </c>
      <c r="O176" s="72">
        <f t="shared" si="569"/>
        <v>13.137988420593752</v>
      </c>
      <c r="P176" s="72">
        <f t="shared" si="570"/>
        <v>19.213747114348642</v>
      </c>
      <c r="Q176" s="72">
        <f t="shared" si="570"/>
        <v>28.624096473697154</v>
      </c>
      <c r="R176" s="72"/>
      <c r="S176" s="4"/>
      <c r="T176" s="195"/>
      <c r="U176" s="195"/>
      <c r="V176" s="195"/>
      <c r="W176" s="195"/>
      <c r="X176" s="195"/>
      <c r="Y176" s="195"/>
      <c r="Z176" s="195"/>
      <c r="AA176" s="195"/>
      <c r="AB176" s="114">
        <f t="shared" ref="AB176:BW176" si="574">+AB178-AB177</f>
        <v>13.542000000000002</v>
      </c>
      <c r="AC176" s="114">
        <f t="shared" si="574"/>
        <v>12.981000000000002</v>
      </c>
      <c r="AD176" s="114">
        <f t="shared" si="574"/>
        <v>10.222999999999999</v>
      </c>
      <c r="AE176" s="114">
        <f t="shared" si="574"/>
        <v>11.315000000000005</v>
      </c>
      <c r="AF176" s="114">
        <f t="shared" si="574"/>
        <v>11.448</v>
      </c>
      <c r="AG176" s="114">
        <f t="shared" si="574"/>
        <v>12.786000000000001</v>
      </c>
      <c r="AH176" s="114">
        <f t="shared" si="574"/>
        <v>16.681999999999999</v>
      </c>
      <c r="AI176" s="114">
        <f t="shared" si="574"/>
        <v>20.396999999999998</v>
      </c>
      <c r="AJ176" s="114">
        <f t="shared" si="574"/>
        <v>13.936999999999999</v>
      </c>
      <c r="AK176" s="114">
        <f t="shared" si="574"/>
        <v>1.7279999999999993</v>
      </c>
      <c r="AL176" s="114">
        <f t="shared" si="574"/>
        <v>5.2739999999999991</v>
      </c>
      <c r="AM176" s="114">
        <f t="shared" si="574"/>
        <v>5.5100000000000033</v>
      </c>
      <c r="AN176" s="114">
        <f t="shared" si="574"/>
        <v>8.6679999999999993</v>
      </c>
      <c r="AO176" s="114">
        <f t="shared" si="574"/>
        <v>13.387</v>
      </c>
      <c r="AP176" s="114">
        <f t="shared" si="574"/>
        <v>18.690000000000001</v>
      </c>
      <c r="AQ176" s="114">
        <f t="shared" si="574"/>
        <v>16.980999999999998</v>
      </c>
      <c r="AR176" s="114">
        <f t="shared" si="574"/>
        <v>16.608000000000001</v>
      </c>
      <c r="AS176" s="114">
        <f t="shared" si="574"/>
        <v>20.148</v>
      </c>
      <c r="AT176" s="114">
        <f t="shared" si="574"/>
        <v>21</v>
      </c>
      <c r="AU176" s="114">
        <f t="shared" si="574"/>
        <v>21.380000000000003</v>
      </c>
      <c r="AV176" s="114">
        <f t="shared" si="574"/>
        <v>20.369999999999997</v>
      </c>
      <c r="AW176" s="114">
        <f t="shared" si="574"/>
        <v>21.347000000000001</v>
      </c>
      <c r="AX176" s="114">
        <f t="shared" si="574"/>
        <v>17.732999999999997</v>
      </c>
      <c r="AY176" s="114">
        <f t="shared" si="574"/>
        <v>17.169000000000004</v>
      </c>
      <c r="AZ176" s="114">
        <f t="shared" si="574"/>
        <v>14.126000000000001</v>
      </c>
      <c r="BA176" s="114">
        <f t="shared" si="574"/>
        <v>15.016000000000002</v>
      </c>
      <c r="BB176" s="114">
        <f t="shared" si="574"/>
        <v>13.906000000000001</v>
      </c>
      <c r="BC176" s="114">
        <f t="shared" si="574"/>
        <v>14.592000000000001</v>
      </c>
      <c r="BD176" s="114">
        <f t="shared" si="574"/>
        <v>15.446</v>
      </c>
      <c r="BE176" s="114">
        <f t="shared" si="574"/>
        <v>16.872</v>
      </c>
      <c r="BF176" s="114">
        <f t="shared" si="574"/>
        <v>22.599</v>
      </c>
      <c r="BG176" s="114">
        <f t="shared" si="574"/>
        <v>19.170999999999999</v>
      </c>
      <c r="BH176" s="114">
        <f t="shared" si="574"/>
        <v>12.073</v>
      </c>
      <c r="BI176" s="114">
        <f t="shared" si="574"/>
        <v>6.8450000000000006</v>
      </c>
      <c r="BJ176" s="114">
        <f t="shared" si="574"/>
        <v>6.3480000000000008</v>
      </c>
      <c r="BK176" s="114">
        <f t="shared" si="574"/>
        <v>5.0680000000000014</v>
      </c>
      <c r="BL176" s="114">
        <f t="shared" ref="BL176:BQ176" si="575">+BL178-BL177</f>
        <v>0.2629999999999999</v>
      </c>
      <c r="BM176" s="114">
        <f t="shared" si="575"/>
        <v>-0.61000000000000032</v>
      </c>
      <c r="BN176" s="114">
        <f t="shared" si="575"/>
        <v>0.66399999999999881</v>
      </c>
      <c r="BO176" s="114">
        <f t="shared" si="575"/>
        <v>-0.73199999999999754</v>
      </c>
      <c r="BP176" s="114">
        <f t="shared" si="575"/>
        <v>-0.16900000000000048</v>
      </c>
      <c r="BQ176" s="114">
        <f t="shared" si="575"/>
        <v>1.0600000000000009</v>
      </c>
      <c r="BR176" s="114">
        <f>+BR178-BR177</f>
        <v>2.0859999999999999</v>
      </c>
      <c r="BS176" s="114">
        <f>+BS178-BS177</f>
        <v>2.3650000000000002</v>
      </c>
      <c r="BT176" s="114">
        <f t="shared" si="574"/>
        <v>2.9143695000000003</v>
      </c>
      <c r="BU176" s="114">
        <f t="shared" si="574"/>
        <v>3.1500905625000004</v>
      </c>
      <c r="BV176" s="114">
        <f t="shared" si="574"/>
        <v>3.4020978075000006</v>
      </c>
      <c r="BW176" s="114">
        <f t="shared" si="574"/>
        <v>3.671430550593751</v>
      </c>
      <c r="BX176" s="114">
        <f t="shared" ref="BX176:CE176" si="576">+BX178-BX177</f>
        <v>3.9591913234781266</v>
      </c>
      <c r="BY176" s="114">
        <f t="shared" si="576"/>
        <v>4.3759483048968768</v>
      </c>
      <c r="BZ176" s="114">
        <f t="shared" si="576"/>
        <v>5.0542202921558932</v>
      </c>
      <c r="CA176" s="114">
        <f t="shared" si="576"/>
        <v>5.8243871938177447</v>
      </c>
      <c r="CB176" s="114">
        <f t="shared" si="576"/>
        <v>6.4068259131995191</v>
      </c>
      <c r="CC176" s="114">
        <f t="shared" si="576"/>
        <v>7.0475085045194712</v>
      </c>
      <c r="CD176" s="114">
        <f t="shared" si="576"/>
        <v>7.3998839297454451</v>
      </c>
      <c r="CE176" s="114">
        <f t="shared" si="576"/>
        <v>7.7698781262327179</v>
      </c>
      <c r="CF176" s="4"/>
      <c r="CG176" s="4"/>
      <c r="CH176" s="4"/>
      <c r="CI176" s="4"/>
      <c r="CJ176" s="4"/>
      <c r="CK176" s="4"/>
      <c r="CL176" s="4"/>
      <c r="CM176" s="4"/>
      <c r="CN176" s="240">
        <f t="shared" si="480"/>
        <v>169</v>
      </c>
    </row>
    <row r="177" spans="1:92" hidden="1" outlineLevel="2">
      <c r="A177" s="144"/>
      <c r="B177" s="45" t="s">
        <v>52</v>
      </c>
      <c r="C177" s="195">
        <v>-13.974</v>
      </c>
      <c r="D177" s="72">
        <f>SUMIF($T$5:$BT$5,D$5,$T177:$BT177)</f>
        <v>-18.106000000000002</v>
      </c>
      <c r="E177" s="72">
        <f>SUMIF($T$5:$BT$5,E$5,$T177:$BT177)</f>
        <v>-24.797999999999995</v>
      </c>
      <c r="F177" s="72">
        <f>SUMIF($T$5:$BT$5,F$5,$T177:$BT177)</f>
        <v>-28.085000000000001</v>
      </c>
      <c r="G177" s="72">
        <f t="shared" si="569"/>
        <v>-26.64</v>
      </c>
      <c r="H177" s="72">
        <f t="shared" si="569"/>
        <v>-27.463999999999999</v>
      </c>
      <c r="I177" s="72">
        <f t="shared" si="569"/>
        <v>-30.707000000000001</v>
      </c>
      <c r="J177" s="72">
        <f t="shared" si="569"/>
        <v>-31.417000000000002</v>
      </c>
      <c r="K177" s="72">
        <f t="shared" si="569"/>
        <v>-31.577999999999999</v>
      </c>
      <c r="L177" s="72">
        <f t="shared" si="569"/>
        <v>-32.697000000000003</v>
      </c>
      <c r="M177" s="72">
        <f t="shared" si="569"/>
        <v>-25.606000000000002</v>
      </c>
      <c r="N177" s="72">
        <f t="shared" si="569"/>
        <v>-17.57</v>
      </c>
      <c r="O177" s="72">
        <f t="shared" si="569"/>
        <v>-17.909208247055748</v>
      </c>
      <c r="P177" s="72">
        <f t="shared" si="570"/>
        <v>-20.081313639874466</v>
      </c>
      <c r="Q177" s="72">
        <f t="shared" si="570"/>
        <v>-25.530082818548113</v>
      </c>
      <c r="R177" s="72"/>
      <c r="S177" s="4"/>
      <c r="T177" s="195"/>
      <c r="U177" s="195"/>
      <c r="V177" s="195"/>
      <c r="W177" s="195"/>
      <c r="X177" s="195"/>
      <c r="Y177" s="195"/>
      <c r="Z177" s="195"/>
      <c r="AA177" s="195"/>
      <c r="AB177" s="195">
        <v>-4.0010000000000003</v>
      </c>
      <c r="AC177" s="195">
        <f>-8.486-AB177</f>
        <v>-4.4850000000000003</v>
      </c>
      <c r="AD177" s="195">
        <f>(-13.182-AC177-AB177)</f>
        <v>-4.6959999999999988</v>
      </c>
      <c r="AE177" s="195">
        <f>(-18.106-AD177-AC177-AB177)</f>
        <v>-4.9240000000000039</v>
      </c>
      <c r="AF177" s="195">
        <v>-5.59</v>
      </c>
      <c r="AG177" s="195">
        <f>(-11.612-AF177)</f>
        <v>-6.0220000000000002</v>
      </c>
      <c r="AH177" s="195">
        <f>(-17.961-AG177-AF177)</f>
        <v>-6.3489999999999984</v>
      </c>
      <c r="AI177" s="195">
        <f>(-24.798-AH177-AG177-AF177)</f>
        <v>-6.836999999999998</v>
      </c>
      <c r="AJ177" s="195">
        <v>-10.231</v>
      </c>
      <c r="AK177" s="195">
        <f>(-13.575-AJ177)</f>
        <v>-3.3439999999999994</v>
      </c>
      <c r="AL177" s="195">
        <f>(-20.619-AK177-AJ177)</f>
        <v>-7.0439999999999987</v>
      </c>
      <c r="AM177" s="195">
        <f>(-28.085-AL177-AK177-AJ177)</f>
        <v>-7.4660000000000029</v>
      </c>
      <c r="AN177" s="195">
        <v>-6.758</v>
      </c>
      <c r="AO177" s="195">
        <f>(-13.506-AN177)</f>
        <v>-6.7480000000000002</v>
      </c>
      <c r="AP177" s="195">
        <f>(-20.181-AO177-AN177)</f>
        <v>-6.6749999999999998</v>
      </c>
      <c r="AQ177" s="195">
        <f>(-26.64-AP177-AO177-AN177)</f>
        <v>-6.4589999999999987</v>
      </c>
      <c r="AR177" s="195">
        <v>-6.673</v>
      </c>
      <c r="AS177" s="195">
        <f>(-13.667-AR177)</f>
        <v>-6.9939999999999998</v>
      </c>
      <c r="AT177" s="195">
        <f>(-20.546-AS177-AR177)</f>
        <v>-6.8789999999999996</v>
      </c>
      <c r="AU177" s="195">
        <f>(-27.464-AT177-AS177-AR177)</f>
        <v>-6.918000000000001</v>
      </c>
      <c r="AV177" s="195">
        <v>-6.3849999999999998</v>
      </c>
      <c r="AW177" s="195">
        <f>(-15.189-AV177)</f>
        <v>-8.8040000000000003</v>
      </c>
      <c r="AX177" s="195">
        <f>(-22.918-AW177-AV177)</f>
        <v>-7.7289999999999992</v>
      </c>
      <c r="AY177" s="195">
        <f>(-30.707-AX177-AW177-AV177)</f>
        <v>-7.7890000000000015</v>
      </c>
      <c r="AZ177" s="195">
        <v>-7.8680000000000003</v>
      </c>
      <c r="BA177" s="195">
        <f>(-15.803-AZ177)</f>
        <v>-7.9350000000000005</v>
      </c>
      <c r="BB177" s="195">
        <f>(-23.687-BA177-AZ177)</f>
        <v>-7.8840000000000003</v>
      </c>
      <c r="BC177" s="195">
        <f>(-31.417-BB177-BA177-AZ177)</f>
        <v>-7.73</v>
      </c>
      <c r="BD177" s="195">
        <v>-7.9889999999999999</v>
      </c>
      <c r="BE177" s="195">
        <f>(-15.863-BD177)</f>
        <v>-7.8739999999999997</v>
      </c>
      <c r="BF177" s="195">
        <f>(-23.727-BD177-BE177)</f>
        <v>-7.8639999999999999</v>
      </c>
      <c r="BG177" s="195">
        <f>-31.578-BF177-BE177-BD177</f>
        <v>-7.851</v>
      </c>
      <c r="BH177" s="195">
        <v>-8.1660000000000004</v>
      </c>
      <c r="BI177" s="195">
        <f>-16.469-BH177</f>
        <v>-8.3030000000000008</v>
      </c>
      <c r="BJ177" s="195">
        <f>-24.667-BI177-BH177</f>
        <v>-8.1980000000000004</v>
      </c>
      <c r="BK177" s="195">
        <f>-32.697-BJ177-BI177-BH177</f>
        <v>-8.0300000000000011</v>
      </c>
      <c r="BL177" s="195">
        <v>-6.899</v>
      </c>
      <c r="BM177" s="195">
        <f>-13.452-BL177</f>
        <v>-6.5529999999999999</v>
      </c>
      <c r="BN177" s="195">
        <f>-19.657-BM177-BL177</f>
        <v>-6.2049999999999992</v>
      </c>
      <c r="BO177" s="195">
        <f>-25.606-BN177-BM177-BL177</f>
        <v>-5.9490000000000025</v>
      </c>
      <c r="BP177" s="195">
        <v>-5.0519999999999996</v>
      </c>
      <c r="BQ177" s="195">
        <f>-9.451-BP177</f>
        <v>-4.3990000000000009</v>
      </c>
      <c r="BR177" s="195">
        <f>-13.599-BQ177-BP177</f>
        <v>-4.1479999999999997</v>
      </c>
      <c r="BS177" s="195">
        <f>-17.57-BR177-BQ177-BP177</f>
        <v>-3.9710000000000001</v>
      </c>
      <c r="BT177" s="56">
        <f t="shared" ref="BT177:CE177" si="577">BT61</f>
        <v>-3.9644451021225113</v>
      </c>
      <c r="BU177" s="56">
        <f t="shared" si="577"/>
        <v>-4.3853563126304795</v>
      </c>
      <c r="BV177" s="56">
        <f t="shared" si="577"/>
        <v>-4.7751722585198042</v>
      </c>
      <c r="BW177" s="56">
        <f t="shared" si="577"/>
        <v>-4.7842345737829541</v>
      </c>
      <c r="BX177" s="56">
        <f t="shared" si="577"/>
        <v>-4.7974197055605217</v>
      </c>
      <c r="BY177" s="56">
        <f t="shared" si="577"/>
        <v>-4.8094773484797866</v>
      </c>
      <c r="BZ177" s="56">
        <f t="shared" si="577"/>
        <v>-4.820503916527886</v>
      </c>
      <c r="CA177" s="56">
        <f t="shared" si="577"/>
        <v>-5.6539126693062727</v>
      </c>
      <c r="CB177" s="56">
        <f t="shared" si="577"/>
        <v>-6.4552368906525972</v>
      </c>
      <c r="CC177" s="56">
        <f t="shared" si="577"/>
        <v>-6.4038951073876138</v>
      </c>
      <c r="CD177" s="56">
        <f t="shared" si="577"/>
        <v>-6.3569436699737869</v>
      </c>
      <c r="CE177" s="56">
        <f t="shared" si="577"/>
        <v>-6.3140071505341142</v>
      </c>
      <c r="CF177" s="4"/>
      <c r="CG177" s="4"/>
      <c r="CH177" s="4"/>
      <c r="CI177" s="4"/>
      <c r="CJ177" s="4"/>
      <c r="CK177" s="4"/>
      <c r="CL177" s="4"/>
      <c r="CM177" s="4"/>
      <c r="CN177" s="240">
        <f t="shared" si="480"/>
        <v>170</v>
      </c>
    </row>
    <row r="178" spans="1:92" hidden="1" outlineLevel="2">
      <c r="A178" s="144"/>
      <c r="B178" s="45" t="s">
        <v>183</v>
      </c>
      <c r="C178" s="72">
        <f t="shared" si="558"/>
        <v>30.953000000000003</v>
      </c>
      <c r="D178" s="72">
        <f t="shared" si="558"/>
        <v>29.954999999999998</v>
      </c>
      <c r="E178" s="72">
        <f t="shared" si="558"/>
        <v>36.515000000000001</v>
      </c>
      <c r="F178" s="72">
        <f t="shared" si="558"/>
        <v>-1.6360000000000001</v>
      </c>
      <c r="G178" s="72">
        <f t="shared" si="569"/>
        <v>31.085999999999999</v>
      </c>
      <c r="H178" s="72">
        <f t="shared" si="569"/>
        <v>51.671999999999997</v>
      </c>
      <c r="I178" s="72">
        <f t="shared" si="569"/>
        <v>45.911999999999999</v>
      </c>
      <c r="J178" s="72">
        <f t="shared" si="569"/>
        <v>26.222999999999999</v>
      </c>
      <c r="K178" s="72">
        <f t="shared" si="569"/>
        <v>42.51</v>
      </c>
      <c r="L178" s="72">
        <f t="shared" si="569"/>
        <v>-2.3630000000000004</v>
      </c>
      <c r="M178" s="72">
        <f t="shared" si="569"/>
        <v>-26.021000000000001</v>
      </c>
      <c r="N178" s="72">
        <f t="shared" si="569"/>
        <v>-12.228</v>
      </c>
      <c r="O178" s="72">
        <f t="shared" si="569"/>
        <v>-4.7712198264619969</v>
      </c>
      <c r="P178" s="72">
        <f t="shared" si="570"/>
        <v>-0.86756652552582558</v>
      </c>
      <c r="Q178" s="72">
        <f t="shared" si="570"/>
        <v>3.0940136551490411</v>
      </c>
      <c r="R178" s="72"/>
      <c r="S178" s="4"/>
      <c r="T178" s="195">
        <v>2.1709999999999998</v>
      </c>
      <c r="U178" s="195">
        <v>3.3109999999999999</v>
      </c>
      <c r="V178" s="195">
        <v>3.2549999999999999</v>
      </c>
      <c r="W178" s="195">
        <v>3.2530000000000001</v>
      </c>
      <c r="X178" s="195">
        <v>5.1909999999999998</v>
      </c>
      <c r="Y178" s="195">
        <v>8.3610000000000007</v>
      </c>
      <c r="Z178" s="195">
        <v>8.2159999999999993</v>
      </c>
      <c r="AA178" s="195">
        <v>9.1850000000000005</v>
      </c>
      <c r="AB178" s="195">
        <v>9.5410000000000004</v>
      </c>
      <c r="AC178" s="195">
        <v>8.4960000000000004</v>
      </c>
      <c r="AD178" s="195">
        <v>5.5270000000000001</v>
      </c>
      <c r="AE178" s="195">
        <v>6.391</v>
      </c>
      <c r="AF178" s="195">
        <v>5.8579999999999997</v>
      </c>
      <c r="AG178" s="195">
        <v>6.7640000000000002</v>
      </c>
      <c r="AH178" s="195">
        <v>10.333</v>
      </c>
      <c r="AI178" s="195">
        <v>13.56</v>
      </c>
      <c r="AJ178" s="195">
        <v>3.706</v>
      </c>
      <c r="AK178" s="195">
        <v>-1.6160000000000001</v>
      </c>
      <c r="AL178" s="195">
        <v>-1.77</v>
      </c>
      <c r="AM178" s="195">
        <v>-1.956</v>
      </c>
      <c r="AN178" s="195">
        <v>1.91</v>
      </c>
      <c r="AO178" s="195">
        <v>6.6390000000000002</v>
      </c>
      <c r="AP178" s="195">
        <v>12.015000000000001</v>
      </c>
      <c r="AQ178" s="195">
        <v>10.522</v>
      </c>
      <c r="AR178" s="195">
        <v>9.9350000000000005</v>
      </c>
      <c r="AS178" s="195">
        <v>13.154</v>
      </c>
      <c r="AT178" s="195">
        <v>14.121</v>
      </c>
      <c r="AU178" s="195">
        <v>14.462</v>
      </c>
      <c r="AV178" s="195">
        <v>13.984999999999999</v>
      </c>
      <c r="AW178" s="195">
        <v>12.542999999999999</v>
      </c>
      <c r="AX178" s="195">
        <v>10.004</v>
      </c>
      <c r="AY178" s="195">
        <v>9.3800000000000008</v>
      </c>
      <c r="AZ178" s="195">
        <v>6.258</v>
      </c>
      <c r="BA178" s="195">
        <v>7.0810000000000004</v>
      </c>
      <c r="BB178" s="195">
        <v>6.0220000000000002</v>
      </c>
      <c r="BC178" s="195">
        <v>6.8620000000000001</v>
      </c>
      <c r="BD178" s="195">
        <v>7.4569999999999999</v>
      </c>
      <c r="BE178" s="195">
        <v>8.9979999999999993</v>
      </c>
      <c r="BF178" s="195">
        <v>14.734999999999999</v>
      </c>
      <c r="BG178" s="195">
        <f>42.51-BF178-BE178-BD178</f>
        <v>11.32</v>
      </c>
      <c r="BH178" s="195">
        <v>3.907</v>
      </c>
      <c r="BI178" s="195">
        <v>-1.458</v>
      </c>
      <c r="BJ178" s="56">
        <f t="shared" ref="BJ178:CE178" si="578">BJ22</f>
        <v>-1.85</v>
      </c>
      <c r="BK178" s="56">
        <f t="shared" si="578"/>
        <v>-2.9620000000000002</v>
      </c>
      <c r="BL178" s="56">
        <f t="shared" si="578"/>
        <v>-6.6360000000000001</v>
      </c>
      <c r="BM178" s="56">
        <f t="shared" si="578"/>
        <v>-7.1630000000000003</v>
      </c>
      <c r="BN178" s="56">
        <f t="shared" si="578"/>
        <v>-5.5410000000000004</v>
      </c>
      <c r="BO178" s="56">
        <f t="shared" si="578"/>
        <v>-6.681</v>
      </c>
      <c r="BP178" s="56">
        <f t="shared" si="578"/>
        <v>-5.2210000000000001</v>
      </c>
      <c r="BQ178" s="56">
        <f t="shared" si="578"/>
        <v>-3.339</v>
      </c>
      <c r="BR178" s="56">
        <f t="shared" si="578"/>
        <v>-2.0619999999999998</v>
      </c>
      <c r="BS178" s="56">
        <f t="shared" si="578"/>
        <v>-1.6060000000000001</v>
      </c>
      <c r="BT178" s="56">
        <f t="shared" si="578"/>
        <v>-1.0500756021225111</v>
      </c>
      <c r="BU178" s="56">
        <f t="shared" si="578"/>
        <v>-1.2352657501304791</v>
      </c>
      <c r="BV178" s="56">
        <f t="shared" si="578"/>
        <v>-1.3730744510198036</v>
      </c>
      <c r="BW178" s="56">
        <f t="shared" si="578"/>
        <v>-1.1128040231892031</v>
      </c>
      <c r="BX178" s="56">
        <f t="shared" si="578"/>
        <v>-0.83822838208239503</v>
      </c>
      <c r="BY178" s="56">
        <f t="shared" si="578"/>
        <v>-0.43352904358290978</v>
      </c>
      <c r="BZ178" s="56">
        <f t="shared" si="578"/>
        <v>0.23371637562800718</v>
      </c>
      <c r="CA178" s="56">
        <f t="shared" si="578"/>
        <v>0.17047452451147205</v>
      </c>
      <c r="CB178" s="56">
        <f t="shared" si="578"/>
        <v>-4.8410977453078097E-2</v>
      </c>
      <c r="CC178" s="56">
        <f t="shared" si="578"/>
        <v>0.64361339713185739</v>
      </c>
      <c r="CD178" s="56">
        <f t="shared" si="578"/>
        <v>1.0429402597716582</v>
      </c>
      <c r="CE178" s="56">
        <f t="shared" si="578"/>
        <v>1.4558709756986037</v>
      </c>
      <c r="CF178" s="4"/>
      <c r="CG178" s="4"/>
      <c r="CH178" s="4"/>
      <c r="CI178" s="4"/>
      <c r="CJ178" s="4"/>
      <c r="CK178" s="4"/>
      <c r="CL178" s="4"/>
      <c r="CM178" s="4"/>
      <c r="CN178" s="240">
        <f t="shared" si="480"/>
        <v>171</v>
      </c>
    </row>
    <row r="179" spans="1:92" hidden="1" outlineLevel="2">
      <c r="A179" s="144"/>
      <c r="B179" s="45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4"/>
      <c r="T179" s="195"/>
      <c r="U179" s="195"/>
      <c r="V179" s="195"/>
      <c r="W179" s="195"/>
      <c r="X179" s="195"/>
      <c r="Y179" s="195"/>
      <c r="Z179" s="195"/>
      <c r="AA179" s="195"/>
      <c r="AB179" s="195"/>
      <c r="AC179" s="195"/>
      <c r="AD179" s="195"/>
      <c r="AE179" s="195"/>
      <c r="AF179" s="195"/>
      <c r="AG179" s="195"/>
      <c r="AH179" s="195"/>
      <c r="AI179" s="195"/>
      <c r="AJ179" s="195"/>
      <c r="AK179" s="195"/>
      <c r="AL179" s="195"/>
      <c r="AM179" s="195"/>
      <c r="AN179" s="195"/>
      <c r="AO179" s="195"/>
      <c r="AP179" s="195"/>
      <c r="AQ179" s="195"/>
      <c r="AR179" s="195"/>
      <c r="AS179" s="195"/>
      <c r="AT179" s="195"/>
      <c r="AU179" s="195"/>
      <c r="AV179" s="195"/>
      <c r="AW179" s="195"/>
      <c r="AX179" s="195"/>
      <c r="AY179" s="195"/>
      <c r="AZ179" s="195"/>
      <c r="BA179" s="195"/>
      <c r="BB179" s="195"/>
      <c r="BC179" s="195"/>
      <c r="BD179" s="195"/>
      <c r="BE179" s="195"/>
      <c r="BF179" s="195"/>
      <c r="BG179" s="195"/>
      <c r="BH179" s="195"/>
      <c r="BI179" s="195"/>
      <c r="BJ179" s="56"/>
      <c r="BK179" s="56"/>
      <c r="BL179" s="56"/>
      <c r="BM179" s="56"/>
      <c r="BN179" s="56"/>
      <c r="BO179" s="56"/>
      <c r="BP179" s="56"/>
      <c r="BQ179" s="56"/>
      <c r="BR179" s="56"/>
      <c r="BS179" s="56"/>
      <c r="BT179" s="56"/>
      <c r="BU179" s="56"/>
      <c r="BV179" s="56"/>
      <c r="BW179" s="56"/>
      <c r="BX179" s="56"/>
      <c r="BY179" s="56"/>
      <c r="BZ179" s="56"/>
      <c r="CA179" s="56"/>
      <c r="CB179" s="56"/>
      <c r="CC179" s="56"/>
      <c r="CD179" s="56"/>
      <c r="CE179" s="56"/>
      <c r="CF179" s="4"/>
      <c r="CG179" s="4"/>
      <c r="CH179" s="4"/>
      <c r="CI179" s="4"/>
      <c r="CJ179" s="4"/>
      <c r="CK179" s="4"/>
      <c r="CL179" s="4"/>
      <c r="CM179" s="4"/>
      <c r="CN179" s="240">
        <f t="shared" si="480"/>
        <v>172</v>
      </c>
    </row>
    <row r="180" spans="1:92" hidden="1" outlineLevel="2">
      <c r="A180" s="144"/>
      <c r="B180" s="45" t="s">
        <v>236</v>
      </c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4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  <c r="AH180" s="195"/>
      <c r="AI180" s="195"/>
      <c r="AJ180" s="195"/>
      <c r="AK180" s="195"/>
      <c r="AL180" s="195"/>
      <c r="AM180" s="195"/>
      <c r="AN180" s="195"/>
      <c r="AO180" s="195"/>
      <c r="AP180" s="195"/>
      <c r="AQ180" s="195"/>
      <c r="AR180" s="195"/>
      <c r="AS180" s="195"/>
      <c r="AT180" s="195"/>
      <c r="AU180" s="195"/>
      <c r="AV180" s="195"/>
      <c r="AW180" s="195"/>
      <c r="AX180" s="195"/>
      <c r="AY180" s="195"/>
      <c r="AZ180" s="195"/>
      <c r="BA180" s="195"/>
      <c r="BB180" s="195"/>
      <c r="BC180" s="195"/>
      <c r="BD180" s="195"/>
      <c r="BE180" s="195"/>
      <c r="BF180" s="195"/>
      <c r="BG180" s="195"/>
      <c r="BH180" s="195"/>
      <c r="BI180" s="195"/>
      <c r="BJ180" s="114"/>
      <c r="BK180" s="114"/>
      <c r="BL180" s="114"/>
      <c r="BM180" s="114"/>
      <c r="BN180" s="114"/>
      <c r="BO180" s="114"/>
      <c r="BP180" s="114"/>
      <c r="BQ180" s="114"/>
      <c r="BR180" s="114"/>
      <c r="BS180" s="114"/>
      <c r="BT180" s="56"/>
      <c r="BU180" s="56"/>
      <c r="BV180" s="56"/>
      <c r="BW180" s="56"/>
      <c r="BX180" s="56"/>
      <c r="BY180" s="56"/>
      <c r="BZ180" s="56"/>
      <c r="CA180" s="56"/>
      <c r="CB180" s="56"/>
      <c r="CC180" s="56"/>
      <c r="CD180" s="56"/>
      <c r="CE180" s="56"/>
      <c r="CF180" s="4"/>
      <c r="CG180" s="4"/>
      <c r="CH180" s="4"/>
      <c r="CI180" s="4"/>
      <c r="CJ180" s="4"/>
      <c r="CK180" s="4"/>
      <c r="CL180" s="4"/>
      <c r="CM180" s="4"/>
      <c r="CN180" s="240">
        <f t="shared" si="480"/>
        <v>173</v>
      </c>
    </row>
    <row r="181" spans="1:92" hidden="1" outlineLevel="2">
      <c r="A181" s="144"/>
      <c r="B181" s="42" t="s">
        <v>166</v>
      </c>
      <c r="C181" s="72"/>
      <c r="D181" s="74">
        <f>+D172/C172-1</f>
        <v>0.13750246208390782</v>
      </c>
      <c r="E181" s="74">
        <f t="shared" ref="E181:O181" si="579">+E172/D172-1</f>
        <v>0.13404962684628829</v>
      </c>
      <c r="F181" s="74">
        <f t="shared" si="579"/>
        <v>-0.43065999923655396</v>
      </c>
      <c r="G181" s="74">
        <f t="shared" si="579"/>
        <v>0.56286959436808615</v>
      </c>
      <c r="H181" s="74">
        <f t="shared" si="579"/>
        <v>0.25279062384707141</v>
      </c>
      <c r="I181" s="74">
        <f t="shared" si="579"/>
        <v>3.4202199789061138E-2</v>
      </c>
      <c r="J181" s="74">
        <f t="shared" si="579"/>
        <v>-0.12748331214240294</v>
      </c>
      <c r="K181" s="74">
        <f t="shared" si="579"/>
        <v>0.19125359563438749</v>
      </c>
      <c r="L181" s="74">
        <f t="shared" si="579"/>
        <v>-0.43584826320752312</v>
      </c>
      <c r="M181" s="74">
        <f t="shared" si="579"/>
        <v>-0.44300766824398341</v>
      </c>
      <c r="N181" s="74">
        <f t="shared" si="579"/>
        <v>0.15320356853203587</v>
      </c>
      <c r="O181" s="74">
        <f t="shared" si="579"/>
        <v>0.29914166641026085</v>
      </c>
      <c r="P181" s="74">
        <f>+P172/O172-1</f>
        <v>0.26214395681679803</v>
      </c>
      <c r="Q181" s="74">
        <f>+Q172/P172-1</f>
        <v>0.39512993240978678</v>
      </c>
      <c r="R181" s="72"/>
      <c r="S181" s="4"/>
      <c r="T181" s="195"/>
      <c r="U181" s="195"/>
      <c r="V181" s="195"/>
      <c r="W181" s="195"/>
      <c r="X181" s="195"/>
      <c r="Y181" s="195"/>
      <c r="Z181" s="195"/>
      <c r="AA181" s="195"/>
      <c r="AB181" s="195"/>
      <c r="AC181" s="74">
        <f>+AC172/AB172-1</f>
        <v>7.2865195907857228E-2</v>
      </c>
      <c r="AD181" s="74">
        <f t="shared" ref="AD181:BW181" si="580">+AD172/AC172-1</f>
        <v>-0.11968085106382986</v>
      </c>
      <c r="AE181" s="74">
        <f t="shared" si="580"/>
        <v>6.0717706874954036E-2</v>
      </c>
      <c r="AF181" s="74">
        <f t="shared" si="580"/>
        <v>-2.7579020493226802E-2</v>
      </c>
      <c r="AG181" s="74">
        <f t="shared" si="580"/>
        <v>5.0328618374053447E-2</v>
      </c>
      <c r="AH181" s="74">
        <f t="shared" si="580"/>
        <v>0.14793402482570994</v>
      </c>
      <c r="AI181" s="74">
        <f t="shared" si="580"/>
        <v>0.17994371204266035</v>
      </c>
      <c r="AJ181" s="74">
        <f t="shared" si="580"/>
        <v>-0.36749604559491833</v>
      </c>
      <c r="AK181" s="74">
        <f t="shared" si="580"/>
        <v>-0.32395204826929191</v>
      </c>
      <c r="AL181" s="74">
        <f t="shared" si="580"/>
        <v>-7.0342316951441441E-2</v>
      </c>
      <c r="AM181" s="74">
        <f t="shared" si="580"/>
        <v>4.3327227941640789E-2</v>
      </c>
      <c r="AN181" s="74">
        <f t="shared" si="580"/>
        <v>0.31612083055875062</v>
      </c>
      <c r="AO181" s="74">
        <f t="shared" si="580"/>
        <v>0.25835978105882895</v>
      </c>
      <c r="AP181" s="74">
        <f t="shared" si="580"/>
        <v>0.24830031435046429</v>
      </c>
      <c r="AQ181" s="74">
        <f t="shared" si="580"/>
        <v>-2.4889461509179811E-2</v>
      </c>
      <c r="AR181" s="74">
        <f t="shared" si="580"/>
        <v>-2.8287438815651211E-2</v>
      </c>
      <c r="AS181" s="74">
        <f t="shared" si="580"/>
        <v>0.12157359621743558</v>
      </c>
      <c r="AT181" s="74">
        <f t="shared" si="580"/>
        <v>6.2188300774253857E-2</v>
      </c>
      <c r="AU181" s="74">
        <f t="shared" si="580"/>
        <v>6.7963683527885177E-3</v>
      </c>
      <c r="AV181" s="74">
        <f t="shared" si="580"/>
        <v>5.7301865402452856E-2</v>
      </c>
      <c r="AW181" s="74">
        <f t="shared" si="580"/>
        <v>-6.2701042986645916E-2</v>
      </c>
      <c r="AX181" s="74">
        <f t="shared" si="580"/>
        <v>-5.4623924290876924E-2</v>
      </c>
      <c r="AY181" s="74">
        <f t="shared" si="580"/>
        <v>-3.3414003630163447E-2</v>
      </c>
      <c r="AZ181" s="74">
        <f t="shared" si="580"/>
        <v>-9.4944091956639221E-2</v>
      </c>
      <c r="BA181" s="74">
        <f t="shared" si="580"/>
        <v>5.4259666771455661E-2</v>
      </c>
      <c r="BB181" s="74">
        <f t="shared" si="580"/>
        <v>-1.7384303435114434E-2</v>
      </c>
      <c r="BC181" s="74">
        <f t="shared" si="580"/>
        <v>1.532485661396521E-2</v>
      </c>
      <c r="BD181" s="74">
        <f t="shared" si="580"/>
        <v>3.7778707633451036E-2</v>
      </c>
      <c r="BE181" s="74">
        <f t="shared" si="580"/>
        <v>0.10705028512182468</v>
      </c>
      <c r="BF181" s="74">
        <f t="shared" si="580"/>
        <v>0.13884336221025539</v>
      </c>
      <c r="BG181" s="74">
        <f t="shared" si="580"/>
        <v>-8.5823282163743131E-2</v>
      </c>
      <c r="BH181" s="74">
        <f t="shared" si="580"/>
        <v>-0.29590944301456779</v>
      </c>
      <c r="BI181" s="74">
        <f t="shared" si="580"/>
        <v>-0.22795187564325503</v>
      </c>
      <c r="BJ181" s="74">
        <f t="shared" si="580"/>
        <v>-5.4059023627838654E-2</v>
      </c>
      <c r="BK181" s="74">
        <f t="shared" si="580"/>
        <v>-0.12343279230245885</v>
      </c>
      <c r="BL181" s="74">
        <f t="shared" si="580"/>
        <v>-0.24476105998447728</v>
      </c>
      <c r="BM181" s="74">
        <f t="shared" si="580"/>
        <v>-0.13521250825809283</v>
      </c>
      <c r="BN181" s="74">
        <f t="shared" si="580"/>
        <v>6.5529241999830345E-2</v>
      </c>
      <c r="BO181" s="74">
        <f t="shared" si="580"/>
        <v>-9.4798056241536033E-2</v>
      </c>
      <c r="BP181" s="74">
        <f t="shared" si="580"/>
        <v>4.9106749977998687E-2</v>
      </c>
      <c r="BQ181" s="74">
        <f t="shared" si="580"/>
        <v>0.11970472275815802</v>
      </c>
      <c r="BR181" s="74">
        <f t="shared" si="580"/>
        <v>0.1447407851363498</v>
      </c>
      <c r="BS181" s="74">
        <f t="shared" si="580"/>
        <v>6.8520942408377028E-2</v>
      </c>
      <c r="BT181" s="74">
        <f t="shared" si="580"/>
        <v>5.0000000000000044E-2</v>
      </c>
      <c r="BU181" s="74">
        <f t="shared" si="580"/>
        <v>5.0000000000000044E-2</v>
      </c>
      <c r="BV181" s="74">
        <f t="shared" si="580"/>
        <v>5.0000000000000044E-2</v>
      </c>
      <c r="BW181" s="74">
        <f t="shared" si="580"/>
        <v>5.0000000000000044E-2</v>
      </c>
      <c r="BX181" s="74">
        <f t="shared" ref="BX181:CE181" si="581">+BX172/BW172-1</f>
        <v>5.0000000000000044E-2</v>
      </c>
      <c r="BY181" s="74">
        <f t="shared" si="581"/>
        <v>5.0000000000000044E-2</v>
      </c>
      <c r="BZ181" s="74">
        <f t="shared" si="581"/>
        <v>0.10000000000000009</v>
      </c>
      <c r="CA181" s="74">
        <f t="shared" si="581"/>
        <v>0.10000000000000009</v>
      </c>
      <c r="CB181" s="74">
        <f t="shared" si="581"/>
        <v>0.10000000000000009</v>
      </c>
      <c r="CC181" s="74">
        <f t="shared" si="581"/>
        <v>9.9999999999999867E-2</v>
      </c>
      <c r="CD181" s="74">
        <f t="shared" si="581"/>
        <v>5.0000000000000044E-2</v>
      </c>
      <c r="CE181" s="74">
        <f t="shared" si="581"/>
        <v>5.0000000000000044E-2</v>
      </c>
      <c r="CF181" s="4"/>
      <c r="CG181" s="4"/>
      <c r="CH181" s="4"/>
      <c r="CI181" s="4"/>
      <c r="CJ181" s="4"/>
      <c r="CK181" s="4"/>
      <c r="CL181" s="4"/>
      <c r="CM181" s="4"/>
      <c r="CN181" s="240">
        <f t="shared" si="480"/>
        <v>174</v>
      </c>
    </row>
    <row r="182" spans="1:92" hidden="1" outlineLevel="2">
      <c r="A182" s="144"/>
      <c r="B182" s="42" t="s">
        <v>239</v>
      </c>
      <c r="C182" s="72"/>
      <c r="D182" s="74">
        <f>D174/D172</f>
        <v>0.55683587517723776</v>
      </c>
      <c r="E182" s="74">
        <f t="shared" ref="E182:O182" si="582">E174/E172</f>
        <v>0.59111572103015397</v>
      </c>
      <c r="F182" s="74">
        <f t="shared" si="582"/>
        <v>0.50019656596110507</v>
      </c>
      <c r="G182" s="74">
        <f t="shared" si="582"/>
        <v>0.59448885097115722</v>
      </c>
      <c r="H182" s="74">
        <f t="shared" si="582"/>
        <v>0.61554209964827344</v>
      </c>
      <c r="I182" s="74">
        <f t="shared" si="582"/>
        <v>0.58859986198530934</v>
      </c>
      <c r="J182" s="74">
        <f t="shared" si="582"/>
        <v>0.52764640065062218</v>
      </c>
      <c r="K182" s="74">
        <f t="shared" si="582"/>
        <v>0.54960210767194229</v>
      </c>
      <c r="L182" s="74">
        <f t="shared" si="582"/>
        <v>0.45508304730566385</v>
      </c>
      <c r="M182" s="74">
        <f t="shared" si="582"/>
        <v>0.18026765430069297</v>
      </c>
      <c r="N182" s="74">
        <f t="shared" si="582"/>
        <v>0.18363563669369226</v>
      </c>
      <c r="O182" s="74">
        <f t="shared" si="582"/>
        <v>0.24893791253170247</v>
      </c>
      <c r="P182" s="74">
        <f>P174/P172</f>
        <v>0.26713623353619759</v>
      </c>
      <c r="Q182" s="74">
        <f>Q174/Q172</f>
        <v>0.27560253974743099</v>
      </c>
      <c r="R182" s="72"/>
      <c r="S182" s="4"/>
      <c r="T182" s="195"/>
      <c r="U182" s="195"/>
      <c r="V182" s="195"/>
      <c r="W182" s="195"/>
      <c r="X182" s="195"/>
      <c r="Y182" s="195"/>
      <c r="Z182" s="195"/>
      <c r="AA182" s="195"/>
      <c r="AB182" s="195"/>
      <c r="AC182" s="74">
        <f t="shared" ref="AC182:BW182" si="583">AC174/AC172</f>
        <v>0.56265290710581928</v>
      </c>
      <c r="AD182" s="74">
        <f t="shared" si="583"/>
        <v>0.52235665361400696</v>
      </c>
      <c r="AE182" s="74">
        <f t="shared" si="583"/>
        <v>0.5318128599698444</v>
      </c>
      <c r="AF182" s="74">
        <f t="shared" si="583"/>
        <v>0.53915127759892845</v>
      </c>
      <c r="AG182" s="74">
        <f t="shared" si="583"/>
        <v>0.55879403127458549</v>
      </c>
      <c r="AH182" s="74">
        <f t="shared" si="583"/>
        <v>0.60767821068216898</v>
      </c>
      <c r="AI182" s="74">
        <f t="shared" si="583"/>
        <v>0.63746760049886531</v>
      </c>
      <c r="AJ182" s="74">
        <f t="shared" si="583"/>
        <v>0.69180190799128205</v>
      </c>
      <c r="AK182" s="74">
        <f t="shared" si="583"/>
        <v>0.26199046885131178</v>
      </c>
      <c r="AL182" s="74">
        <f t="shared" si="583"/>
        <v>0.48245215319093121</v>
      </c>
      <c r="AM182" s="74">
        <f t="shared" si="583"/>
        <v>0.47058905647765237</v>
      </c>
      <c r="AN182" s="74">
        <f t="shared" si="583"/>
        <v>0.5131750019852982</v>
      </c>
      <c r="AO182" s="74">
        <f t="shared" si="583"/>
        <v>0.59629557774853936</v>
      </c>
      <c r="AP182" s="74">
        <f t="shared" si="583"/>
        <v>0.64435012091838562</v>
      </c>
      <c r="AQ182" s="74">
        <f t="shared" si="583"/>
        <v>0.59495741737030872</v>
      </c>
      <c r="AR182" s="74">
        <f t="shared" si="583"/>
        <v>0.59476165505818734</v>
      </c>
      <c r="AS182" s="74">
        <f t="shared" si="583"/>
        <v>0.62529948936498547</v>
      </c>
      <c r="AT182" s="74">
        <f t="shared" si="583"/>
        <v>0.61209603190470119</v>
      </c>
      <c r="AU182" s="74">
        <f t="shared" si="583"/>
        <v>0.62716622035879266</v>
      </c>
      <c r="AV182" s="74">
        <f t="shared" si="583"/>
        <v>0.57533370997313937</v>
      </c>
      <c r="AW182" s="74">
        <f t="shared" si="583"/>
        <v>0.6349099692448541</v>
      </c>
      <c r="AX182" s="74">
        <f t="shared" si="583"/>
        <v>0.56858872506905822</v>
      </c>
      <c r="AY182" s="74">
        <f t="shared" si="583"/>
        <v>0.57411239844635253</v>
      </c>
      <c r="AZ182" s="74">
        <f t="shared" si="583"/>
        <v>0.53804325262378061</v>
      </c>
      <c r="BA182" s="74">
        <f t="shared" si="583"/>
        <v>0.54395577768066028</v>
      </c>
      <c r="BB182" s="74">
        <f t="shared" si="583"/>
        <v>0.50750953021547429</v>
      </c>
      <c r="BC182" s="74">
        <f t="shared" si="583"/>
        <v>0.5212471885669322</v>
      </c>
      <c r="BD182" s="74">
        <f t="shared" si="583"/>
        <v>0.5321900802309717</v>
      </c>
      <c r="BE182" s="74">
        <f t="shared" si="583"/>
        <v>0.5132629387616493</v>
      </c>
      <c r="BF182" s="74">
        <f t="shared" si="583"/>
        <v>0.59289108578727578</v>
      </c>
      <c r="BG182" s="74">
        <f t="shared" si="583"/>
        <v>0.55226093034545443</v>
      </c>
      <c r="BH182" s="74">
        <f t="shared" si="583"/>
        <v>0.52220079892431848</v>
      </c>
      <c r="BI182" s="74">
        <f t="shared" si="583"/>
        <v>0.43850542810247573</v>
      </c>
      <c r="BJ182" s="74">
        <f t="shared" si="583"/>
        <v>0.42607361406967159</v>
      </c>
      <c r="BK182" s="74">
        <f t="shared" ref="BK182:BQ182" si="584">BK174/BK172</f>
        <v>0.40332613178939647</v>
      </c>
      <c r="BL182" s="74">
        <f t="shared" si="584"/>
        <v>0.21551912959807751</v>
      </c>
      <c r="BM182" s="74">
        <f t="shared" si="584"/>
        <v>0.17601510863942346</v>
      </c>
      <c r="BN182" s="74">
        <f t="shared" si="584"/>
        <v>0.24086620268212913</v>
      </c>
      <c r="BO182" s="74">
        <f t="shared" si="584"/>
        <v>7.5469169272705791E-2</v>
      </c>
      <c r="BP182" s="74">
        <f t="shared" si="584"/>
        <v>9.7288892669286503E-2</v>
      </c>
      <c r="BQ182" s="74">
        <f t="shared" si="584"/>
        <v>0.16960346377190755</v>
      </c>
      <c r="BR182" s="74">
        <f>BR174/BR172</f>
        <v>0.20935287414989789</v>
      </c>
      <c r="BS182" s="74">
        <f>BS174/BS172</f>
        <v>0.23408468375341535</v>
      </c>
      <c r="BT182" s="74">
        <f t="shared" si="583"/>
        <v>0.25424902887873674</v>
      </c>
      <c r="BU182" s="74">
        <f t="shared" si="583"/>
        <v>0.24649499860467744</v>
      </c>
      <c r="BV182" s="74">
        <f t="shared" si="583"/>
        <v>0.24625862641585286</v>
      </c>
      <c r="BW182" s="74">
        <f t="shared" si="583"/>
        <v>0.24911746654882108</v>
      </c>
      <c r="BX182" s="74">
        <f t="shared" ref="BX182:CE182" si="585">BX174/BX172</f>
        <v>0.25360283555811464</v>
      </c>
      <c r="BY182" s="74">
        <f t="shared" si="585"/>
        <v>0.26329962135096036</v>
      </c>
      <c r="BZ182" s="74">
        <f t="shared" si="585"/>
        <v>0.27097706019065559</v>
      </c>
      <c r="CA182" s="74">
        <f t="shared" si="585"/>
        <v>0.27746735198301642</v>
      </c>
      <c r="CB182" s="74">
        <f t="shared" si="585"/>
        <v>0.27585691173887206</v>
      </c>
      <c r="CC182" s="74">
        <f t="shared" si="585"/>
        <v>0.2757661754024216</v>
      </c>
      <c r="CD182" s="74">
        <f t="shared" si="585"/>
        <v>0.27556281452272563</v>
      </c>
      <c r="CE182" s="74">
        <f t="shared" si="585"/>
        <v>0.27528220284584731</v>
      </c>
      <c r="CF182" s="4"/>
      <c r="CG182" s="4"/>
      <c r="CH182" s="4"/>
      <c r="CI182" s="4"/>
      <c r="CJ182" s="4"/>
      <c r="CK182" s="4"/>
      <c r="CL182" s="4"/>
      <c r="CM182" s="4"/>
      <c r="CN182" s="240">
        <f t="shared" si="480"/>
        <v>175</v>
      </c>
    </row>
    <row r="183" spans="1:92" hidden="1" outlineLevel="2">
      <c r="A183" s="144"/>
      <c r="B183" s="42" t="s">
        <v>237</v>
      </c>
      <c r="C183" s="72"/>
      <c r="D183" s="74">
        <f t="shared" ref="D183:O183" si="586">-D175/D172</f>
        <v>0.140730526352109</v>
      </c>
      <c r="E183" s="74">
        <f t="shared" si="586"/>
        <v>0.12302395479737915</v>
      </c>
      <c r="F183" s="74">
        <f t="shared" si="586"/>
        <v>0.14553347511296574</v>
      </c>
      <c r="G183" s="74">
        <f t="shared" si="586"/>
        <v>9.9203525233926323E-2</v>
      </c>
      <c r="H183" s="74">
        <f t="shared" si="586"/>
        <v>7.3566672634425345E-2</v>
      </c>
      <c r="I183" s="74">
        <f t="shared" si="586"/>
        <v>8.1216147215231113E-2</v>
      </c>
      <c r="J183" s="74">
        <f t="shared" si="586"/>
        <v>9.0174387778440779E-2</v>
      </c>
      <c r="K183" s="74">
        <f t="shared" si="586"/>
        <v>7.7571729731627681E-2</v>
      </c>
      <c r="L183" s="74">
        <f t="shared" si="586"/>
        <v>0.11250791771346978</v>
      </c>
      <c r="M183" s="74">
        <f t="shared" si="586"/>
        <v>0.18868209063483735</v>
      </c>
      <c r="N183" s="74">
        <f t="shared" si="586"/>
        <v>8.9712013372783547E-2</v>
      </c>
      <c r="O183" s="74">
        <f t="shared" si="586"/>
        <v>7.1133179490317527E-2</v>
      </c>
      <c r="P183" s="74">
        <f>-P175/P172</f>
        <v>6.1112325592951024E-2</v>
      </c>
      <c r="Q183" s="74">
        <f>-Q175/Q172</f>
        <v>5.5602539747431033E-2</v>
      </c>
      <c r="R183" s="72"/>
      <c r="S183" s="4"/>
      <c r="T183" s="195"/>
      <c r="U183" s="195"/>
      <c r="V183" s="195"/>
      <c r="W183" s="195"/>
      <c r="X183" s="195"/>
      <c r="Y183" s="195"/>
      <c r="Z183" s="195"/>
      <c r="AA183" s="195"/>
      <c r="AB183" s="195"/>
      <c r="AC183" s="74">
        <f t="shared" ref="AC183:BV183" si="587">-AC175/AC172</f>
        <v>0.14162929527395618</v>
      </c>
      <c r="AD183" s="74">
        <f t="shared" si="587"/>
        <v>0.14570791733812463</v>
      </c>
      <c r="AE183" s="74">
        <f t="shared" si="587"/>
        <v>0.13879445079999359</v>
      </c>
      <c r="AF183" s="74">
        <f t="shared" si="587"/>
        <v>0.13023571823330476</v>
      </c>
      <c r="AG183" s="74">
        <f t="shared" si="587"/>
        <v>0.12397002175239534</v>
      </c>
      <c r="AH183" s="74">
        <f t="shared" si="587"/>
        <v>0.11346994524001232</v>
      </c>
      <c r="AI183" s="74">
        <f t="shared" si="587"/>
        <v>0.12535331191517005</v>
      </c>
      <c r="AJ183" s="74">
        <f t="shared" si="587"/>
        <v>0.13857072348826524</v>
      </c>
      <c r="AK183" s="74">
        <f t="shared" si="587"/>
        <v>0.16052842904155318</v>
      </c>
      <c r="AL183" s="74">
        <f t="shared" si="587"/>
        <v>0.14935040368041527</v>
      </c>
      <c r="AM183" s="74">
        <f t="shared" si="587"/>
        <v>0.13703375652002753</v>
      </c>
      <c r="AN183" s="74">
        <f t="shared" si="587"/>
        <v>0.11448128964455953</v>
      </c>
      <c r="AO183" s="74">
        <f t="shared" si="587"/>
        <v>0.10696887258003289</v>
      </c>
      <c r="AP183" s="74">
        <f t="shared" si="587"/>
        <v>9.7074784910655201E-2</v>
      </c>
      <c r="AQ183" s="74">
        <f t="shared" si="587"/>
        <v>8.5032790482227311E-2</v>
      </c>
      <c r="AR183" s="74">
        <f t="shared" si="587"/>
        <v>8.1519589481377108E-2</v>
      </c>
      <c r="AS183" s="74">
        <f t="shared" si="587"/>
        <v>7.0151113645149657E-2</v>
      </c>
      <c r="AT183" s="74">
        <f t="shared" si="587"/>
        <v>6.7348950192638896E-2</v>
      </c>
      <c r="AU183" s="74">
        <f t="shared" si="587"/>
        <v>7.6305661768665767E-2</v>
      </c>
      <c r="AV183" s="74">
        <f t="shared" si="587"/>
        <v>7.8940299309332065E-2</v>
      </c>
      <c r="AW183" s="74">
        <f t="shared" si="587"/>
        <v>7.9909059279432759E-2</v>
      </c>
      <c r="AX183" s="74">
        <f t="shared" si="587"/>
        <v>8.0909279494007419E-2</v>
      </c>
      <c r="AY183" s="74">
        <f t="shared" si="587"/>
        <v>8.5621204318830843E-2</v>
      </c>
      <c r="AZ183" s="74">
        <f t="shared" si="587"/>
        <v>9.3969062117650382E-2</v>
      </c>
      <c r="BA183" s="74">
        <f t="shared" si="587"/>
        <v>9.6198144092874027E-2</v>
      </c>
      <c r="BB183" s="74">
        <f t="shared" si="587"/>
        <v>8.5514567693093957E-2</v>
      </c>
      <c r="BC183" s="74">
        <f t="shared" si="587"/>
        <v>8.5118310570638261E-2</v>
      </c>
      <c r="BD183" s="74">
        <f t="shared" si="587"/>
        <v>8.7342433206030773E-2</v>
      </c>
      <c r="BE183" s="74">
        <f t="shared" si="587"/>
        <v>7.4333726243113352E-2</v>
      </c>
      <c r="BF183" s="74">
        <f t="shared" si="587"/>
        <v>7.6649309471486307E-2</v>
      </c>
      <c r="BG183" s="74">
        <f t="shared" si="587"/>
        <v>7.3213477885372802E-2</v>
      </c>
      <c r="BH183" s="74">
        <f t="shared" si="587"/>
        <v>9.373077017746817E-2</v>
      </c>
      <c r="BI183" s="74">
        <f t="shared" si="587"/>
        <v>0.12385065196935073</v>
      </c>
      <c r="BJ183" s="74">
        <f t="shared" si="587"/>
        <v>0.11758882448856553</v>
      </c>
      <c r="BK183" s="74">
        <f t="shared" ref="BK183:BQ183" si="588">-BK175/BK172</f>
        <v>0.12236371910506331</v>
      </c>
      <c r="BL183" s="74">
        <f t="shared" si="588"/>
        <v>0.19621354345699252</v>
      </c>
      <c r="BM183" s="74">
        <f t="shared" si="588"/>
        <v>0.22779339571182813</v>
      </c>
      <c r="BN183" s="74">
        <f t="shared" si="588"/>
        <v>0.18797048054399493</v>
      </c>
      <c r="BO183" s="74">
        <f t="shared" si="588"/>
        <v>0.13988877677072542</v>
      </c>
      <c r="BP183" s="74">
        <f t="shared" si="588"/>
        <v>0.11146555570091139</v>
      </c>
      <c r="BQ183" s="74">
        <f t="shared" si="588"/>
        <v>9.0190817682605728E-2</v>
      </c>
      <c r="BR183" s="74">
        <f>-BR175/BR172</f>
        <v>7.2834549542568031E-2</v>
      </c>
      <c r="BS183" s="74">
        <f>-BS175/BS172</f>
        <v>8.9232598250873527E-2</v>
      </c>
      <c r="BT183" s="74">
        <f t="shared" si="587"/>
        <v>8.4249028878736712E-2</v>
      </c>
      <c r="BU183" s="74">
        <f t="shared" si="587"/>
        <v>7.1494998604677451E-2</v>
      </c>
      <c r="BV183" s="74">
        <f t="shared" si="587"/>
        <v>6.6258626415852853E-2</v>
      </c>
      <c r="BW183" s="74">
        <f>-BW175/BW172</f>
        <v>6.411746654882107E-2</v>
      </c>
      <c r="BX183" s="74">
        <f t="shared" ref="BX183:CE183" si="589">-BX175/BX172</f>
        <v>6.3602835558114565E-2</v>
      </c>
      <c r="BY183" s="74">
        <f t="shared" si="589"/>
        <v>6.3299621350960261E-2</v>
      </c>
      <c r="BZ183" s="74">
        <f t="shared" si="589"/>
        <v>6.0977060190655609E-2</v>
      </c>
      <c r="CA183" s="74">
        <f t="shared" si="589"/>
        <v>5.7467351983016279E-2</v>
      </c>
      <c r="CB183" s="74">
        <f t="shared" si="589"/>
        <v>5.5856911738871966E-2</v>
      </c>
      <c r="CC183" s="74">
        <f t="shared" si="589"/>
        <v>5.5766175402421569E-2</v>
      </c>
      <c r="CD183" s="74">
        <f t="shared" si="589"/>
        <v>5.556281452272558E-2</v>
      </c>
      <c r="CE183" s="74">
        <f t="shared" si="589"/>
        <v>5.5282202845847249E-2</v>
      </c>
      <c r="CF183" s="4"/>
      <c r="CG183" s="4"/>
      <c r="CH183" s="4"/>
      <c r="CI183" s="4"/>
      <c r="CJ183" s="4"/>
      <c r="CK183" s="4"/>
      <c r="CL183" s="4"/>
      <c r="CM183" s="4"/>
      <c r="CN183" s="240">
        <f t="shared" si="480"/>
        <v>176</v>
      </c>
    </row>
    <row r="184" spans="1:92" hidden="1" outlineLevel="2">
      <c r="A184" s="144"/>
      <c r="B184" s="42" t="s">
        <v>238</v>
      </c>
      <c r="C184" s="72"/>
      <c r="D184" s="74">
        <f>D176/D172</f>
        <v>0.41610534882512862</v>
      </c>
      <c r="E184" s="74">
        <f t="shared" ref="E184:O184" si="590">E176/E172</f>
        <v>0.46809176623277465</v>
      </c>
      <c r="F184" s="74">
        <f t="shared" si="590"/>
        <v>0.35466309084813957</v>
      </c>
      <c r="G184" s="74">
        <f t="shared" si="590"/>
        <v>0.49528532573723089</v>
      </c>
      <c r="H184" s="74">
        <f t="shared" si="590"/>
        <v>0.54197542701384793</v>
      </c>
      <c r="I184" s="74">
        <f t="shared" si="590"/>
        <v>0.50738371477007849</v>
      </c>
      <c r="J184" s="74">
        <f t="shared" si="590"/>
        <v>0.43747201287218135</v>
      </c>
      <c r="K184" s="74">
        <f t="shared" si="590"/>
        <v>0.47203037794031449</v>
      </c>
      <c r="L184" s="74">
        <f t="shared" si="590"/>
        <v>0.34257512959219399</v>
      </c>
      <c r="M184" s="74">
        <f t="shared" si="590"/>
        <v>-8.4144363341443467E-3</v>
      </c>
      <c r="N184" s="74">
        <f t="shared" si="590"/>
        <v>9.3923623320908645E-2</v>
      </c>
      <c r="O184" s="74">
        <f t="shared" si="590"/>
        <v>0.17780473304138514</v>
      </c>
      <c r="P184" s="74">
        <f>P176/P172</f>
        <v>0.20602390794324663</v>
      </c>
      <c r="Q184" s="74">
        <f>Q176/Q172</f>
        <v>0.22000000000000008</v>
      </c>
      <c r="R184" s="72"/>
      <c r="S184" s="4"/>
      <c r="T184" s="195"/>
      <c r="U184" s="195"/>
      <c r="V184" s="195"/>
      <c r="W184" s="195"/>
      <c r="X184" s="195"/>
      <c r="Y184" s="195"/>
      <c r="Z184" s="195"/>
      <c r="AA184" s="195"/>
      <c r="AB184" s="195"/>
      <c r="AC184" s="74">
        <f>AC176/AC172</f>
        <v>0.42102361183186304</v>
      </c>
      <c r="AD184" s="74">
        <f t="shared" ref="AD184:BW184" si="591">AD176/AD172</f>
        <v>0.37664873627588236</v>
      </c>
      <c r="AE184" s="74">
        <f t="shared" si="591"/>
        <v>0.39301840916985081</v>
      </c>
      <c r="AF184" s="74">
        <f t="shared" si="591"/>
        <v>0.40891555936562368</v>
      </c>
      <c r="AG184" s="74">
        <f t="shared" si="591"/>
        <v>0.43482400952219014</v>
      </c>
      <c r="AH184" s="74">
        <f t="shared" si="591"/>
        <v>0.49420826544215662</v>
      </c>
      <c r="AI184" s="74">
        <f t="shared" si="591"/>
        <v>0.51211428858369523</v>
      </c>
      <c r="AJ184" s="74">
        <f t="shared" si="591"/>
        <v>0.55323118450301678</v>
      </c>
      <c r="AK184" s="74">
        <f t="shared" si="591"/>
        <v>0.10146203980975864</v>
      </c>
      <c r="AL184" s="74">
        <f t="shared" si="591"/>
        <v>0.33310174951051597</v>
      </c>
      <c r="AM184" s="74">
        <f t="shared" si="591"/>
        <v>0.33355529995762478</v>
      </c>
      <c r="AN184" s="74">
        <f t="shared" si="591"/>
        <v>0.39869371234073869</v>
      </c>
      <c r="AO184" s="74">
        <f t="shared" si="591"/>
        <v>0.48932670516850646</v>
      </c>
      <c r="AP184" s="74">
        <f t="shared" si="591"/>
        <v>0.54727533600773037</v>
      </c>
      <c r="AQ184" s="74">
        <f t="shared" si="591"/>
        <v>0.50992462688808138</v>
      </c>
      <c r="AR184" s="74">
        <f t="shared" si="591"/>
        <v>0.51324206557681018</v>
      </c>
      <c r="AS184" s="74">
        <f t="shared" si="591"/>
        <v>0.55514837571983577</v>
      </c>
      <c r="AT184" s="74">
        <f t="shared" si="591"/>
        <v>0.54474708171206232</v>
      </c>
      <c r="AU184" s="74">
        <f t="shared" si="591"/>
        <v>0.55086055859012684</v>
      </c>
      <c r="AV184" s="74">
        <f t="shared" si="591"/>
        <v>0.49639341066380732</v>
      </c>
      <c r="AW184" s="74">
        <f t="shared" si="591"/>
        <v>0.55500090996542129</v>
      </c>
      <c r="AX184" s="74">
        <f t="shared" si="591"/>
        <v>0.48767944557505077</v>
      </c>
      <c r="AY184" s="74">
        <f t="shared" si="591"/>
        <v>0.48849119412752168</v>
      </c>
      <c r="AZ184" s="74">
        <f t="shared" si="591"/>
        <v>0.44407419050613023</v>
      </c>
      <c r="BA184" s="74">
        <f t="shared" si="591"/>
        <v>0.44775763358778631</v>
      </c>
      <c r="BB184" s="74">
        <f t="shared" si="591"/>
        <v>0.42199496252238033</v>
      </c>
      <c r="BC184" s="74">
        <f t="shared" si="591"/>
        <v>0.43612887799629391</v>
      </c>
      <c r="BD184" s="74">
        <f t="shared" si="591"/>
        <v>0.44484764702494095</v>
      </c>
      <c r="BE184" s="74">
        <f t="shared" si="591"/>
        <v>0.43892921251853584</v>
      </c>
      <c r="BF184" s="74">
        <f t="shared" si="591"/>
        <v>0.51624177631578949</v>
      </c>
      <c r="BG184" s="74">
        <f t="shared" si="591"/>
        <v>0.47904745246008162</v>
      </c>
      <c r="BH184" s="74">
        <f t="shared" si="591"/>
        <v>0.42847002874685031</v>
      </c>
      <c r="BI184" s="74">
        <f t="shared" si="591"/>
        <v>0.31465477613312492</v>
      </c>
      <c r="BJ184" s="74">
        <f t="shared" si="591"/>
        <v>0.30848478958110609</v>
      </c>
      <c r="BK184" s="74">
        <f t="shared" ref="BK184:BQ184" si="592">BK176/BK172</f>
        <v>0.28096241268433314</v>
      </c>
      <c r="BL184" s="74">
        <f t="shared" si="592"/>
        <v>1.9305586141084925E-2</v>
      </c>
      <c r="BM184" s="74">
        <f t="shared" si="592"/>
        <v>-5.1778287072404741E-2</v>
      </c>
      <c r="BN184" s="74">
        <f t="shared" si="592"/>
        <v>5.2895722138134212E-2</v>
      </c>
      <c r="BO184" s="74">
        <f t="shared" si="592"/>
        <v>-6.4419607498019671E-2</v>
      </c>
      <c r="BP184" s="74">
        <f t="shared" si="592"/>
        <v>-1.4176663031624905E-2</v>
      </c>
      <c r="BQ184" s="74">
        <f t="shared" si="592"/>
        <v>7.9412646089301833E-2</v>
      </c>
      <c r="BR184" s="74">
        <f>BR176/BR172</f>
        <v>0.13651832460732985</v>
      </c>
      <c r="BS184" s="74">
        <f>BS176/BS172</f>
        <v>0.14485208550254181</v>
      </c>
      <c r="BT184" s="74">
        <f t="shared" si="591"/>
        <v>0.17</v>
      </c>
      <c r="BU184" s="74">
        <f t="shared" si="591"/>
        <v>0.17500000000000002</v>
      </c>
      <c r="BV184" s="74">
        <f t="shared" si="591"/>
        <v>0.18000000000000002</v>
      </c>
      <c r="BW184" s="74">
        <f t="shared" si="591"/>
        <v>0.18500000000000003</v>
      </c>
      <c r="BX184" s="74">
        <f t="shared" ref="BX184:CE184" si="593">BX176/BX172</f>
        <v>0.19000000000000003</v>
      </c>
      <c r="BY184" s="74">
        <f t="shared" si="593"/>
        <v>0.20000000000000004</v>
      </c>
      <c r="BZ184" s="74">
        <f t="shared" si="593"/>
        <v>0.21000000000000005</v>
      </c>
      <c r="CA184" s="74">
        <f t="shared" si="593"/>
        <v>0.22000000000000006</v>
      </c>
      <c r="CB184" s="74">
        <f t="shared" si="593"/>
        <v>0.22000000000000006</v>
      </c>
      <c r="CC184" s="74">
        <f t="shared" si="593"/>
        <v>0.22000000000000006</v>
      </c>
      <c r="CD184" s="74">
        <f t="shared" si="593"/>
        <v>0.22000000000000006</v>
      </c>
      <c r="CE184" s="74">
        <f t="shared" si="593"/>
        <v>0.22000000000000006</v>
      </c>
      <c r="CF184" s="4"/>
      <c r="CG184" s="4"/>
      <c r="CH184" s="4"/>
      <c r="CI184" s="4"/>
      <c r="CJ184" s="4"/>
      <c r="CK184" s="4"/>
      <c r="CL184" s="4"/>
      <c r="CM184" s="4"/>
      <c r="CN184" s="240">
        <f t="shared" si="480"/>
        <v>177</v>
      </c>
    </row>
    <row r="185" spans="1:92" hidden="1" outlineLevel="2">
      <c r="A185" s="144"/>
      <c r="B185" s="42" t="s">
        <v>240</v>
      </c>
      <c r="C185" s="72"/>
      <c r="D185" s="74">
        <f>+D178/D172</f>
        <v>0.25934615850807774</v>
      </c>
      <c r="E185" s="74">
        <f t="shared" ref="E185:O185" si="594">+E178/E172</f>
        <v>0.27877237851662401</v>
      </c>
      <c r="F185" s="74">
        <f t="shared" si="594"/>
        <v>-2.1937646664431786E-2</v>
      </c>
      <c r="G185" s="74">
        <f t="shared" si="594"/>
        <v>0.26671585829379413</v>
      </c>
      <c r="H185" s="74">
        <f t="shared" si="594"/>
        <v>0.35388387414905415</v>
      </c>
      <c r="I185" s="74">
        <f t="shared" si="594"/>
        <v>0.30403687221869041</v>
      </c>
      <c r="J185" s="74">
        <f t="shared" si="594"/>
        <v>0.19902547872219312</v>
      </c>
      <c r="K185" s="74">
        <f t="shared" si="594"/>
        <v>0.27084023548000713</v>
      </c>
      <c r="L185" s="74">
        <f t="shared" si="594"/>
        <v>-2.6686392537296582E-2</v>
      </c>
      <c r="M185" s="74">
        <f t="shared" si="594"/>
        <v>-0.52759529602595301</v>
      </c>
      <c r="N185" s="74">
        <f t="shared" si="594"/>
        <v>-0.21499402208312818</v>
      </c>
      <c r="O185" s="74">
        <f t="shared" si="594"/>
        <v>-6.4571945138576975E-2</v>
      </c>
      <c r="P185" s="74">
        <f>+P178/P172</f>
        <v>-9.3026854639974999E-3</v>
      </c>
      <c r="Q185" s="74">
        <f>+Q178/Q172</f>
        <v>2.3780069521435299E-2</v>
      </c>
      <c r="R185" s="72"/>
      <c r="S185" s="4"/>
      <c r="T185" s="195"/>
      <c r="U185" s="195"/>
      <c r="V185" s="195"/>
      <c r="W185" s="195"/>
      <c r="X185" s="195"/>
      <c r="Y185" s="195"/>
      <c r="Z185" s="195"/>
      <c r="AA185" s="195"/>
      <c r="AB185" s="195"/>
      <c r="AC185" s="74">
        <f>+AC178/AC172</f>
        <v>0.27555786196159837</v>
      </c>
      <c r="AD185" s="74">
        <f t="shared" ref="AD185:BW185" si="595">+AD178/AD172</f>
        <v>0.2036327462972515</v>
      </c>
      <c r="AE185" s="74">
        <f t="shared" si="595"/>
        <v>0.22198680097255993</v>
      </c>
      <c r="AF185" s="74">
        <f t="shared" si="595"/>
        <v>0.2092441777396771</v>
      </c>
      <c r="AG185" s="74">
        <f t="shared" si="595"/>
        <v>0.23002890664852915</v>
      </c>
      <c r="AH185" s="74">
        <f t="shared" si="595"/>
        <v>0.30611761220559913</v>
      </c>
      <c r="AI185" s="74">
        <f t="shared" si="595"/>
        <v>0.34045544703607927</v>
      </c>
      <c r="AJ185" s="74">
        <f t="shared" si="595"/>
        <v>0.14711019371228962</v>
      </c>
      <c r="AK185" s="74">
        <f t="shared" si="595"/>
        <v>-9.4885796488755808E-2</v>
      </c>
      <c r="AL185" s="74">
        <f t="shared" si="595"/>
        <v>-0.11179182719636203</v>
      </c>
      <c r="AM185" s="74">
        <f t="shared" si="595"/>
        <v>-0.11840910466735276</v>
      </c>
      <c r="AN185" s="74">
        <f t="shared" si="595"/>
        <v>8.7852444689756684E-2</v>
      </c>
      <c r="AO185" s="74">
        <f t="shared" si="595"/>
        <v>0.24267124789823818</v>
      </c>
      <c r="AP185" s="74">
        <f t="shared" si="595"/>
        <v>0.35181985886211237</v>
      </c>
      <c r="AQ185" s="74">
        <f t="shared" si="595"/>
        <v>0.3159664874928681</v>
      </c>
      <c r="AR185" s="74">
        <f t="shared" si="595"/>
        <v>0.30702432089990422</v>
      </c>
      <c r="AS185" s="74">
        <f t="shared" si="595"/>
        <v>0.36243903783098669</v>
      </c>
      <c r="AT185" s="74">
        <f t="shared" si="595"/>
        <v>0.36630350194552536</v>
      </c>
      <c r="AU185" s="74">
        <f t="shared" si="595"/>
        <v>0.37261671647943939</v>
      </c>
      <c r="AV185" s="74">
        <f t="shared" si="595"/>
        <v>0.3407983234233356</v>
      </c>
      <c r="AW185" s="74">
        <f t="shared" si="595"/>
        <v>0.32610560798689647</v>
      </c>
      <c r="AX185" s="74">
        <f t="shared" si="595"/>
        <v>0.27512238050712279</v>
      </c>
      <c r="AY185" s="74">
        <f t="shared" si="595"/>
        <v>0.26687910774746071</v>
      </c>
      <c r="AZ185" s="74">
        <f t="shared" si="595"/>
        <v>0.19673058786545111</v>
      </c>
      <c r="BA185" s="74">
        <f t="shared" si="595"/>
        <v>0.21114623091603055</v>
      </c>
      <c r="BB185" s="74">
        <f t="shared" si="595"/>
        <v>0.18274512184019664</v>
      </c>
      <c r="BC185" s="74">
        <f t="shared" si="595"/>
        <v>0.20509295235818042</v>
      </c>
      <c r="BD185" s="74">
        <f t="shared" si="595"/>
        <v>0.21476297448303669</v>
      </c>
      <c r="BE185" s="74">
        <f t="shared" si="595"/>
        <v>0.23408517391191236</v>
      </c>
      <c r="BF185" s="74">
        <f t="shared" si="595"/>
        <v>0.33659996345029236</v>
      </c>
      <c r="BG185" s="74">
        <f t="shared" si="595"/>
        <v>0.28286563882155991</v>
      </c>
      <c r="BH185" s="74">
        <f t="shared" si="595"/>
        <v>0.13865919011960109</v>
      </c>
      <c r="BI185" s="74">
        <f t="shared" si="595"/>
        <v>-6.7022156844718211E-2</v>
      </c>
      <c r="BJ185" s="74">
        <f t="shared" si="595"/>
        <v>-8.9901836913208286E-2</v>
      </c>
      <c r="BK185" s="74">
        <f t="shared" ref="BK185:BQ185" si="596">+BK178/BK172</f>
        <v>-0.16420889233839672</v>
      </c>
      <c r="BL185" s="74">
        <f t="shared" si="596"/>
        <v>-0.487117375027527</v>
      </c>
      <c r="BM185" s="74">
        <f t="shared" si="596"/>
        <v>-0.60801290213054915</v>
      </c>
      <c r="BN185" s="74">
        <f t="shared" si="596"/>
        <v>-0.44140842826415994</v>
      </c>
      <c r="BO185" s="74">
        <f t="shared" si="596"/>
        <v>-0.58796092581184545</v>
      </c>
      <c r="BP185" s="74">
        <f t="shared" si="596"/>
        <v>-0.43796661353913263</v>
      </c>
      <c r="BQ185" s="74">
        <f t="shared" si="596"/>
        <v>-0.25014983518130057</v>
      </c>
      <c r="BR185" s="74">
        <f>+BR178/BR172</f>
        <v>-0.13494764397905759</v>
      </c>
      <c r="BS185" s="74">
        <f>+BS178/BS172</f>
        <v>-9.8364672015679541E-2</v>
      </c>
      <c r="BT185" s="74">
        <f t="shared" si="595"/>
        <v>-6.1252649110151221E-2</v>
      </c>
      <c r="BU185" s="74">
        <f t="shared" si="595"/>
        <v>-6.8623902070064316E-2</v>
      </c>
      <c r="BV185" s="74">
        <f t="shared" si="595"/>
        <v>-7.2647353241493962E-2</v>
      </c>
      <c r="BW185" s="74">
        <f t="shared" si="595"/>
        <v>-5.6073168606364923E-2</v>
      </c>
      <c r="BX185" s="74">
        <f t="shared" ref="BX185:CE185" si="597">+BX178/BX172</f>
        <v>-4.0226243084343576E-2</v>
      </c>
      <c r="BY185" s="74">
        <f t="shared" si="597"/>
        <v>-1.981417573410417E-2</v>
      </c>
      <c r="BZ185" s="74">
        <f t="shared" si="597"/>
        <v>9.7107834729827543E-3</v>
      </c>
      <c r="CA185" s="74">
        <f t="shared" si="597"/>
        <v>6.4392002359205521E-3</v>
      </c>
      <c r="CB185" s="74">
        <f t="shared" si="597"/>
        <v>-1.662354367665103E-3</v>
      </c>
      <c r="CC185" s="74">
        <f t="shared" si="597"/>
        <v>2.0091490102949965E-2</v>
      </c>
      <c r="CD185" s="74">
        <f t="shared" si="597"/>
        <v>3.1006818394468762E-2</v>
      </c>
      <c r="CE185" s="74">
        <f t="shared" si="597"/>
        <v>4.1222218604989709E-2</v>
      </c>
      <c r="CF185" s="4"/>
      <c r="CG185" s="4"/>
      <c r="CH185" s="4"/>
      <c r="CI185" s="4"/>
      <c r="CJ185" s="4"/>
      <c r="CK185" s="4"/>
      <c r="CL185" s="4"/>
      <c r="CM185" s="4"/>
      <c r="CN185" s="240">
        <f t="shared" si="480"/>
        <v>178</v>
      </c>
    </row>
    <row r="186" spans="1:92" hidden="1" outlineLevel="2">
      <c r="A186" s="144"/>
      <c r="B186" s="45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4"/>
      <c r="T186" s="195"/>
      <c r="U186" s="195"/>
      <c r="V186" s="195"/>
      <c r="W186" s="195"/>
      <c r="X186" s="195"/>
      <c r="Y186" s="195"/>
      <c r="Z186" s="195"/>
      <c r="AA186" s="195"/>
      <c r="AB186" s="195"/>
      <c r="AC186" s="195"/>
      <c r="AD186" s="195"/>
      <c r="AE186" s="195"/>
      <c r="AF186" s="195"/>
      <c r="AG186" s="195"/>
      <c r="AH186" s="195"/>
      <c r="AI186" s="195"/>
      <c r="AJ186" s="195"/>
      <c r="AK186" s="195"/>
      <c r="AL186" s="195"/>
      <c r="AM186" s="195"/>
      <c r="AN186" s="195"/>
      <c r="AO186" s="195"/>
      <c r="AP186" s="195"/>
      <c r="AQ186" s="195"/>
      <c r="AR186" s="195"/>
      <c r="AS186" s="195"/>
      <c r="AT186" s="195"/>
      <c r="AU186" s="195"/>
      <c r="AV186" s="195"/>
      <c r="AW186" s="195"/>
      <c r="AX186" s="195"/>
      <c r="AY186" s="195"/>
      <c r="AZ186" s="195"/>
      <c r="BA186" s="195"/>
      <c r="BB186" s="195"/>
      <c r="BC186" s="195"/>
      <c r="BD186" s="195"/>
      <c r="BE186" s="195"/>
      <c r="BF186" s="195"/>
      <c r="BG186" s="195"/>
      <c r="BH186" s="195"/>
      <c r="BI186" s="195"/>
      <c r="BJ186" s="56"/>
      <c r="BK186" s="56"/>
      <c r="BL186" s="56"/>
      <c r="BM186" s="56"/>
      <c r="BN186" s="56"/>
      <c r="BO186" s="56"/>
      <c r="BP186" s="56"/>
      <c r="BQ186" s="56"/>
      <c r="BR186" s="56"/>
      <c r="BS186" s="56"/>
      <c r="BT186" s="56"/>
      <c r="BU186" s="56"/>
      <c r="BV186" s="56"/>
      <c r="BW186" s="56"/>
      <c r="BX186" s="56"/>
      <c r="BY186" s="56"/>
      <c r="BZ186" s="56"/>
      <c r="CA186" s="56"/>
      <c r="CB186" s="56"/>
      <c r="CC186" s="56"/>
      <c r="CD186" s="56"/>
      <c r="CE186" s="56"/>
      <c r="CF186" s="4"/>
      <c r="CG186" s="4"/>
      <c r="CH186" s="4"/>
      <c r="CI186" s="4"/>
      <c r="CJ186" s="4"/>
      <c r="CK186" s="4"/>
      <c r="CL186" s="4"/>
      <c r="CM186" s="4"/>
      <c r="CN186" s="240">
        <f t="shared" si="480"/>
        <v>179</v>
      </c>
    </row>
    <row r="187" spans="1:92" hidden="1" outlineLevel="2">
      <c r="A187" s="144"/>
      <c r="B187" s="45" t="s">
        <v>150</v>
      </c>
      <c r="C187" s="195">
        <v>-28.902000000000001</v>
      </c>
      <c r="D187" s="72">
        <f>SUMIF($T$5:$BT$5,D$5,$T187:$BT187)</f>
        <v>-35.137999999999998</v>
      </c>
      <c r="E187" s="72">
        <f>SUMIF($T$5:$BT$5,E$5,$T187:$BT187)</f>
        <v>-42.238</v>
      </c>
      <c r="F187" s="72">
        <f>SUMIF($T$5:$BT$5,F$5,$T187:$BT187)</f>
        <v>-19.22</v>
      </c>
      <c r="G187" s="72">
        <f t="shared" ref="G187:Q187" si="598">SUMIF($T$5:$CF$5,G$5,$T187:$CF187)</f>
        <v>-23.012</v>
      </c>
      <c r="H187" s="72">
        <f t="shared" si="598"/>
        <v>-42.837000000000003</v>
      </c>
      <c r="I187" s="72">
        <f t="shared" si="598"/>
        <v>-46.052999999999997</v>
      </c>
      <c r="J187" s="72">
        <f t="shared" si="598"/>
        <v>-32.25</v>
      </c>
      <c r="K187" s="72">
        <f t="shared" si="598"/>
        <v>-27.148</v>
      </c>
      <c r="L187" s="72">
        <f t="shared" si="598"/>
        <v>-11.055</v>
      </c>
      <c r="M187" s="72">
        <f t="shared" si="598"/>
        <v>-2.9279999999999999</v>
      </c>
      <c r="N187" s="72">
        <f t="shared" si="598"/>
        <v>-9.9489999999999998</v>
      </c>
      <c r="O187" s="72">
        <f t="shared" si="598"/>
        <v>-21.050484034431832</v>
      </c>
      <c r="P187" s="72">
        <f t="shared" si="598"/>
        <v>-29.19652677033589</v>
      </c>
      <c r="Q187" s="72">
        <f t="shared" si="598"/>
        <v>-17.279468830213776</v>
      </c>
      <c r="R187" s="72"/>
      <c r="S187" s="4"/>
      <c r="T187" s="195"/>
      <c r="U187" s="195"/>
      <c r="V187" s="195"/>
      <c r="W187" s="195"/>
      <c r="X187" s="195"/>
      <c r="Y187" s="195"/>
      <c r="Z187" s="195"/>
      <c r="AA187" s="195"/>
      <c r="AB187" s="195">
        <v>-14.026999999999999</v>
      </c>
      <c r="AC187" s="195">
        <f>-25.123-AB187</f>
        <v>-11.096000000000002</v>
      </c>
      <c r="AD187" s="195">
        <f>-30.018-AC187-AB187</f>
        <v>-4.8949999999999978</v>
      </c>
      <c r="AE187" s="195">
        <f>-35.138-AD187-AC187-AB187</f>
        <v>-5.1199999999999992</v>
      </c>
      <c r="AF187" s="195">
        <v>-16.006</v>
      </c>
      <c r="AG187" s="195">
        <f>-23.291-AF187</f>
        <v>-7.2850000000000001</v>
      </c>
      <c r="AH187" s="195">
        <f>-30.314-AG187-AF187</f>
        <v>-7.0229999999999997</v>
      </c>
      <c r="AI187" s="195">
        <f>-42.238-AH187-AG187-AF187</f>
        <v>-11.924000000000003</v>
      </c>
      <c r="AJ187" s="195">
        <v>-3.3740000000000001</v>
      </c>
      <c r="AK187" s="195">
        <f>-11.469-AJ187</f>
        <v>-8.0949999999999989</v>
      </c>
      <c r="AL187" s="195">
        <f>-17.658-AK187-AJ187</f>
        <v>-6.1890000000000018</v>
      </c>
      <c r="AM187" s="195">
        <f>-19.22-AL187-AK187-AJ187</f>
        <v>-1.5619999999999981</v>
      </c>
      <c r="AN187" s="195">
        <v>-1.5109999999999999</v>
      </c>
      <c r="AO187" s="195">
        <f>-7.828-AN187</f>
        <v>-6.3170000000000002</v>
      </c>
      <c r="AP187" s="195">
        <f>-17.025-AO187-AN187</f>
        <v>-9.1969999999999992</v>
      </c>
      <c r="AQ187" s="195">
        <f>-23.012-AP187-AO187-AN187</f>
        <v>-5.987000000000001</v>
      </c>
      <c r="AR187" s="195">
        <v>-9.7189999999999994</v>
      </c>
      <c r="AS187" s="195">
        <f>-18.625-AR187</f>
        <v>-8.9060000000000006</v>
      </c>
      <c r="AT187" s="195">
        <f>-30.174-AS187-AR187</f>
        <v>-11.549000000000001</v>
      </c>
      <c r="AU187" s="195">
        <f>-42.837-AT187-AS187-AR187</f>
        <v>-12.663000000000006</v>
      </c>
      <c r="AV187" s="195">
        <v>-17.638999999999999</v>
      </c>
      <c r="AW187" s="195">
        <f>-32.62-AV187</f>
        <v>-14.980999999999998</v>
      </c>
      <c r="AX187" s="195">
        <f>-40.668-AW187-AV187</f>
        <v>-8.0480000000000018</v>
      </c>
      <c r="AY187" s="195">
        <f>-46.053-AX187-AW187-AV187</f>
        <v>-5.384999999999998</v>
      </c>
      <c r="AZ187" s="195">
        <v>-8.48</v>
      </c>
      <c r="BA187" s="195">
        <f>-21.626-AZ187</f>
        <v>-13.146000000000001</v>
      </c>
      <c r="BB187" s="195">
        <f>-29.104-BA187-AZ187</f>
        <v>-7.477999999999998</v>
      </c>
      <c r="BC187" s="195">
        <f>-32.25-BB187-BA187-AZ187</f>
        <v>-3.1460000000000008</v>
      </c>
      <c r="BD187" s="195">
        <v>-9.9730000000000008</v>
      </c>
      <c r="BE187" s="195">
        <f>-19.417-BD187</f>
        <v>-9.4440000000000008</v>
      </c>
      <c r="BF187" s="195">
        <f>-23.36-BD187-BE187</f>
        <v>-3.9429999999999978</v>
      </c>
      <c r="BG187" s="195">
        <f>-27.148-BF187-BE187-BD187</f>
        <v>-3.7880000000000003</v>
      </c>
      <c r="BH187" s="195">
        <v>-6.5830000000000002</v>
      </c>
      <c r="BI187" s="195">
        <f>-8.256-BH187</f>
        <v>-1.673</v>
      </c>
      <c r="BJ187" s="195">
        <f>-9.732-BI187-BH187</f>
        <v>-1.4759999999999991</v>
      </c>
      <c r="BK187" s="195">
        <f>-11.055-BJ187-BI187-BH187</f>
        <v>-1.3230000000000004</v>
      </c>
      <c r="BL187" s="195">
        <v>-0.85799999999999998</v>
      </c>
      <c r="BM187" s="195">
        <f>-1.557-BL187</f>
        <v>-0.69899999999999995</v>
      </c>
      <c r="BN187" s="195">
        <f>-1.953-BM187-BL187</f>
        <v>-0.39600000000000002</v>
      </c>
      <c r="BO187" s="195">
        <f>-2.928-BN187-BM187-BL187</f>
        <v>-0.9750000000000002</v>
      </c>
      <c r="BP187" s="195">
        <v>-1.909</v>
      </c>
      <c r="BQ187" s="195">
        <f>-5.165-BP187</f>
        <v>-3.2560000000000002</v>
      </c>
      <c r="BR187" s="195">
        <f>-7.669-BQ187-BP187</f>
        <v>-2.5039999999999996</v>
      </c>
      <c r="BS187" s="195">
        <f>-9.949-BR187-BQ187-BP187</f>
        <v>-2.2800000000000002</v>
      </c>
      <c r="BT187" s="80">
        <f t="shared" ref="BT187:CE187" si="599">SUM(BP187:BS187)/SUM(BP$242:BS$242)*BT$242</f>
        <v>-7.2045351313516397</v>
      </c>
      <c r="BU187" s="80">
        <f t="shared" si="599"/>
        <v>-6.8392058810610212</v>
      </c>
      <c r="BV187" s="80">
        <f t="shared" si="599"/>
        <v>-3.4161148191775808</v>
      </c>
      <c r="BW187" s="80">
        <f t="shared" si="599"/>
        <v>-3.5906282028415935</v>
      </c>
      <c r="BX187" s="80">
        <f t="shared" si="599"/>
        <v>-3.7596893962634255</v>
      </c>
      <c r="BY187" s="80">
        <f t="shared" si="599"/>
        <v>-3.6682251362551659</v>
      </c>
      <c r="BZ187" s="80">
        <f t="shared" si="599"/>
        <v>-10.675224809067371</v>
      </c>
      <c r="CA187" s="80">
        <f t="shared" si="599"/>
        <v>-11.093387428749928</v>
      </c>
      <c r="CB187" s="80">
        <f t="shared" si="599"/>
        <v>-4.3310981863119826</v>
      </c>
      <c r="CC187" s="80">
        <f t="shared" si="599"/>
        <v>-4.3156578416189637</v>
      </c>
      <c r="CD187" s="80">
        <f t="shared" si="599"/>
        <v>-4.3116798366483629</v>
      </c>
      <c r="CE187" s="80">
        <f t="shared" si="599"/>
        <v>-4.3210329656344664</v>
      </c>
      <c r="CF187" s="4"/>
      <c r="CG187" s="4"/>
      <c r="CH187" s="4"/>
      <c r="CI187" s="4"/>
      <c r="CJ187" s="4"/>
      <c r="CK187" s="4"/>
      <c r="CL187" s="4"/>
      <c r="CM187" s="4"/>
      <c r="CN187" s="240">
        <f t="shared" si="480"/>
        <v>180</v>
      </c>
    </row>
    <row r="188" spans="1:92" hidden="1" outlineLevel="2">
      <c r="A188" s="144"/>
      <c r="B188" s="45" t="s">
        <v>184</v>
      </c>
      <c r="C188" s="195">
        <v>125.627</v>
      </c>
      <c r="D188" s="72">
        <f>AE188</f>
        <v>168.02699999999999</v>
      </c>
      <c r="E188" s="72">
        <f>AI188</f>
        <v>181.99100000000001</v>
      </c>
      <c r="F188" s="72">
        <f>AM188</f>
        <v>144.905</v>
      </c>
      <c r="G188" s="72">
        <f>AQ188</f>
        <v>158.577</v>
      </c>
      <c r="H188" s="72">
        <f>AU188</f>
        <v>177.97399999999999</v>
      </c>
      <c r="I188" s="72">
        <f>AY188</f>
        <v>175.61099999999999</v>
      </c>
      <c r="J188" s="72">
        <f>BC188</f>
        <v>202.24299999999999</v>
      </c>
      <c r="K188" s="72">
        <f>BG188</f>
        <v>157.68799999999999</v>
      </c>
      <c r="L188" s="72">
        <f>BK188</f>
        <v>108.262</v>
      </c>
      <c r="M188" s="72">
        <f>BO188</f>
        <v>76.876000000000005</v>
      </c>
      <c r="N188" s="72">
        <f>BS188</f>
        <v>75.567999999999998</v>
      </c>
      <c r="O188" s="72">
        <f>BW188</f>
        <v>78.709275787376086</v>
      </c>
      <c r="P188" s="72">
        <f>BX188</f>
        <v>77.671545478078997</v>
      </c>
      <c r="Q188" s="72">
        <f>BY188</f>
        <v>76.530293265854368</v>
      </c>
      <c r="R188" s="72"/>
      <c r="S188" s="4"/>
      <c r="T188" s="195"/>
      <c r="U188" s="195"/>
      <c r="V188" s="195"/>
      <c r="W188" s="195"/>
      <c r="X188" s="195"/>
      <c r="Y188" s="195"/>
      <c r="Z188" s="195"/>
      <c r="AA188" s="195"/>
      <c r="AB188" s="195">
        <v>132.74</v>
      </c>
      <c r="AC188" s="195">
        <v>144.94300000000001</v>
      </c>
      <c r="AD188" s="195">
        <v>158.35</v>
      </c>
      <c r="AE188" s="195">
        <v>168.02699999999999</v>
      </c>
      <c r="AF188" s="195">
        <v>167.798</v>
      </c>
      <c r="AG188" s="195">
        <v>178.63300000000001</v>
      </c>
      <c r="AH188" s="195">
        <v>197.601</v>
      </c>
      <c r="AI188" s="195">
        <v>181.99100000000001</v>
      </c>
      <c r="AJ188" s="195">
        <v>182.84800000000001</v>
      </c>
      <c r="AK188" s="195">
        <v>167.624</v>
      </c>
      <c r="AL188" s="195">
        <v>147.46100000000001</v>
      </c>
      <c r="AM188" s="195">
        <v>144.905</v>
      </c>
      <c r="AN188" s="195">
        <v>143.63200000000001</v>
      </c>
      <c r="AO188" s="195">
        <v>147.95599999999999</v>
      </c>
      <c r="AP188" s="195">
        <v>155.92099999999999</v>
      </c>
      <c r="AQ188" s="195">
        <v>158.577</v>
      </c>
      <c r="AR188" s="195">
        <v>159.477</v>
      </c>
      <c r="AS188" s="195">
        <v>160.49299999999999</v>
      </c>
      <c r="AT188" s="195">
        <v>169.453</v>
      </c>
      <c r="AU188" s="195">
        <v>177.97399999999999</v>
      </c>
      <c r="AV188" s="195">
        <v>195.92400000000001</v>
      </c>
      <c r="AW188" s="195">
        <v>194.97900000000001</v>
      </c>
      <c r="AX188" s="195">
        <v>187.41800000000001</v>
      </c>
      <c r="AY188" s="195">
        <v>175.61099999999999</v>
      </c>
      <c r="AZ188" s="195">
        <v>194.96700000000001</v>
      </c>
      <c r="BA188" s="195">
        <v>195.40600000000001</v>
      </c>
      <c r="BB188" s="195">
        <v>193.06899999999999</v>
      </c>
      <c r="BC188" s="195">
        <v>202.24299999999999</v>
      </c>
      <c r="BD188" s="195">
        <v>156.83600000000001</v>
      </c>
      <c r="BE188" s="195">
        <v>161.572</v>
      </c>
      <c r="BF188" s="195">
        <v>168.12299999999999</v>
      </c>
      <c r="BG188" s="195">
        <v>157.68799999999999</v>
      </c>
      <c r="BH188" s="195">
        <v>141.59800000000001</v>
      </c>
      <c r="BI188" s="195">
        <v>126.68899999999999</v>
      </c>
      <c r="BJ188" s="195">
        <v>116.89</v>
      </c>
      <c r="BK188" s="195">
        <v>108.262</v>
      </c>
      <c r="BL188" s="195">
        <v>94.667000000000002</v>
      </c>
      <c r="BM188" s="195">
        <v>86.587999999999994</v>
      </c>
      <c r="BN188" s="195">
        <v>78.471000000000004</v>
      </c>
      <c r="BO188" s="195">
        <v>76.876000000000005</v>
      </c>
      <c r="BP188" s="195">
        <v>74.631</v>
      </c>
      <c r="BQ188" s="195">
        <v>75.117000000000004</v>
      </c>
      <c r="BR188" s="195">
        <v>75.55</v>
      </c>
      <c r="BS188" s="195">
        <v>75.567999999999998</v>
      </c>
      <c r="BT188" s="78">
        <f>+BS188-BT187+BT177</f>
        <v>78.80809002922912</v>
      </c>
      <c r="BU188" s="78">
        <f>+BT188-BU187+BU177</f>
        <v>81.261939597659662</v>
      </c>
      <c r="BV188" s="78">
        <f>+BU188-BV187+BV177</f>
        <v>79.902882158317439</v>
      </c>
      <c r="BW188" s="78">
        <f>+BV188-BW187+BW177</f>
        <v>78.709275787376086</v>
      </c>
      <c r="BX188" s="78">
        <f t="shared" ref="BX188:CE188" si="600">+BW188-BX187+BX177</f>
        <v>77.671545478078997</v>
      </c>
      <c r="BY188" s="78">
        <f t="shared" si="600"/>
        <v>76.530293265854368</v>
      </c>
      <c r="BZ188" s="78">
        <f t="shared" si="600"/>
        <v>82.385014158393858</v>
      </c>
      <c r="CA188" s="78">
        <f t="shared" si="600"/>
        <v>87.824488917837527</v>
      </c>
      <c r="CB188" s="78">
        <f t="shared" si="600"/>
        <v>85.700350213496904</v>
      </c>
      <c r="CC188" s="78">
        <f t="shared" si="600"/>
        <v>83.612112947728249</v>
      </c>
      <c r="CD188" s="78">
        <f t="shared" si="600"/>
        <v>81.566849114402828</v>
      </c>
      <c r="CE188" s="78">
        <f t="shared" si="600"/>
        <v>79.573874929503191</v>
      </c>
      <c r="CF188" s="4"/>
      <c r="CG188" s="4"/>
      <c r="CH188" s="4"/>
      <c r="CI188" s="4"/>
      <c r="CJ188" s="4"/>
      <c r="CK188" s="4"/>
      <c r="CL188" s="4"/>
      <c r="CM188" s="4"/>
      <c r="CN188" s="240">
        <f t="shared" si="480"/>
        <v>181</v>
      </c>
    </row>
    <row r="189" spans="1:92" hidden="1" outlineLevel="2">
      <c r="A189" s="144"/>
      <c r="B189" s="45"/>
      <c r="C189" s="195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4"/>
      <c r="T189" s="195"/>
      <c r="U189" s="195"/>
      <c r="V189" s="195"/>
      <c r="W189" s="195"/>
      <c r="X189" s="195"/>
      <c r="Y189" s="195"/>
      <c r="Z189" s="195"/>
      <c r="AA189" s="195"/>
      <c r="AB189" s="195"/>
      <c r="AC189" s="195"/>
      <c r="AD189" s="195"/>
      <c r="AE189" s="195"/>
      <c r="AF189" s="195"/>
      <c r="AG189" s="195"/>
      <c r="AH189" s="195"/>
      <c r="AI189" s="195"/>
      <c r="AJ189" s="195"/>
      <c r="AK189" s="195"/>
      <c r="AL189" s="195"/>
      <c r="AM189" s="195"/>
      <c r="AN189" s="195"/>
      <c r="AO189" s="195"/>
      <c r="AP189" s="195"/>
      <c r="AQ189" s="195"/>
      <c r="AR189" s="195"/>
      <c r="AS189" s="195"/>
      <c r="AT189" s="195"/>
      <c r="AU189" s="195"/>
      <c r="AV189" s="195"/>
      <c r="AW189" s="195"/>
      <c r="AX189" s="195"/>
      <c r="AY189" s="195"/>
      <c r="AZ189" s="195"/>
      <c r="BA189" s="195"/>
      <c r="BB189" s="195"/>
      <c r="BC189" s="195"/>
      <c r="BD189" s="195"/>
      <c r="BE189" s="195"/>
      <c r="BF189" s="195"/>
      <c r="BG189" s="195"/>
      <c r="BH189" s="195"/>
      <c r="BI189" s="195"/>
      <c r="BJ189" s="195"/>
      <c r="BK189" s="195"/>
      <c r="BL189" s="195"/>
      <c r="BM189" s="195"/>
      <c r="BN189" s="195"/>
      <c r="BO189" s="195"/>
      <c r="BP189" s="195"/>
      <c r="BQ189" s="195"/>
      <c r="BR189" s="195"/>
      <c r="BS189" s="195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4"/>
      <c r="CG189" s="4"/>
      <c r="CH189" s="4"/>
      <c r="CI189" s="4"/>
      <c r="CJ189" s="4"/>
      <c r="CK189" s="4"/>
      <c r="CL189" s="4"/>
      <c r="CM189" s="4"/>
      <c r="CN189" s="240">
        <f t="shared" si="480"/>
        <v>182</v>
      </c>
    </row>
    <row r="190" spans="1:92" hidden="1" outlineLevel="2">
      <c r="A190" s="144"/>
      <c r="B190" s="45" t="s">
        <v>186</v>
      </c>
      <c r="C190" s="75">
        <f t="shared" ref="C190:O190" si="601">C172/C188</f>
        <v>0.80826573905291066</v>
      </c>
      <c r="D190" s="75">
        <f t="shared" si="601"/>
        <v>0.68740142953215866</v>
      </c>
      <c r="E190" s="75">
        <f t="shared" si="601"/>
        <v>0.71973339340956421</v>
      </c>
      <c r="F190" s="75">
        <f t="shared" si="601"/>
        <v>0.51464752769055577</v>
      </c>
      <c r="G190" s="75">
        <f t="shared" si="601"/>
        <v>0.73498048266772609</v>
      </c>
      <c r="H190" s="75">
        <f t="shared" si="601"/>
        <v>0.82042320788429779</v>
      </c>
      <c r="I190" s="75">
        <f t="shared" si="601"/>
        <v>0.85990057570425538</v>
      </c>
      <c r="J190" s="75">
        <f t="shared" si="601"/>
        <v>0.6514786667523722</v>
      </c>
      <c r="K190" s="75">
        <f t="shared" si="601"/>
        <v>0.99535792197250261</v>
      </c>
      <c r="L190" s="75">
        <f t="shared" si="601"/>
        <v>0.8178954757902126</v>
      </c>
      <c r="M190" s="75">
        <f t="shared" si="601"/>
        <v>0.64155263020968833</v>
      </c>
      <c r="N190" s="75">
        <f t="shared" si="601"/>
        <v>0.75264662290916795</v>
      </c>
      <c r="O190" s="75">
        <f t="shared" si="601"/>
        <v>0.93877094763716473</v>
      </c>
      <c r="P190" s="75">
        <f>P172/P188</f>
        <v>1.2006944492085745</v>
      </c>
      <c r="Q190" s="75">
        <f>Q172/Q188</f>
        <v>1.7001049371902417</v>
      </c>
      <c r="R190" s="75"/>
      <c r="S190" s="4"/>
      <c r="T190" s="195"/>
      <c r="U190" s="195"/>
      <c r="V190" s="195"/>
      <c r="W190" s="195"/>
      <c r="X190" s="195"/>
      <c r="Y190" s="195"/>
      <c r="Z190" s="195"/>
      <c r="AA190" s="195"/>
      <c r="AB190" s="75">
        <f t="shared" ref="AB190:BW190" si="602">(AB172*4)/AB188</f>
        <v>0.86599367183968656</v>
      </c>
      <c r="AC190" s="75">
        <f t="shared" si="602"/>
        <v>0.85087241191364882</v>
      </c>
      <c r="AD190" s="75">
        <f t="shared" si="602"/>
        <v>0.6856204610041049</v>
      </c>
      <c r="AE190" s="75">
        <f t="shared" si="602"/>
        <v>0.68536604236223941</v>
      </c>
      <c r="AF190" s="75">
        <f t="shared" si="602"/>
        <v>0.66737386619625971</v>
      </c>
      <c r="AG190" s="75">
        <f t="shared" si="602"/>
        <v>0.65844496817497322</v>
      </c>
      <c r="AH190" s="75">
        <f t="shared" si="602"/>
        <v>0.6832961371652978</v>
      </c>
      <c r="AI190" s="75">
        <f t="shared" si="602"/>
        <v>0.87540592666670325</v>
      </c>
      <c r="AJ190" s="75">
        <f t="shared" si="602"/>
        <v>0.5511025551277563</v>
      </c>
      <c r="AK190" s="75">
        <f t="shared" si="602"/>
        <v>0.40640958335321908</v>
      </c>
      <c r="AL190" s="75">
        <f t="shared" si="602"/>
        <v>0.42948304975552853</v>
      </c>
      <c r="AM190" s="75">
        <f t="shared" si="602"/>
        <v>0.45599530727028048</v>
      </c>
      <c r="AN190" s="75">
        <f t="shared" si="602"/>
        <v>0.60546396346218112</v>
      </c>
      <c r="AO190" s="75">
        <f t="shared" si="602"/>
        <v>0.73962529400632626</v>
      </c>
      <c r="AP190" s="75">
        <f t="shared" si="602"/>
        <v>0.87611033792754034</v>
      </c>
      <c r="AQ190" s="75">
        <f t="shared" si="602"/>
        <v>0.83999571186237609</v>
      </c>
      <c r="AR190" s="75">
        <f t="shared" si="602"/>
        <v>0.8116280090545972</v>
      </c>
      <c r="AS190" s="75">
        <f t="shared" si="602"/>
        <v>0.9045378926183697</v>
      </c>
      <c r="AT190" s="75">
        <f t="shared" si="602"/>
        <v>0.90998684000873387</v>
      </c>
      <c r="AU190" s="75">
        <f t="shared" si="602"/>
        <v>0.87230719093800213</v>
      </c>
      <c r="AV190" s="75">
        <f t="shared" si="602"/>
        <v>0.83779424674873926</v>
      </c>
      <c r="AW190" s="75">
        <f t="shared" si="602"/>
        <v>0.78906959210991945</v>
      </c>
      <c r="AX190" s="75">
        <f t="shared" si="602"/>
        <v>0.77606206447619763</v>
      </c>
      <c r="AY190" s="75">
        <f t="shared" si="602"/>
        <v>0.8005648848876209</v>
      </c>
      <c r="AZ190" s="75">
        <f t="shared" si="602"/>
        <v>0.65262326444988117</v>
      </c>
      <c r="BA190" s="75">
        <f t="shared" si="602"/>
        <v>0.68648864415626953</v>
      </c>
      <c r="BB190" s="75">
        <f t="shared" si="602"/>
        <v>0.68271964945175057</v>
      </c>
      <c r="BC190" s="75">
        <f t="shared" si="602"/>
        <v>0.66173860158324393</v>
      </c>
      <c r="BD190" s="75">
        <f t="shared" si="602"/>
        <v>0.88556198831900834</v>
      </c>
      <c r="BE190" s="75">
        <f t="shared" si="602"/>
        <v>0.95162528160819948</v>
      </c>
      <c r="BF190" s="75">
        <f t="shared" si="602"/>
        <v>1.0415231705358579</v>
      </c>
      <c r="BG190" s="75">
        <f t="shared" si="602"/>
        <v>1.0151438283192122</v>
      </c>
      <c r="BH190" s="75">
        <f t="shared" si="602"/>
        <v>0.79597169451545913</v>
      </c>
      <c r="BI190" s="75">
        <f t="shared" si="602"/>
        <v>0.68684731902532981</v>
      </c>
      <c r="BJ190" s="75">
        <f t="shared" si="602"/>
        <v>0.70418342030969283</v>
      </c>
      <c r="BK190" s="75">
        <f t="shared" ref="BK190:BQ190" si="603">(BK172*4)/BK188</f>
        <v>0.66645729803624543</v>
      </c>
      <c r="BL190" s="75">
        <f t="shared" si="603"/>
        <v>0.57561769148700181</v>
      </c>
      <c r="BM190" s="75">
        <f t="shared" si="603"/>
        <v>0.54423245715341628</v>
      </c>
      <c r="BN190" s="75">
        <f t="shared" si="603"/>
        <v>0.63987970078118028</v>
      </c>
      <c r="BO190" s="75">
        <f t="shared" si="603"/>
        <v>0.59123783755658454</v>
      </c>
      <c r="BP190" s="75">
        <f t="shared" si="603"/>
        <v>0.63893020326673899</v>
      </c>
      <c r="BQ190" s="75">
        <f t="shared" si="603"/>
        <v>0.71078450949851568</v>
      </c>
      <c r="BR190" s="75">
        <f>(BR172*4)/BR188</f>
        <v>0.8090006618133686</v>
      </c>
      <c r="BS190" s="75">
        <f>(BS172*4)/BS188</f>
        <v>0.86422824475968674</v>
      </c>
      <c r="BT190" s="75">
        <f t="shared" si="602"/>
        <v>0.87013147983369254</v>
      </c>
      <c r="BU190" s="75">
        <f t="shared" si="602"/>
        <v>0.8860491191385943</v>
      </c>
      <c r="BV190" s="75">
        <f t="shared" si="602"/>
        <v>0.94617580064513662</v>
      </c>
      <c r="BW190" s="75">
        <f t="shared" si="602"/>
        <v>1.0085505346211288</v>
      </c>
      <c r="BX190" s="75">
        <f t="shared" ref="BX190:CE190" si="604">(BX172*4)/BX188</f>
        <v>1.0731265326408888</v>
      </c>
      <c r="BY190" s="75">
        <f t="shared" si="604"/>
        <v>1.1435859234709869</v>
      </c>
      <c r="BZ190" s="75">
        <f t="shared" si="604"/>
        <v>1.1685482328453622</v>
      </c>
      <c r="CA190" s="75">
        <f t="shared" si="604"/>
        <v>1.2057906659448387</v>
      </c>
      <c r="CB190" s="75">
        <f t="shared" si="604"/>
        <v>1.3592446657004358</v>
      </c>
      <c r="CC190" s="75">
        <f t="shared" si="604"/>
        <v>1.5325114238423494</v>
      </c>
      <c r="CD190" s="75">
        <f t="shared" si="604"/>
        <v>1.6494856137998424</v>
      </c>
      <c r="CE190" s="75">
        <f t="shared" si="604"/>
        <v>1.7753378418633632</v>
      </c>
      <c r="CF190" s="4"/>
      <c r="CG190" s="4"/>
      <c r="CH190" s="4"/>
      <c r="CI190" s="4"/>
      <c r="CJ190" s="4"/>
      <c r="CK190" s="4"/>
      <c r="CL190" s="4"/>
      <c r="CM190" s="4"/>
      <c r="CN190" s="240">
        <f t="shared" si="480"/>
        <v>183</v>
      </c>
    </row>
    <row r="191" spans="1:92" hidden="1" outlineLevel="2">
      <c r="A191" s="144"/>
      <c r="B191" s="45" t="s">
        <v>187</v>
      </c>
      <c r="C191" s="75">
        <f t="shared" ref="C191:O191" si="605">C187/C177</f>
        <v>2.0682696436238728</v>
      </c>
      <c r="D191" s="75">
        <f t="shared" si="605"/>
        <v>1.9406826466364737</v>
      </c>
      <c r="E191" s="75">
        <f t="shared" si="605"/>
        <v>1.7032825227840958</v>
      </c>
      <c r="F191" s="75">
        <f t="shared" si="605"/>
        <v>0.68435107708741316</v>
      </c>
      <c r="G191" s="75">
        <f t="shared" si="605"/>
        <v>0.86381381381381384</v>
      </c>
      <c r="H191" s="75">
        <f t="shared" si="605"/>
        <v>1.5597509466938539</v>
      </c>
      <c r="I191" s="75">
        <f t="shared" si="605"/>
        <v>1.4997557560165433</v>
      </c>
      <c r="J191" s="75">
        <f t="shared" si="605"/>
        <v>1.0265143075405034</v>
      </c>
      <c r="K191" s="75">
        <f t="shared" si="605"/>
        <v>0.85971245804040786</v>
      </c>
      <c r="L191" s="75">
        <f t="shared" si="605"/>
        <v>0.33810441324892188</v>
      </c>
      <c r="M191" s="75">
        <f t="shared" si="605"/>
        <v>0.11434819964070921</v>
      </c>
      <c r="N191" s="75">
        <f t="shared" si="605"/>
        <v>0.56624928856004553</v>
      </c>
      <c r="O191" s="75">
        <f t="shared" si="605"/>
        <v>1.1754000368995936</v>
      </c>
      <c r="P191" s="75">
        <f>P187/P177</f>
        <v>1.4539151817419851</v>
      </c>
      <c r="Q191" s="75">
        <f>Q187/Q177</f>
        <v>0.67682776248809884</v>
      </c>
      <c r="R191" s="75"/>
      <c r="S191" s="4"/>
      <c r="T191" s="195"/>
      <c r="U191" s="195"/>
      <c r="V191" s="195"/>
      <c r="W191" s="195"/>
      <c r="X191" s="195"/>
      <c r="Y191" s="195"/>
      <c r="Z191" s="195"/>
      <c r="AA191" s="195"/>
      <c r="AB191" s="75">
        <f t="shared" ref="AB191:BW191" si="606">AB187/AB177</f>
        <v>3.505873531617095</v>
      </c>
      <c r="AC191" s="75">
        <f t="shared" si="606"/>
        <v>2.4740245261984395</v>
      </c>
      <c r="AD191" s="75">
        <f t="shared" si="606"/>
        <v>1.0423764906303234</v>
      </c>
      <c r="AE191" s="75">
        <f t="shared" si="606"/>
        <v>1.0398050365556448</v>
      </c>
      <c r="AF191" s="75">
        <f t="shared" si="606"/>
        <v>2.8633273703041144</v>
      </c>
      <c r="AG191" s="75">
        <f t="shared" si="606"/>
        <v>1.2097309863832613</v>
      </c>
      <c r="AH191" s="75">
        <f t="shared" si="606"/>
        <v>1.10615845014963</v>
      </c>
      <c r="AI191" s="75">
        <f t="shared" si="606"/>
        <v>1.7440397835307893</v>
      </c>
      <c r="AJ191" s="75">
        <f t="shared" si="606"/>
        <v>0.32978203499169195</v>
      </c>
      <c r="AK191" s="75">
        <f t="shared" si="606"/>
        <v>2.4207535885167464</v>
      </c>
      <c r="AL191" s="75">
        <f t="shared" si="606"/>
        <v>0.87862010221465114</v>
      </c>
      <c r="AM191" s="75">
        <f t="shared" si="606"/>
        <v>0.20921510849182928</v>
      </c>
      <c r="AN191" s="75">
        <f t="shared" si="606"/>
        <v>0.22358686001775671</v>
      </c>
      <c r="AO191" s="75">
        <f t="shared" si="606"/>
        <v>0.93612922347362182</v>
      </c>
      <c r="AP191" s="75">
        <f t="shared" si="606"/>
        <v>1.3778277153558052</v>
      </c>
      <c r="AQ191" s="75">
        <f t="shared" si="606"/>
        <v>0.92692367239510798</v>
      </c>
      <c r="AR191" s="75">
        <f t="shared" si="606"/>
        <v>1.4564663569608871</v>
      </c>
      <c r="AS191" s="75">
        <f t="shared" si="606"/>
        <v>1.2733771804403775</v>
      </c>
      <c r="AT191" s="75">
        <f t="shared" si="606"/>
        <v>1.6788777438581193</v>
      </c>
      <c r="AU191" s="75">
        <f t="shared" si="606"/>
        <v>1.830442324371206</v>
      </c>
      <c r="AV191" s="75">
        <f t="shared" si="606"/>
        <v>2.7625685199686765</v>
      </c>
      <c r="AW191" s="75">
        <f t="shared" si="606"/>
        <v>1.7016129032258063</v>
      </c>
      <c r="AX191" s="75">
        <f t="shared" si="606"/>
        <v>1.0412731271833358</v>
      </c>
      <c r="AY191" s="75">
        <f t="shared" si="606"/>
        <v>0.69135960970599519</v>
      </c>
      <c r="AZ191" s="75">
        <f t="shared" si="606"/>
        <v>1.077783426537875</v>
      </c>
      <c r="BA191" s="75">
        <f t="shared" si="606"/>
        <v>1.6567107750472589</v>
      </c>
      <c r="BB191" s="75">
        <f t="shared" si="606"/>
        <v>0.94850329781836606</v>
      </c>
      <c r="BC191" s="75">
        <f t="shared" si="606"/>
        <v>0.40698576972833128</v>
      </c>
      <c r="BD191" s="75">
        <f t="shared" si="606"/>
        <v>1.248341469520591</v>
      </c>
      <c r="BE191" s="75">
        <f t="shared" si="606"/>
        <v>1.1993903987807977</v>
      </c>
      <c r="BF191" s="75">
        <f t="shared" si="606"/>
        <v>0.50139877924720222</v>
      </c>
      <c r="BG191" s="75">
        <f t="shared" si="606"/>
        <v>0.48248630747675458</v>
      </c>
      <c r="BH191" s="75">
        <f t="shared" si="606"/>
        <v>0.80614744060739651</v>
      </c>
      <c r="BI191" s="75">
        <f t="shared" si="606"/>
        <v>0.20149343610743103</v>
      </c>
      <c r="BJ191" s="75">
        <f t="shared" si="606"/>
        <v>0.18004391314954854</v>
      </c>
      <c r="BK191" s="75">
        <f t="shared" ref="BK191:BQ191" si="607">BK187/BK177</f>
        <v>0.16475716064757162</v>
      </c>
      <c r="BL191" s="75">
        <f t="shared" si="607"/>
        <v>0.12436585012320626</v>
      </c>
      <c r="BM191" s="75">
        <f t="shared" si="607"/>
        <v>0.10666870135815656</v>
      </c>
      <c r="BN191" s="75">
        <f t="shared" si="607"/>
        <v>6.3819500402900894E-2</v>
      </c>
      <c r="BO191" s="75">
        <f t="shared" si="607"/>
        <v>0.16389309127584464</v>
      </c>
      <c r="BP191" s="75">
        <f t="shared" si="607"/>
        <v>0.37787015043547112</v>
      </c>
      <c r="BQ191" s="75">
        <f t="shared" si="607"/>
        <v>0.74016822005001126</v>
      </c>
      <c r="BR191" s="75">
        <f>BR187/BR177</f>
        <v>0.60366441658630654</v>
      </c>
      <c r="BS191" s="75">
        <f>BS187/BS177</f>
        <v>0.57416267942583732</v>
      </c>
      <c r="BT191" s="75">
        <f t="shared" si="606"/>
        <v>1.8172871475744303</v>
      </c>
      <c r="BU191" s="75">
        <f t="shared" si="606"/>
        <v>1.5595553459049813</v>
      </c>
      <c r="BV191" s="75">
        <f t="shared" si="606"/>
        <v>0.71539090827196661</v>
      </c>
      <c r="BW191" s="75">
        <f t="shared" si="606"/>
        <v>0.75051257363462398</v>
      </c>
      <c r="BX191" s="75">
        <f t="shared" ref="BX191:CE191" si="608">BX187/BX177</f>
        <v>0.78368990561857677</v>
      </c>
      <c r="BY191" s="75">
        <f t="shared" si="608"/>
        <v>0.76270764377643741</v>
      </c>
      <c r="BZ191" s="75">
        <f t="shared" si="608"/>
        <v>2.2145454072686501</v>
      </c>
      <c r="CA191" s="75">
        <f t="shared" si="608"/>
        <v>1.9620726526204146</v>
      </c>
      <c r="CB191" s="75">
        <f t="shared" si="608"/>
        <v>0.67094333789416161</v>
      </c>
      <c r="CC191" s="75">
        <f t="shared" si="608"/>
        <v>0.67391138818628782</v>
      </c>
      <c r="CD191" s="75">
        <f t="shared" si="608"/>
        <v>0.67826302394561599</v>
      </c>
      <c r="CE191" s="75">
        <f t="shared" si="608"/>
        <v>0.68435667914454956</v>
      </c>
      <c r="CF191" s="4"/>
      <c r="CG191" s="4"/>
      <c r="CH191" s="4"/>
      <c r="CI191" s="4"/>
      <c r="CJ191" s="4"/>
      <c r="CK191" s="4"/>
      <c r="CL191" s="4"/>
      <c r="CM191" s="4"/>
      <c r="CN191" s="240">
        <f t="shared" si="480"/>
        <v>184</v>
      </c>
    </row>
    <row r="192" spans="1:92" hidden="1" outlineLevel="2">
      <c r="A192" s="144"/>
      <c r="B192" s="45" t="s">
        <v>188</v>
      </c>
      <c r="C192" s="74">
        <f t="shared" ref="C192:Q192" si="609">C178*(1-C380)/C188</f>
        <v>0.15399257325256516</v>
      </c>
      <c r="D192" s="74">
        <f t="shared" si="609"/>
        <v>0.11142182506382901</v>
      </c>
      <c r="E192" s="74">
        <f t="shared" si="609"/>
        <v>0.12540111873664081</v>
      </c>
      <c r="F192" s="74">
        <f t="shared" si="609"/>
        <v>-7.0563472619992402E-3</v>
      </c>
      <c r="G192" s="74">
        <f t="shared" si="609"/>
        <v>0.12251934391494354</v>
      </c>
      <c r="H192" s="74">
        <f t="shared" si="609"/>
        <v>0.18145908952993137</v>
      </c>
      <c r="I192" s="74">
        <f t="shared" si="609"/>
        <v>0.16340092591010816</v>
      </c>
      <c r="J192" s="74">
        <f t="shared" si="609"/>
        <v>8.103803345480437E-2</v>
      </c>
      <c r="K192" s="74">
        <f t="shared" si="609"/>
        <v>0.16848935873370199</v>
      </c>
      <c r="L192" s="74">
        <f t="shared" si="609"/>
        <v>-1.3641674825885354E-2</v>
      </c>
      <c r="M192" s="74">
        <f t="shared" si="609"/>
        <v>-0.21155009365731831</v>
      </c>
      <c r="N192" s="74">
        <f t="shared" si="609"/>
        <v>-0.10113407791657845</v>
      </c>
      <c r="O192" s="74">
        <f t="shared" si="609"/>
        <v>-4.6069882257672862E-2</v>
      </c>
      <c r="P192" s="74">
        <f t="shared" si="609"/>
        <v>-8.4889589275098688E-3</v>
      </c>
      <c r="Q192" s="74">
        <f t="shared" si="609"/>
        <v>3.0725746336090695E-2</v>
      </c>
      <c r="R192" s="74"/>
      <c r="S192" s="4"/>
      <c r="T192" s="195"/>
      <c r="U192" s="195"/>
      <c r="V192" s="195"/>
      <c r="W192" s="195"/>
      <c r="X192" s="195"/>
      <c r="Y192" s="195"/>
      <c r="Z192" s="195"/>
      <c r="AA192" s="195"/>
      <c r="AB192" s="74">
        <f t="shared" ref="AB192:BG192" si="610">(AB178*(1-AB380)*4)/AB188</f>
        <v>0.17969338556576764</v>
      </c>
      <c r="AC192" s="74">
        <f t="shared" si="610"/>
        <v>0.14654036414314592</v>
      </c>
      <c r="AD192" s="74">
        <f t="shared" si="610"/>
        <v>8.7259235869908441E-2</v>
      </c>
      <c r="AE192" s="74">
        <f t="shared" si="610"/>
        <v>9.5088884524510947E-2</v>
      </c>
      <c r="AF192" s="74">
        <f t="shared" si="610"/>
        <v>8.727755992324103E-2</v>
      </c>
      <c r="AG192" s="74">
        <f t="shared" si="610"/>
        <v>9.4663360073446667E-2</v>
      </c>
      <c r="AH192" s="74">
        <f t="shared" si="610"/>
        <v>0.13073061371146907</v>
      </c>
      <c r="AI192" s="74">
        <f t="shared" si="610"/>
        <v>0.18627294756334103</v>
      </c>
      <c r="AJ192" s="74">
        <f t="shared" si="610"/>
        <v>5.0670502275113757E-2</v>
      </c>
      <c r="AK192" s="74">
        <f t="shared" si="610"/>
        <v>-2.410156063570849E-2</v>
      </c>
      <c r="AL192" s="74">
        <f t="shared" si="610"/>
        <v>-3.0007934301272875E-2</v>
      </c>
      <c r="AM192" s="74">
        <f t="shared" si="610"/>
        <v>-3.3746247541492698E-2</v>
      </c>
      <c r="AN192" s="74">
        <f t="shared" si="610"/>
        <v>3.3244680851063822E-2</v>
      </c>
      <c r="AO192" s="74">
        <f t="shared" si="610"/>
        <v>0.11217862067101031</v>
      </c>
      <c r="AP192" s="74">
        <f t="shared" si="610"/>
        <v>0.19264563464831552</v>
      </c>
      <c r="AQ192" s="74">
        <f t="shared" si="610"/>
        <v>0.16588155911639141</v>
      </c>
      <c r="AR192" s="74">
        <f t="shared" si="610"/>
        <v>0.15574346143958065</v>
      </c>
      <c r="AS192" s="74">
        <f t="shared" si="610"/>
        <v>0.2048999021764189</v>
      </c>
      <c r="AT192" s="74">
        <f t="shared" si="610"/>
        <v>0.20833210388721357</v>
      </c>
      <c r="AU192" s="74">
        <f t="shared" si="610"/>
        <v>0.20314765078045111</v>
      </c>
      <c r="AV192" s="74">
        <f t="shared" si="610"/>
        <v>0.17844929666605416</v>
      </c>
      <c r="AW192" s="74">
        <f t="shared" si="610"/>
        <v>0.16082501192436108</v>
      </c>
      <c r="AX192" s="74">
        <f t="shared" si="610"/>
        <v>0.13344502662497731</v>
      </c>
      <c r="AY192" s="74">
        <f t="shared" si="610"/>
        <v>0.13353377635797303</v>
      </c>
      <c r="AZ192" s="74">
        <f t="shared" si="610"/>
        <v>8.0244349043684313E-2</v>
      </c>
      <c r="BA192" s="74">
        <f t="shared" si="610"/>
        <v>9.0593431112657746E-2</v>
      </c>
      <c r="BB192" s="74">
        <f t="shared" si="610"/>
        <v>7.7977303451097796E-2</v>
      </c>
      <c r="BC192" s="74">
        <f t="shared" si="610"/>
        <v>8.4823702180050739E-2</v>
      </c>
      <c r="BD192" s="74">
        <f t="shared" si="610"/>
        <v>0.118866204187814</v>
      </c>
      <c r="BE192" s="74">
        <f t="shared" si="610"/>
        <v>0.13922585596514245</v>
      </c>
      <c r="BF192" s="74">
        <f t="shared" si="610"/>
        <v>0.21911041320937646</v>
      </c>
      <c r="BG192" s="74">
        <f t="shared" si="610"/>
        <v>0.17946831718329867</v>
      </c>
      <c r="BH192" s="74">
        <f t="shared" ref="BH192:CE192" si="611">(BH178*(1-BH380)*4)/BH188</f>
        <v>6.8980494074775064E-2</v>
      </c>
      <c r="BI192" s="74">
        <f t="shared" si="611"/>
        <v>-2.8771242965056162E-2</v>
      </c>
      <c r="BJ192" s="74">
        <f t="shared" si="611"/>
        <v>-3.9567114381042004E-2</v>
      </c>
      <c r="BK192" s="74">
        <f t="shared" si="611"/>
        <v>-6.8398884188357878E-2</v>
      </c>
      <c r="BL192" s="74">
        <f t="shared" si="611"/>
        <v>-0.17524586181034574</v>
      </c>
      <c r="BM192" s="74">
        <f t="shared" si="611"/>
        <v>-0.2068127223171802</v>
      </c>
      <c r="BN192" s="74">
        <f t="shared" si="611"/>
        <v>-0.17653018312497612</v>
      </c>
      <c r="BO192" s="74">
        <f t="shared" si="611"/>
        <v>-0.21726546646547687</v>
      </c>
      <c r="BP192" s="74">
        <f t="shared" si="611"/>
        <v>-0.17489381088287709</v>
      </c>
      <c r="BQ192" s="74">
        <f t="shared" si="611"/>
        <v>-0.11112664243779703</v>
      </c>
      <c r="BR192" s="74">
        <f>(BR178*(1-BR380)*4)/BR188</f>
        <v>-6.8232958305757777E-2</v>
      </c>
      <c r="BS192" s="74">
        <f>(BS178*(1-BS380)*4)/BS188</f>
        <v>-5.3130954901545638E-2</v>
      </c>
      <c r="BT192" s="74">
        <f t="shared" si="611"/>
        <v>-4.0506372242601847E-2</v>
      </c>
      <c r="BU192" s="74">
        <f t="shared" si="611"/>
        <v>-4.6211152465585575E-2</v>
      </c>
      <c r="BV192" s="74">
        <f t="shared" si="611"/>
        <v>-5.2240247389695661E-2</v>
      </c>
      <c r="BW192" s="74">
        <f t="shared" si="611"/>
        <v>-4.2979994373646024E-2</v>
      </c>
      <c r="BX192" s="74">
        <f t="shared" si="611"/>
        <v>-3.2807565059326076E-2</v>
      </c>
      <c r="BY192" s="74">
        <f t="shared" si="611"/>
        <v>-1.7221001465573472E-2</v>
      </c>
      <c r="BZ192" s="74">
        <f t="shared" si="611"/>
        <v>8.6241143388424389E-3</v>
      </c>
      <c r="CA192" s="74">
        <f t="shared" si="611"/>
        <v>5.9008889308733306E-3</v>
      </c>
      <c r="CB192" s="74">
        <f t="shared" si="611"/>
        <v>-1.7172551931319854E-3</v>
      </c>
      <c r="CC192" s="74">
        <f t="shared" si="611"/>
        <v>2.3400732959637606E-2</v>
      </c>
      <c r="CD192" s="74">
        <f t="shared" si="611"/>
        <v>3.8870428662249219E-2</v>
      </c>
      <c r="CE192" s="74">
        <f t="shared" si="611"/>
        <v>5.5619357107401679E-2</v>
      </c>
      <c r="CF192" s="4"/>
      <c r="CG192" s="4"/>
      <c r="CH192" s="4"/>
      <c r="CI192" s="4"/>
      <c r="CJ192" s="4"/>
      <c r="CK192" s="4"/>
      <c r="CL192" s="4"/>
      <c r="CM192" s="4"/>
      <c r="CN192" s="240">
        <f t="shared" si="480"/>
        <v>185</v>
      </c>
    </row>
    <row r="193" spans="1:92" hidden="1" outlineLevel="2">
      <c r="A193" s="144"/>
      <c r="B193" s="45" t="s">
        <v>194</v>
      </c>
      <c r="C193" s="74"/>
      <c r="D193" s="74">
        <f t="shared" ref="D193:O193" si="612">-D177/C188</f>
        <v>0.14412506865562341</v>
      </c>
      <c r="E193" s="74">
        <f t="shared" si="612"/>
        <v>0.14758342409255654</v>
      </c>
      <c r="F193" s="74">
        <f t="shared" si="612"/>
        <v>0.15432081806243164</v>
      </c>
      <c r="G193" s="74">
        <f t="shared" si="612"/>
        <v>0.1838445878334081</v>
      </c>
      <c r="H193" s="74">
        <f t="shared" si="612"/>
        <v>0.17319031133140367</v>
      </c>
      <c r="I193" s="74">
        <f t="shared" si="612"/>
        <v>0.17253643790666054</v>
      </c>
      <c r="J193" s="74">
        <f t="shared" si="612"/>
        <v>0.17890109389502937</v>
      </c>
      <c r="K193" s="74">
        <f t="shared" si="612"/>
        <v>0.15613890221169582</v>
      </c>
      <c r="L193" s="74">
        <f t="shared" si="612"/>
        <v>0.20735249353153065</v>
      </c>
      <c r="M193" s="74">
        <f t="shared" si="612"/>
        <v>0.23651881546618389</v>
      </c>
      <c r="N193" s="74">
        <f t="shared" si="612"/>
        <v>0.22854987252198344</v>
      </c>
      <c r="O193" s="74">
        <f t="shared" si="612"/>
        <v>0.23699460415858231</v>
      </c>
      <c r="P193" s="74">
        <f>-P177/O188</f>
        <v>0.25513274565150096</v>
      </c>
      <c r="Q193" s="74">
        <f>-Q177/P188</f>
        <v>0.32869286508214762</v>
      </c>
      <c r="R193" s="74"/>
      <c r="S193" s="4"/>
      <c r="T193" s="195"/>
      <c r="U193" s="195"/>
      <c r="V193" s="195"/>
      <c r="W193" s="195"/>
      <c r="X193" s="195"/>
      <c r="Y193" s="195"/>
      <c r="Z193" s="195"/>
      <c r="AA193" s="195"/>
      <c r="AB193" s="74"/>
      <c r="AC193" s="74">
        <f t="shared" ref="AC193:BW193" si="613">-AC177/AB188</f>
        <v>3.3787855959017628E-2</v>
      </c>
      <c r="AD193" s="74">
        <f t="shared" si="613"/>
        <v>3.2398943032778391E-2</v>
      </c>
      <c r="AE193" s="74">
        <f t="shared" si="613"/>
        <v>3.1095674139564284E-2</v>
      </c>
      <c r="AF193" s="74">
        <f t="shared" si="613"/>
        <v>3.3268462806572752E-2</v>
      </c>
      <c r="AG193" s="74">
        <f t="shared" si="613"/>
        <v>3.5888389611318371E-2</v>
      </c>
      <c r="AH193" s="74">
        <f t="shared" si="613"/>
        <v>3.554214506838041E-2</v>
      </c>
      <c r="AI193" s="74">
        <f t="shared" si="613"/>
        <v>3.4600027327796913E-2</v>
      </c>
      <c r="AJ193" s="74">
        <f t="shared" si="613"/>
        <v>5.6217065679072038E-2</v>
      </c>
      <c r="AK193" s="74">
        <f t="shared" si="613"/>
        <v>1.828841442072103E-2</v>
      </c>
      <c r="AL193" s="74">
        <f t="shared" si="613"/>
        <v>4.2022622058893705E-2</v>
      </c>
      <c r="AM193" s="74">
        <f t="shared" si="613"/>
        <v>5.063033615667873E-2</v>
      </c>
      <c r="AN193" s="74">
        <f t="shared" si="613"/>
        <v>4.6637452123805254E-2</v>
      </c>
      <c r="AO193" s="74">
        <f t="shared" si="613"/>
        <v>4.6981174111618583E-2</v>
      </c>
      <c r="AP193" s="74">
        <f t="shared" si="613"/>
        <v>4.5114763848711784E-2</v>
      </c>
      <c r="AQ193" s="74">
        <f t="shared" si="613"/>
        <v>4.1424824109645264E-2</v>
      </c>
      <c r="AR193" s="74">
        <f t="shared" si="613"/>
        <v>4.2080503477805738E-2</v>
      </c>
      <c r="AS193" s="74">
        <f t="shared" si="613"/>
        <v>4.3855853822181254E-2</v>
      </c>
      <c r="AT193" s="74">
        <f t="shared" si="613"/>
        <v>4.2861682440978731E-2</v>
      </c>
      <c r="AU193" s="74">
        <f t="shared" si="613"/>
        <v>4.0825479631520251E-2</v>
      </c>
      <c r="AV193" s="74">
        <f t="shared" si="613"/>
        <v>3.5876026835380451E-2</v>
      </c>
      <c r="AW193" s="74">
        <f t="shared" si="613"/>
        <v>4.4935791429329741E-2</v>
      </c>
      <c r="AX193" s="74">
        <f t="shared" si="613"/>
        <v>3.9640166376891862E-2</v>
      </c>
      <c r="AY193" s="74">
        <f t="shared" si="613"/>
        <v>4.1559508691801222E-2</v>
      </c>
      <c r="AZ193" s="74">
        <f t="shared" si="613"/>
        <v>4.480357153025722E-2</v>
      </c>
      <c r="BA193" s="74">
        <f t="shared" si="613"/>
        <v>4.0699195248426655E-2</v>
      </c>
      <c r="BB193" s="74">
        <f t="shared" si="613"/>
        <v>4.0346765196565104E-2</v>
      </c>
      <c r="BC193" s="74">
        <f t="shared" si="613"/>
        <v>4.0037499546794156E-2</v>
      </c>
      <c r="BD193" s="74">
        <f t="shared" si="613"/>
        <v>3.9501985235582938E-2</v>
      </c>
      <c r="BE193" s="74">
        <f t="shared" si="613"/>
        <v>5.0205310005355906E-2</v>
      </c>
      <c r="BF193" s="74">
        <f t="shared" si="613"/>
        <v>4.8671799569232288E-2</v>
      </c>
      <c r="BG193" s="74">
        <f t="shared" si="613"/>
        <v>4.6697953284202641E-2</v>
      </c>
      <c r="BH193" s="74">
        <f t="shared" si="613"/>
        <v>5.1785804880523569E-2</v>
      </c>
      <c r="BI193" s="74">
        <f t="shared" si="613"/>
        <v>5.8637833867709994E-2</v>
      </c>
      <c r="BJ193" s="74">
        <f t="shared" si="613"/>
        <v>6.4709643299733999E-2</v>
      </c>
      <c r="BK193" s="74">
        <f t="shared" si="613"/>
        <v>6.8697065617246991E-2</v>
      </c>
      <c r="BL193" s="74">
        <f t="shared" si="613"/>
        <v>6.3725037409247939E-2</v>
      </c>
      <c r="BM193" s="74">
        <f t="shared" si="613"/>
        <v>6.9221587247932218E-2</v>
      </c>
      <c r="BN193" s="74">
        <f t="shared" si="613"/>
        <v>7.1661200166304798E-2</v>
      </c>
      <c r="BO193" s="74">
        <f t="shared" si="613"/>
        <v>7.5811446266773747E-2</v>
      </c>
      <c r="BP193" s="74">
        <f t="shared" si="613"/>
        <v>6.5716218325615264E-2</v>
      </c>
      <c r="BQ193" s="74">
        <f t="shared" si="613"/>
        <v>5.8943334539266534E-2</v>
      </c>
      <c r="BR193" s="74">
        <f t="shared" si="613"/>
        <v>5.5220522651330581E-2</v>
      </c>
      <c r="BS193" s="74">
        <f t="shared" si="613"/>
        <v>5.2561217736598283E-2</v>
      </c>
      <c r="BT193" s="74">
        <f t="shared" si="613"/>
        <v>5.2461956147079603E-2</v>
      </c>
      <c r="BU193" s="74">
        <f t="shared" si="613"/>
        <v>5.5646016938159466E-2</v>
      </c>
      <c r="BV193" s="74">
        <f t="shared" si="613"/>
        <v>5.87627157579848E-2</v>
      </c>
      <c r="BW193" s="74">
        <f t="shared" si="613"/>
        <v>5.9875619559049187E-2</v>
      </c>
      <c r="BX193" s="74">
        <f t="shared" ref="BX193:CE193" si="614">-BX177/BW188</f>
        <v>6.0951135143463786E-2</v>
      </c>
      <c r="BY193" s="74">
        <f t="shared" si="614"/>
        <v>6.1920711360599241E-2</v>
      </c>
      <c r="BZ193" s="74">
        <f t="shared" si="614"/>
        <v>6.2988180376915628E-2</v>
      </c>
      <c r="CA193" s="74">
        <f t="shared" si="614"/>
        <v>6.8627926171573275E-2</v>
      </c>
      <c r="CB193" s="74">
        <f t="shared" si="614"/>
        <v>7.3501559419169152E-2</v>
      </c>
      <c r="CC193" s="74">
        <f t="shared" si="614"/>
        <v>7.4724258319064221E-2</v>
      </c>
      <c r="CD193" s="74">
        <f t="shared" si="614"/>
        <v>7.6028980082681982E-2</v>
      </c>
      <c r="CE193" s="74">
        <f t="shared" si="614"/>
        <v>7.7408986850507205E-2</v>
      </c>
      <c r="CF193" s="4"/>
      <c r="CG193" s="4"/>
      <c r="CH193" s="4"/>
      <c r="CI193" s="4"/>
      <c r="CJ193" s="4"/>
      <c r="CK193" s="4"/>
      <c r="CL193" s="4"/>
      <c r="CM193" s="4"/>
      <c r="CN193" s="240">
        <f t="shared" si="480"/>
        <v>186</v>
      </c>
    </row>
    <row r="194" spans="1:92" hidden="1" outlineLevel="2">
      <c r="A194" s="144"/>
      <c r="B194" s="45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4"/>
      <c r="T194" s="195"/>
      <c r="U194" s="195"/>
      <c r="V194" s="195"/>
      <c r="W194" s="195"/>
      <c r="X194" s="195"/>
      <c r="Y194" s="195"/>
      <c r="Z194" s="195"/>
      <c r="AA194" s="195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/>
      <c r="BC194" s="74"/>
      <c r="BD194" s="74"/>
      <c r="BE194" s="74"/>
      <c r="BF194" s="74"/>
      <c r="BG194" s="74"/>
      <c r="BH194" s="74"/>
      <c r="BI194" s="74"/>
      <c r="BJ194" s="74"/>
      <c r="BK194" s="74"/>
      <c r="BL194" s="74"/>
      <c r="BM194" s="74"/>
      <c r="BN194" s="74"/>
      <c r="BO194" s="74"/>
      <c r="BP194" s="74"/>
      <c r="BQ194" s="74"/>
      <c r="BR194" s="74"/>
      <c r="BS194" s="74"/>
      <c r="BT194" s="74"/>
      <c r="BU194" s="74"/>
      <c r="BV194" s="74"/>
      <c r="BW194" s="74"/>
      <c r="BX194" s="74"/>
      <c r="BY194" s="74"/>
      <c r="BZ194" s="74"/>
      <c r="CA194" s="74"/>
      <c r="CB194" s="74"/>
      <c r="CC194" s="74"/>
      <c r="CD194" s="74"/>
      <c r="CE194" s="74"/>
      <c r="CF194" s="4"/>
      <c r="CG194" s="4"/>
      <c r="CH194" s="4"/>
      <c r="CI194" s="4"/>
      <c r="CJ194" s="4"/>
      <c r="CK194" s="4"/>
      <c r="CL194" s="4"/>
      <c r="CM194" s="4"/>
      <c r="CN194" s="240">
        <f t="shared" si="480"/>
        <v>187</v>
      </c>
    </row>
    <row r="195" spans="1:92" hidden="1" outlineLevel="2">
      <c r="A195" s="144"/>
      <c r="B195" s="40" t="s">
        <v>122</v>
      </c>
      <c r="C195" s="48"/>
      <c r="D195" s="73"/>
      <c r="E195" s="73"/>
      <c r="F195" s="73"/>
      <c r="G195" s="73"/>
      <c r="H195" s="73"/>
      <c r="I195" s="73"/>
      <c r="J195" s="73"/>
      <c r="K195" s="6"/>
      <c r="L195" s="6"/>
      <c r="M195" s="6"/>
      <c r="N195" s="6"/>
      <c r="O195" s="6"/>
      <c r="P195" s="6"/>
      <c r="Q195" s="6"/>
      <c r="R195" s="6"/>
      <c r="S195" s="4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48"/>
      <c r="BE195" s="48"/>
      <c r="BF195" s="48"/>
      <c r="BG195" s="48"/>
      <c r="BH195" s="48"/>
      <c r="BI195" s="48"/>
      <c r="BJ195" s="48"/>
      <c r="BK195" s="48"/>
      <c r="BL195" s="48"/>
      <c r="BM195" s="48"/>
      <c r="BN195" s="48"/>
      <c r="BO195" s="48"/>
      <c r="BP195" s="48"/>
      <c r="BQ195" s="48"/>
      <c r="BR195" s="48"/>
      <c r="BS195" s="48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240">
        <f t="shared" si="480"/>
        <v>188</v>
      </c>
    </row>
    <row r="196" spans="1:92" hidden="1" outlineLevel="2">
      <c r="A196" s="144"/>
      <c r="B196" s="45" t="s">
        <v>183</v>
      </c>
      <c r="C196" s="72">
        <f>SUMIF($T$5:$BT$5,C$5,$T196:$BT196)</f>
        <v>-12.247999999999999</v>
      </c>
      <c r="D196" s="72">
        <f>SUMIF($T$5:$BT$5,D$5,$T196:$BT196)</f>
        <v>-10.702000000000002</v>
      </c>
      <c r="E196" s="72">
        <f>SUMIF($T$5:$BT$5,E$5,$T196:$BT196)</f>
        <v>-9.3610000000000007</v>
      </c>
      <c r="F196" s="72">
        <f>SUMIF($T$5:$BT$5,F$5,$T196:$BT196)</f>
        <v>-12.232000000000001</v>
      </c>
      <c r="G196" s="72">
        <f t="shared" ref="G196:O198" si="615">SUMIF($T$5:$CF$5,G$5,$T196:$CF196)</f>
        <v>-13.143000000000001</v>
      </c>
      <c r="H196" s="72">
        <f t="shared" si="615"/>
        <v>-17.018999999999998</v>
      </c>
      <c r="I196" s="72">
        <f t="shared" si="615"/>
        <v>-17.654</v>
      </c>
      <c r="J196" s="72">
        <f t="shared" si="615"/>
        <v>-17.684999999999999</v>
      </c>
      <c r="K196" s="72">
        <f t="shared" si="615"/>
        <v>-17.071999999999999</v>
      </c>
      <c r="L196" s="72">
        <f t="shared" si="615"/>
        <v>-13.484999999999999</v>
      </c>
      <c r="M196" s="72">
        <f t="shared" si="615"/>
        <v>-15.037000000000001</v>
      </c>
      <c r="N196" s="72">
        <f t="shared" si="615"/>
        <v>-17.561</v>
      </c>
      <c r="O196" s="72">
        <f t="shared" si="615"/>
        <v>-18.509629950117677</v>
      </c>
      <c r="P196" s="72">
        <f t="shared" ref="P196:Q198" si="616">SUMIF($T$5:$CF$5,P$5,$T196:$CF196)</f>
        <v>-20.936780675693988</v>
      </c>
      <c r="Q196" s="72">
        <f t="shared" si="616"/>
        <v>-23.721658809731576</v>
      </c>
      <c r="R196" s="72"/>
      <c r="S196" s="4"/>
      <c r="T196" s="195">
        <f>-2.561</f>
        <v>-2.5609999999999999</v>
      </c>
      <c r="U196" s="195">
        <v>-2.1040000000000001</v>
      </c>
      <c r="V196" s="195">
        <v>-2.65</v>
      </c>
      <c r="W196" s="195">
        <v>-2.9060000000000001</v>
      </c>
      <c r="X196" s="195">
        <v>-2.9449999999999998</v>
      </c>
      <c r="Y196" s="195">
        <v>-3.024</v>
      </c>
      <c r="Z196" s="195">
        <v>-3.2010000000000001</v>
      </c>
      <c r="AA196" s="195">
        <v>-3.0779999999999998</v>
      </c>
      <c r="AB196" s="195">
        <v>-2.391</v>
      </c>
      <c r="AC196" s="195">
        <v>-2.8540000000000001</v>
      </c>
      <c r="AD196" s="195">
        <v>-2.7280000000000002</v>
      </c>
      <c r="AE196" s="195">
        <v>-2.7290000000000001</v>
      </c>
      <c r="AF196" s="195">
        <v>-2.6309999999999998</v>
      </c>
      <c r="AG196" s="195">
        <v>-2.395</v>
      </c>
      <c r="AH196" s="195">
        <v>-2.7429999999999999</v>
      </c>
      <c r="AI196" s="195">
        <v>-1.5920000000000001</v>
      </c>
      <c r="AJ196" s="195">
        <v>-3.18</v>
      </c>
      <c r="AK196" s="195">
        <v>-2.9820000000000002</v>
      </c>
      <c r="AL196" s="195">
        <v>-3.105</v>
      </c>
      <c r="AM196" s="195">
        <v>-2.9649999999999999</v>
      </c>
      <c r="AN196" s="195">
        <v>-3.4359999999999999</v>
      </c>
      <c r="AO196" s="195">
        <v>-2.4260000000000002</v>
      </c>
      <c r="AP196" s="195">
        <v>-3.7549999999999999</v>
      </c>
      <c r="AQ196" s="195">
        <v>-3.5259999999999998</v>
      </c>
      <c r="AR196" s="195">
        <v>-4.9359999999999999</v>
      </c>
      <c r="AS196" s="195">
        <v>-3.4740000000000002</v>
      </c>
      <c r="AT196" s="195">
        <v>-3.3650000000000002</v>
      </c>
      <c r="AU196" s="195">
        <v>-5.2439999999999998</v>
      </c>
      <c r="AV196" s="195">
        <v>-5.2549999999999999</v>
      </c>
      <c r="AW196" s="195">
        <v>-3.1520000000000001</v>
      </c>
      <c r="AX196" s="195">
        <v>-4.7930000000000001</v>
      </c>
      <c r="AY196" s="195">
        <v>-4.4539999999999997</v>
      </c>
      <c r="AZ196" s="195">
        <v>-4.9000000000000004</v>
      </c>
      <c r="BA196" s="195">
        <v>-3.5939999999999999</v>
      </c>
      <c r="BB196" s="195">
        <v>-5.0979999999999999</v>
      </c>
      <c r="BC196" s="195">
        <v>-4.093</v>
      </c>
      <c r="BD196" s="195">
        <v>-4.8890000000000002</v>
      </c>
      <c r="BE196" s="195">
        <v>-4.2789999999999999</v>
      </c>
      <c r="BF196" s="195">
        <v>-3.2389999999999999</v>
      </c>
      <c r="BG196" s="195">
        <f>-17.072-BF196-BE196-BD196</f>
        <v>-4.6649999999999983</v>
      </c>
      <c r="BH196" s="195">
        <v>-4.5570000000000004</v>
      </c>
      <c r="BI196" s="195">
        <v>-3.544</v>
      </c>
      <c r="BJ196" s="56">
        <f t="shared" ref="BJ196:CE196" si="617">BJ23</f>
        <v>-1.5940000000000001</v>
      </c>
      <c r="BK196" s="56">
        <f t="shared" si="617"/>
        <v>-3.79</v>
      </c>
      <c r="BL196" s="56">
        <f t="shared" si="617"/>
        <v>-4.4429999999999996</v>
      </c>
      <c r="BM196" s="56">
        <f t="shared" si="617"/>
        <v>-3.8839999999999999</v>
      </c>
      <c r="BN196" s="56">
        <f t="shared" si="617"/>
        <v>-3.3969999999999998</v>
      </c>
      <c r="BO196" s="56">
        <f t="shared" si="617"/>
        <v>-3.3130000000000002</v>
      </c>
      <c r="BP196" s="56">
        <f t="shared" si="617"/>
        <v>-3.927</v>
      </c>
      <c r="BQ196" s="56">
        <f t="shared" si="617"/>
        <v>-4.319</v>
      </c>
      <c r="BR196" s="56">
        <f t="shared" si="617"/>
        <v>-5.4329999999999998</v>
      </c>
      <c r="BS196" s="56">
        <f t="shared" si="617"/>
        <v>-3.8820000000000001</v>
      </c>
      <c r="BT196" s="56">
        <f t="shared" si="617"/>
        <v>-4.6128134718055511</v>
      </c>
      <c r="BU196" s="56">
        <f t="shared" si="617"/>
        <v>-4.6247910509512069</v>
      </c>
      <c r="BV196" s="56">
        <f t="shared" si="617"/>
        <v>-4.6358837736622354</v>
      </c>
      <c r="BW196" s="56">
        <f t="shared" si="617"/>
        <v>-4.6361416536986839</v>
      </c>
      <c r="BX196" s="56">
        <f t="shared" si="617"/>
        <v>-4.8615168538726623</v>
      </c>
      <c r="BY196" s="56">
        <f t="shared" si="617"/>
        <v>-5.0981099698761572</v>
      </c>
      <c r="BZ196" s="56">
        <f t="shared" si="617"/>
        <v>-5.3464862452953046</v>
      </c>
      <c r="CA196" s="56">
        <f t="shared" si="617"/>
        <v>-5.6306676066498653</v>
      </c>
      <c r="CB196" s="56">
        <f t="shared" si="617"/>
        <v>-5.7628658981884291</v>
      </c>
      <c r="CC196" s="56">
        <f t="shared" si="617"/>
        <v>-5.8729883743285214</v>
      </c>
      <c r="CD196" s="56">
        <f t="shared" si="617"/>
        <v>-5.985467452978412</v>
      </c>
      <c r="CE196" s="56">
        <f t="shared" si="617"/>
        <v>-6.1003370842362115</v>
      </c>
      <c r="CF196" s="4"/>
      <c r="CG196" s="4"/>
      <c r="CH196" s="4"/>
      <c r="CI196" s="4"/>
      <c r="CJ196" s="4"/>
      <c r="CK196" s="4"/>
      <c r="CL196" s="4"/>
      <c r="CM196" s="4"/>
      <c r="CN196" s="240">
        <f t="shared" si="480"/>
        <v>189</v>
      </c>
    </row>
    <row r="197" spans="1:92" hidden="1" outlineLevel="2">
      <c r="A197" s="144"/>
      <c r="B197" s="45" t="s">
        <v>52</v>
      </c>
      <c r="C197" s="195">
        <v>-0.93200000000000005</v>
      </c>
      <c r="D197" s="72">
        <f t="shared" ref="D197:F198" si="618">SUMIF($T$5:$BT$5,D$5,$T197:$BT197)</f>
        <v>-0.96399999999999997</v>
      </c>
      <c r="E197" s="72">
        <f t="shared" si="618"/>
        <v>-0.86699999999999999</v>
      </c>
      <c r="F197" s="72">
        <f t="shared" si="618"/>
        <v>-0.71499999999999997</v>
      </c>
      <c r="G197" s="72">
        <f t="shared" si="615"/>
        <v>-0.24000000000000002</v>
      </c>
      <c r="H197" s="72">
        <f t="shared" si="615"/>
        <v>-0.189</v>
      </c>
      <c r="I197" s="72">
        <f t="shared" si="615"/>
        <v>-0.43</v>
      </c>
      <c r="J197" s="72">
        <f t="shared" si="615"/>
        <v>-0.68500000000000005</v>
      </c>
      <c r="K197" s="72">
        <f t="shared" si="615"/>
        <v>-0.59899999999999998</v>
      </c>
      <c r="L197" s="72">
        <f t="shared" si="615"/>
        <v>-0.502</v>
      </c>
      <c r="M197" s="72">
        <f t="shared" si="615"/>
        <v>-0.47099999999999997</v>
      </c>
      <c r="N197" s="72">
        <f t="shared" si="615"/>
        <v>-0.46</v>
      </c>
      <c r="O197" s="72">
        <f t="shared" si="615"/>
        <v>-0.5096299501176782</v>
      </c>
      <c r="P197" s="72">
        <f t="shared" si="616"/>
        <v>-0.57144005069398507</v>
      </c>
      <c r="Q197" s="72">
        <f t="shared" si="616"/>
        <v>-0.72649190594206403</v>
      </c>
      <c r="R197" s="72"/>
      <c r="S197" s="4"/>
      <c r="T197" s="195"/>
      <c r="U197" s="195"/>
      <c r="V197" s="195"/>
      <c r="W197" s="195"/>
      <c r="X197" s="195"/>
      <c r="Y197" s="195"/>
      <c r="Z197" s="195"/>
      <c r="AA197" s="195"/>
      <c r="AB197" s="195">
        <v>-0.23799999999999999</v>
      </c>
      <c r="AC197" s="195">
        <f>(-0.484-AB197)</f>
        <v>-0.246</v>
      </c>
      <c r="AD197" s="195">
        <f>(-0.731-AC197-AB197)</f>
        <v>-0.247</v>
      </c>
      <c r="AE197" s="195">
        <f>(-0.964-AD197-AC197-AB197)</f>
        <v>-0.23299999999999998</v>
      </c>
      <c r="AF197" s="195">
        <v>-0.22900000000000001</v>
      </c>
      <c r="AG197" s="195">
        <f>(-0.447-AF197)</f>
        <v>-0.218</v>
      </c>
      <c r="AH197" s="195">
        <f>(-0.669-AG197-AF197)</f>
        <v>-0.22200000000000006</v>
      </c>
      <c r="AI197" s="195">
        <f>(-0.867-AH197-AG197-AF197)</f>
        <v>-0.19799999999999993</v>
      </c>
      <c r="AJ197" s="195">
        <v>-0.186</v>
      </c>
      <c r="AK197" s="195">
        <f>(-0.371-AJ197)</f>
        <v>-0.185</v>
      </c>
      <c r="AL197" s="195">
        <f>(-0.557-AK197-AJ197)</f>
        <v>-0.18600000000000005</v>
      </c>
      <c r="AM197" s="195">
        <f>(-0.715-AL197-AK197-AJ197)</f>
        <v>-0.15799999999999992</v>
      </c>
      <c r="AN197" s="195">
        <v>-6.5000000000000002E-2</v>
      </c>
      <c r="AO197" s="195">
        <f>(-0.112-AN197)</f>
        <v>-4.7E-2</v>
      </c>
      <c r="AP197" s="195">
        <f>(-0.158-AO197-AN197)</f>
        <v>-4.5999999999999999E-2</v>
      </c>
      <c r="AQ197" s="195">
        <f>(-0.24-AP197-AO197-AN197)</f>
        <v>-8.2000000000000017E-2</v>
      </c>
      <c r="AR197" s="195">
        <v>-4.7E-2</v>
      </c>
      <c r="AS197" s="195">
        <f>(-0.094-AR197)</f>
        <v>-4.7E-2</v>
      </c>
      <c r="AT197" s="195">
        <f>(-0.142-AS197-AR197)</f>
        <v>-4.7999999999999987E-2</v>
      </c>
      <c r="AU197" s="195">
        <f>(-0.189-AT197-AS197-AR197)</f>
        <v>-4.7000000000000014E-2</v>
      </c>
      <c r="AV197" s="195">
        <v>-6.7000000000000004E-2</v>
      </c>
      <c r="AW197" s="195">
        <f>(-0.177-AV197)</f>
        <v>-0.10999999999999999</v>
      </c>
      <c r="AX197" s="195">
        <f>(-0.297-AW197-AV197)</f>
        <v>-0.12</v>
      </c>
      <c r="AY197" s="195">
        <f>(-0.43-AX197-AW197-AV197)</f>
        <v>-0.13300000000000001</v>
      </c>
      <c r="AZ197" s="195">
        <v>-0.17199999999999999</v>
      </c>
      <c r="BA197" s="195">
        <f>(-0.343-AZ197)</f>
        <v>-0.17100000000000004</v>
      </c>
      <c r="BB197" s="195">
        <f>(-0.513-BA197-AZ197)</f>
        <v>-0.16999999999999998</v>
      </c>
      <c r="BC197" s="195">
        <f>(-0.685-BB197-BA197-AZ197)</f>
        <v>-0.1720000000000001</v>
      </c>
      <c r="BD197" s="195">
        <v>-0.17199999999999999</v>
      </c>
      <c r="BE197" s="195">
        <f>(-0.32-BD197)</f>
        <v>-0.14800000000000002</v>
      </c>
      <c r="BF197" s="195">
        <f>(-0.46-BD197-BE197)</f>
        <v>-0.14000000000000001</v>
      </c>
      <c r="BG197" s="195">
        <f>-0.599-BF197-BE197-BD197</f>
        <v>-0.13899999999999996</v>
      </c>
      <c r="BH197" s="195">
        <v>-0.13400000000000001</v>
      </c>
      <c r="BI197" s="195">
        <f>-0.529-BH197</f>
        <v>-0.39500000000000002</v>
      </c>
      <c r="BJ197" s="195">
        <f>-0.379-BI197-BH197</f>
        <v>0.15000000000000002</v>
      </c>
      <c r="BK197" s="195">
        <f>-0.502-BJ197-BI197-BH197</f>
        <v>-0.123</v>
      </c>
      <c r="BL197" s="195">
        <v>-0.11899999999999999</v>
      </c>
      <c r="BM197" s="195">
        <f>-0.237-BL197</f>
        <v>-0.11799999999999999</v>
      </c>
      <c r="BN197" s="195">
        <f>-0.354-BM197-BL197</f>
        <v>-0.11699999999999999</v>
      </c>
      <c r="BO197" s="195">
        <f>-0.471-BN197-BM197-BL197</f>
        <v>-0.11699999999999999</v>
      </c>
      <c r="BP197" s="195">
        <v>-0.11700000000000001</v>
      </c>
      <c r="BQ197" s="195">
        <f>-0.233-BP197</f>
        <v>-0.11600000000000001</v>
      </c>
      <c r="BR197" s="195">
        <f>-0.347-BQ197-BP197</f>
        <v>-0.11399999999999998</v>
      </c>
      <c r="BS197" s="195">
        <f>-0.46-BR197-BQ197-BP197</f>
        <v>-0.11300000000000003</v>
      </c>
      <c r="BT197" s="56">
        <f t="shared" ref="BT197:CE197" si="619">BT62</f>
        <v>-0.11281347180555122</v>
      </c>
      <c r="BU197" s="56">
        <f t="shared" si="619"/>
        <v>-0.12479105095120734</v>
      </c>
      <c r="BV197" s="56">
        <f t="shared" si="619"/>
        <v>-0.13588377366223572</v>
      </c>
      <c r="BW197" s="56">
        <f t="shared" si="619"/>
        <v>-0.13614165369868395</v>
      </c>
      <c r="BX197" s="56">
        <f t="shared" si="619"/>
        <v>-0.13651685387266155</v>
      </c>
      <c r="BY197" s="56">
        <f t="shared" si="619"/>
        <v>-0.13685996987615612</v>
      </c>
      <c r="BZ197" s="56">
        <f t="shared" si="619"/>
        <v>-0.13717374529530374</v>
      </c>
      <c r="CA197" s="56">
        <f t="shared" si="619"/>
        <v>-0.16088948164986369</v>
      </c>
      <c r="CB197" s="56">
        <f t="shared" si="619"/>
        <v>-0.18369221068842692</v>
      </c>
      <c r="CC197" s="56">
        <f t="shared" si="619"/>
        <v>-0.18223121307851933</v>
      </c>
      <c r="CD197" s="56">
        <f t="shared" si="619"/>
        <v>-0.18089514850340918</v>
      </c>
      <c r="CE197" s="56">
        <f t="shared" si="619"/>
        <v>-0.17967333367170862</v>
      </c>
      <c r="CF197" s="4"/>
      <c r="CG197" s="4"/>
      <c r="CH197" s="4"/>
      <c r="CI197" s="4"/>
      <c r="CJ197" s="4"/>
      <c r="CK197" s="4"/>
      <c r="CL197" s="4"/>
      <c r="CM197" s="4"/>
      <c r="CN197" s="240">
        <f t="shared" si="480"/>
        <v>190</v>
      </c>
    </row>
    <row r="198" spans="1:92" hidden="1" outlineLevel="2">
      <c r="A198" s="144"/>
      <c r="B198" s="45" t="s">
        <v>150</v>
      </c>
      <c r="C198" s="195">
        <v>-5.7910000000000004</v>
      </c>
      <c r="D198" s="72">
        <f t="shared" si="618"/>
        <v>-2.2309999999999999</v>
      </c>
      <c r="E198" s="72">
        <f t="shared" si="618"/>
        <v>-1.026</v>
      </c>
      <c r="F198" s="72">
        <f t="shared" si="618"/>
        <v>-0.435</v>
      </c>
      <c r="G198" s="72">
        <f t="shared" si="615"/>
        <v>-1.1120000000000001</v>
      </c>
      <c r="H198" s="72">
        <f t="shared" si="615"/>
        <v>-3.9950000000000001</v>
      </c>
      <c r="I198" s="72">
        <f t="shared" si="615"/>
        <v>-5.1969999999999992</v>
      </c>
      <c r="J198" s="72">
        <f t="shared" si="615"/>
        <v>-1.845</v>
      </c>
      <c r="K198" s="72">
        <f t="shared" si="615"/>
        <v>-1.4219999999999999</v>
      </c>
      <c r="L198" s="72">
        <f t="shared" si="615"/>
        <v>-1.01</v>
      </c>
      <c r="M198" s="72">
        <f t="shared" si="615"/>
        <v>-2.63</v>
      </c>
      <c r="N198" s="72">
        <f t="shared" si="615"/>
        <v>-1.4289999999999998</v>
      </c>
      <c r="O198" s="72">
        <f t="shared" si="615"/>
        <v>-3.3281755292517508</v>
      </c>
      <c r="P198" s="72">
        <f t="shared" si="616"/>
        <v>-4.792040312495808</v>
      </c>
      <c r="Q198" s="72">
        <f t="shared" si="616"/>
        <v>-2.8446066975269031</v>
      </c>
      <c r="R198" s="72"/>
      <c r="S198" s="4"/>
      <c r="T198" s="195"/>
      <c r="U198" s="195"/>
      <c r="V198" s="195"/>
      <c r="W198" s="195"/>
      <c r="X198" s="195"/>
      <c r="Y198" s="195"/>
      <c r="Z198" s="195"/>
      <c r="AA198" s="195"/>
      <c r="AB198" s="195">
        <v>-0.219</v>
      </c>
      <c r="AC198" s="195">
        <f>(-0.675-AB198)</f>
        <v>-0.45600000000000007</v>
      </c>
      <c r="AD198" s="195">
        <f>(-1.367-AC198-AB198)</f>
        <v>-0.69199999999999995</v>
      </c>
      <c r="AE198" s="195">
        <f>(-2.231-AD198-AC198-AB198)</f>
        <v>-0.86399999999999977</v>
      </c>
      <c r="AF198" s="195">
        <v>-0.14799999999999999</v>
      </c>
      <c r="AG198" s="195">
        <f>(-0.302-AF198)</f>
        <v>-0.154</v>
      </c>
      <c r="AH198" s="195">
        <f>(-0.91-AG198-AF198)</f>
        <v>-0.60799999999999998</v>
      </c>
      <c r="AI198" s="195">
        <f>(-1.026-AH198-AG198-AF198)</f>
        <v>-0.11600000000000002</v>
      </c>
      <c r="AJ198" s="195">
        <v>-0.11600000000000001</v>
      </c>
      <c r="AK198" s="195">
        <f>(-0.353-AJ198)</f>
        <v>-0.23699999999999999</v>
      </c>
      <c r="AL198" s="195">
        <f>(-0.372-AK198-AJ198)</f>
        <v>-1.9000000000000003E-2</v>
      </c>
      <c r="AM198" s="195">
        <f>(-0.435-AL198-AK198-AJ198)</f>
        <v>-6.2999999999999987E-2</v>
      </c>
      <c r="AN198" s="195">
        <v>-0.55000000000000004</v>
      </c>
      <c r="AO198" s="195">
        <f>(-0.699-AN198)</f>
        <v>-0.14899999999999991</v>
      </c>
      <c r="AP198" s="195">
        <f>(-0.853-AO198-AN198)</f>
        <v>-0.15400000000000003</v>
      </c>
      <c r="AQ198" s="195">
        <f>(-1.112-AP198-AO198-AN198)</f>
        <v>-0.25900000000000012</v>
      </c>
      <c r="AR198" s="195">
        <v>-0.97699999999999998</v>
      </c>
      <c r="AS198" s="195">
        <f>(-1.466-AR198)</f>
        <v>-0.48899999999999999</v>
      </c>
      <c r="AT198" s="195">
        <f>(-2.239-AS198-AR198)</f>
        <v>-0.77300000000000002</v>
      </c>
      <c r="AU198" s="195">
        <f>(-3.995-AT198-AS198-AR198)</f>
        <v>-1.7560000000000002</v>
      </c>
      <c r="AV198" s="195">
        <v>-1.032</v>
      </c>
      <c r="AW198" s="195">
        <f>(-2.606-AV198)</f>
        <v>-1.5739999999999998</v>
      </c>
      <c r="AX198" s="195">
        <f>(-3.023-AW198-AV198)</f>
        <v>-0.41700000000000026</v>
      </c>
      <c r="AY198" s="195">
        <f>(-5.197-AX198-AW198-AV198)</f>
        <v>-2.1739999999999995</v>
      </c>
      <c r="AZ198" s="195">
        <v>-0.48799999999999999</v>
      </c>
      <c r="BA198" s="195">
        <f>(-0.647-AZ198)</f>
        <v>-0.15900000000000003</v>
      </c>
      <c r="BB198" s="195">
        <f>(-1.151-BA198-AZ198)</f>
        <v>-0.504</v>
      </c>
      <c r="BC198" s="195">
        <f>(-1.845-BB198-BA198-AZ198)</f>
        <v>-0.69399999999999995</v>
      </c>
      <c r="BD198" s="195">
        <v>-0.02</v>
      </c>
      <c r="BE198" s="195">
        <f>(-0.567-BD198)</f>
        <v>-0.54699999999999993</v>
      </c>
      <c r="BF198" s="195">
        <f>(-0.869-BD198-BE198)</f>
        <v>-0.30200000000000005</v>
      </c>
      <c r="BG198" s="195">
        <f>-1.422-BF198-BE198-BD198</f>
        <v>-0.55299999999999994</v>
      </c>
      <c r="BH198" s="195">
        <v>-0.52200000000000002</v>
      </c>
      <c r="BI198" s="195">
        <f>-0.529-BH198</f>
        <v>-7.0000000000000062E-3</v>
      </c>
      <c r="BJ198" s="195">
        <f>-0.755-BI198-BH198</f>
        <v>-0.22599999999999998</v>
      </c>
      <c r="BK198" s="195">
        <f>-1.01-BJ198-BI198-BH198</f>
        <v>-0.255</v>
      </c>
      <c r="BL198" s="195">
        <v>-0.69099999999999995</v>
      </c>
      <c r="BM198" s="195">
        <f>-1.519-BL198</f>
        <v>-0.82799999999999996</v>
      </c>
      <c r="BN198" s="195">
        <f>-2.368-BM198-BL198</f>
        <v>-0.84900000000000009</v>
      </c>
      <c r="BO198" s="195">
        <f>-2.63-BN198-BM198-BL198</f>
        <v>-0.26199999999999979</v>
      </c>
      <c r="BP198" s="195">
        <v>-3.2000000000000001E-2</v>
      </c>
      <c r="BQ198" s="195">
        <f>-0.198-BP198</f>
        <v>-0.16600000000000001</v>
      </c>
      <c r="BR198" s="195">
        <f>-0.902-BQ198-BP198</f>
        <v>-0.70399999999999996</v>
      </c>
      <c r="BS198" s="195">
        <f>-1.429-BR198-BQ198-BP198</f>
        <v>-0.52700000000000002</v>
      </c>
      <c r="BT198" s="80">
        <f t="shared" ref="BT198:CE198" si="620">SUM(BP198:BS198)/SUM(BP$242:BS$242)*BT$242</f>
        <v>-1.0348055787216295</v>
      </c>
      <c r="BU198" s="80">
        <f t="shared" si="620"/>
        <v>-1.0909889263455255</v>
      </c>
      <c r="BV198" s="80">
        <f t="shared" si="620"/>
        <v>-0.60905848694932352</v>
      </c>
      <c r="BW198" s="80">
        <f t="shared" si="620"/>
        <v>-0.59332253723527217</v>
      </c>
      <c r="BX198" s="80">
        <f t="shared" si="620"/>
        <v>-0.59442368288368685</v>
      </c>
      <c r="BY198" s="80">
        <f t="shared" si="620"/>
        <v>-0.60168663096986963</v>
      </c>
      <c r="BZ198" s="80">
        <f t="shared" si="620"/>
        <v>-1.7738165342279919</v>
      </c>
      <c r="CA198" s="80">
        <f t="shared" si="620"/>
        <v>-1.8221134644142596</v>
      </c>
      <c r="CB198" s="80">
        <f t="shared" si="620"/>
        <v>-0.71086527755320827</v>
      </c>
      <c r="CC198" s="80">
        <f t="shared" si="620"/>
        <v>-0.71161563723934906</v>
      </c>
      <c r="CD198" s="80">
        <f t="shared" si="620"/>
        <v>-0.7114094742637056</v>
      </c>
      <c r="CE198" s="80">
        <f t="shared" si="620"/>
        <v>-0.71071630847064016</v>
      </c>
      <c r="CF198" s="4"/>
      <c r="CG198" s="4"/>
      <c r="CH198" s="4"/>
      <c r="CI198" s="4"/>
      <c r="CJ198" s="4"/>
      <c r="CK198" s="4"/>
      <c r="CL198" s="4"/>
      <c r="CM198" s="4"/>
      <c r="CN198" s="240">
        <f t="shared" si="480"/>
        <v>191</v>
      </c>
    </row>
    <row r="199" spans="1:92" hidden="1" outlineLevel="2">
      <c r="A199" s="144"/>
      <c r="B199" s="45" t="s">
        <v>184</v>
      </c>
      <c r="C199" s="195">
        <v>31.742999999999999</v>
      </c>
      <c r="D199" s="72">
        <f>AE199</f>
        <v>52.148000000000003</v>
      </c>
      <c r="E199" s="72">
        <f>AI199</f>
        <v>46.762</v>
      </c>
      <c r="F199" s="72">
        <f>AM199</f>
        <v>51.005000000000003</v>
      </c>
      <c r="G199" s="72">
        <f>AQ199</f>
        <v>61.213000000000001</v>
      </c>
      <c r="H199" s="72">
        <f>AU199</f>
        <v>56.896000000000001</v>
      </c>
      <c r="I199" s="72">
        <f>AY199</f>
        <v>63.427999999999997</v>
      </c>
      <c r="J199" s="72">
        <f>BC199</f>
        <v>67.739999999999995</v>
      </c>
      <c r="K199" s="72">
        <f>BG199</f>
        <v>87.585999999999999</v>
      </c>
      <c r="L199" s="72">
        <f>BK199</f>
        <v>152.071</v>
      </c>
      <c r="M199" s="72">
        <f>BO199</f>
        <v>225.56800000000001</v>
      </c>
      <c r="N199" s="72">
        <f>BS199</f>
        <v>174.85300000000001</v>
      </c>
      <c r="O199" s="72">
        <f>BW199</f>
        <v>177.67154557913409</v>
      </c>
      <c r="P199" s="72">
        <f>BX199</f>
        <v>178.12945240814514</v>
      </c>
      <c r="Q199" s="72">
        <f>BY199</f>
        <v>178.59427906923887</v>
      </c>
      <c r="R199" s="72"/>
      <c r="S199" s="4"/>
      <c r="T199" s="195"/>
      <c r="U199" s="195"/>
      <c r="V199" s="195"/>
      <c r="W199" s="195"/>
      <c r="X199" s="195"/>
      <c r="Y199" s="195"/>
      <c r="Z199" s="195"/>
      <c r="AA199" s="195"/>
      <c r="AB199" s="195">
        <v>32.622</v>
      </c>
      <c r="AC199" s="195">
        <v>38.834000000000003</v>
      </c>
      <c r="AD199" s="195">
        <v>45.664999999999999</v>
      </c>
      <c r="AE199" s="195">
        <v>52.148000000000003</v>
      </c>
      <c r="AF199" s="195">
        <v>49.427</v>
      </c>
      <c r="AG199" s="195">
        <v>39.362000000000002</v>
      </c>
      <c r="AH199" s="195">
        <v>50.350999999999999</v>
      </c>
      <c r="AI199" s="195">
        <v>46.762</v>
      </c>
      <c r="AJ199" s="195">
        <v>42.000999999999998</v>
      </c>
      <c r="AK199" s="195">
        <v>48.274999999999999</v>
      </c>
      <c r="AL199" s="195">
        <v>47.844999999999999</v>
      </c>
      <c r="AM199" s="195">
        <v>51.005000000000003</v>
      </c>
      <c r="AN199" s="195">
        <v>40.368000000000002</v>
      </c>
      <c r="AO199" s="195">
        <v>33.030999999999999</v>
      </c>
      <c r="AP199" s="195">
        <v>35.22</v>
      </c>
      <c r="AQ199" s="195">
        <v>61.213000000000001</v>
      </c>
      <c r="AR199" s="195">
        <v>47.613</v>
      </c>
      <c r="AS199" s="195">
        <v>42.509</v>
      </c>
      <c r="AT199" s="195">
        <v>43.451999999999998</v>
      </c>
      <c r="AU199" s="195">
        <v>56.896000000000001</v>
      </c>
      <c r="AV199" s="195">
        <v>49.292000000000002</v>
      </c>
      <c r="AW199" s="195">
        <v>50.05</v>
      </c>
      <c r="AX199" s="195">
        <v>51.389000000000003</v>
      </c>
      <c r="AY199" s="195">
        <v>63.427999999999997</v>
      </c>
      <c r="AZ199" s="195">
        <v>67.097999999999999</v>
      </c>
      <c r="BA199" s="195">
        <v>53.969000000000001</v>
      </c>
      <c r="BB199" s="195">
        <v>79.082999999999998</v>
      </c>
      <c r="BC199" s="195">
        <v>67.739999999999995</v>
      </c>
      <c r="BD199" s="195">
        <v>96.94</v>
      </c>
      <c r="BE199" s="195">
        <v>84.712000000000003</v>
      </c>
      <c r="BF199" s="195">
        <v>63.557000000000002</v>
      </c>
      <c r="BG199" s="195">
        <v>87.585999999999999</v>
      </c>
      <c r="BH199" s="195">
        <v>77.08</v>
      </c>
      <c r="BI199" s="195">
        <v>92.72</v>
      </c>
      <c r="BJ199" s="195">
        <v>76.399000000000001</v>
      </c>
      <c r="BK199" s="195">
        <v>152.071</v>
      </c>
      <c r="BL199" s="195">
        <v>184.90700000000001</v>
      </c>
      <c r="BM199" s="195">
        <v>226.614</v>
      </c>
      <c r="BN199" s="195">
        <v>224.7</v>
      </c>
      <c r="BO199" s="195">
        <v>225.56800000000001</v>
      </c>
      <c r="BP199" s="195">
        <v>191.64500000000001</v>
      </c>
      <c r="BQ199" s="195">
        <v>173.286</v>
      </c>
      <c r="BR199" s="195">
        <v>178.36199999999999</v>
      </c>
      <c r="BS199" s="195">
        <v>174.85300000000001</v>
      </c>
      <c r="BT199" s="78">
        <f>+BS199-BT198+BT197</f>
        <v>175.7749921069161</v>
      </c>
      <c r="BU199" s="78">
        <f>+BT199-BU198+BU197</f>
        <v>176.7411899823104</v>
      </c>
      <c r="BV199" s="78">
        <f>+BU199-BV198+BV197</f>
        <v>177.21436469559748</v>
      </c>
      <c r="BW199" s="78">
        <f>+BV199-BW198+BW197</f>
        <v>177.67154557913409</v>
      </c>
      <c r="BX199" s="78">
        <f t="shared" ref="BX199:CE199" si="621">+BW199-BX198+BX197</f>
        <v>178.12945240814514</v>
      </c>
      <c r="BY199" s="78">
        <f t="shared" si="621"/>
        <v>178.59427906923887</v>
      </c>
      <c r="BZ199" s="78">
        <f t="shared" si="621"/>
        <v>180.23092185817154</v>
      </c>
      <c r="CA199" s="78">
        <f t="shared" si="621"/>
        <v>181.89214584093594</v>
      </c>
      <c r="CB199" s="78">
        <f t="shared" si="621"/>
        <v>182.41931890780072</v>
      </c>
      <c r="CC199" s="78">
        <f t="shared" si="621"/>
        <v>182.94870333196155</v>
      </c>
      <c r="CD199" s="78">
        <f t="shared" si="621"/>
        <v>183.47921765772188</v>
      </c>
      <c r="CE199" s="78">
        <f t="shared" si="621"/>
        <v>184.01026063252081</v>
      </c>
      <c r="CF199" s="4"/>
      <c r="CG199" s="4"/>
      <c r="CH199" s="4"/>
      <c r="CI199" s="4"/>
      <c r="CJ199" s="4"/>
      <c r="CK199" s="4"/>
      <c r="CL199" s="4"/>
      <c r="CM199" s="4"/>
      <c r="CN199" s="240">
        <f t="shared" si="480"/>
        <v>192</v>
      </c>
    </row>
    <row r="200" spans="1:92" hidden="1" outlineLevel="2">
      <c r="A200" s="144"/>
      <c r="B200" s="45"/>
      <c r="C200" s="195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4"/>
      <c r="T200" s="195"/>
      <c r="U200" s="195"/>
      <c r="V200" s="195"/>
      <c r="W200" s="195"/>
      <c r="X200" s="195"/>
      <c r="Y200" s="195"/>
      <c r="Z200" s="195"/>
      <c r="AA200" s="195"/>
      <c r="AB200" s="195"/>
      <c r="AC200" s="195"/>
      <c r="AD200" s="195"/>
      <c r="AE200" s="195"/>
      <c r="AF200" s="195"/>
      <c r="AG200" s="195"/>
      <c r="AH200" s="195"/>
      <c r="AI200" s="195"/>
      <c r="AJ200" s="195"/>
      <c r="AK200" s="195"/>
      <c r="AL200" s="195"/>
      <c r="AM200" s="195"/>
      <c r="AN200" s="195"/>
      <c r="AO200" s="195"/>
      <c r="AP200" s="195"/>
      <c r="AQ200" s="195"/>
      <c r="AR200" s="195"/>
      <c r="AS200" s="195"/>
      <c r="AT200" s="195"/>
      <c r="AU200" s="195"/>
      <c r="AV200" s="195"/>
      <c r="AW200" s="195"/>
      <c r="AX200" s="195"/>
      <c r="AY200" s="195"/>
      <c r="AZ200" s="195"/>
      <c r="BA200" s="195"/>
      <c r="BB200" s="195"/>
      <c r="BC200" s="195"/>
      <c r="BD200" s="195"/>
      <c r="BE200" s="195"/>
      <c r="BF200" s="195"/>
      <c r="BG200" s="195"/>
      <c r="BH200" s="195"/>
      <c r="BI200" s="195"/>
      <c r="BJ200" s="195"/>
      <c r="BK200" s="195"/>
      <c r="BL200" s="195"/>
      <c r="BM200" s="195"/>
      <c r="BN200" s="195"/>
      <c r="BO200" s="195"/>
      <c r="BP200" s="195"/>
      <c r="BQ200" s="195"/>
      <c r="BR200" s="195"/>
      <c r="BS200" s="195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/>
      <c r="CD200" s="78"/>
      <c r="CE200" s="78"/>
      <c r="CF200" s="4"/>
      <c r="CG200" s="4"/>
      <c r="CH200" s="4"/>
      <c r="CI200" s="4"/>
      <c r="CJ200" s="4"/>
      <c r="CK200" s="4"/>
      <c r="CL200" s="4"/>
      <c r="CM200" s="4"/>
      <c r="CN200" s="240">
        <f t="shared" si="480"/>
        <v>193</v>
      </c>
    </row>
    <row r="201" spans="1:92" hidden="1" outlineLevel="2">
      <c r="A201" s="144"/>
      <c r="B201" s="45" t="s">
        <v>187</v>
      </c>
      <c r="C201" s="75">
        <f t="shared" ref="C201:O201" si="622">C198/C197</f>
        <v>6.2135193133047215</v>
      </c>
      <c r="D201" s="75">
        <f t="shared" si="622"/>
        <v>2.3143153526970952</v>
      </c>
      <c r="E201" s="75">
        <f t="shared" si="622"/>
        <v>1.1833910034602078</v>
      </c>
      <c r="F201" s="75">
        <f t="shared" si="622"/>
        <v>0.60839160839160844</v>
      </c>
      <c r="G201" s="75">
        <f t="shared" si="622"/>
        <v>4.6333333333333337</v>
      </c>
      <c r="H201" s="75">
        <f t="shared" si="622"/>
        <v>21.137566137566139</v>
      </c>
      <c r="I201" s="75">
        <f t="shared" si="622"/>
        <v>12.086046511627906</v>
      </c>
      <c r="J201" s="75">
        <f t="shared" si="622"/>
        <v>2.6934306569343063</v>
      </c>
      <c r="K201" s="75">
        <f t="shared" si="622"/>
        <v>2.373956594323873</v>
      </c>
      <c r="L201" s="75">
        <f t="shared" si="622"/>
        <v>2.0119521912350598</v>
      </c>
      <c r="M201" s="75">
        <f t="shared" si="622"/>
        <v>5.5838641188959661</v>
      </c>
      <c r="N201" s="75">
        <f t="shared" si="622"/>
        <v>3.1065217391304341</v>
      </c>
      <c r="O201" s="75">
        <f t="shared" si="622"/>
        <v>6.5305728764238538</v>
      </c>
      <c r="P201" s="75">
        <f>P198/P197</f>
        <v>8.3859020848750756</v>
      </c>
      <c r="Q201" s="75">
        <f>Q198/Q197</f>
        <v>3.9155380455866409</v>
      </c>
      <c r="R201" s="75"/>
      <c r="S201" s="4"/>
      <c r="T201" s="195"/>
      <c r="U201" s="195"/>
      <c r="V201" s="195"/>
      <c r="W201" s="195"/>
      <c r="X201" s="195"/>
      <c r="Y201" s="195"/>
      <c r="Z201" s="195"/>
      <c r="AA201" s="195"/>
      <c r="AB201" s="75">
        <f t="shared" ref="AB201:BW201" si="623">AB198/AB197</f>
        <v>0.92016806722689082</v>
      </c>
      <c r="AC201" s="75">
        <f t="shared" si="623"/>
        <v>1.8536585365853662</v>
      </c>
      <c r="AD201" s="75">
        <f t="shared" si="623"/>
        <v>2.8016194331983804</v>
      </c>
      <c r="AE201" s="75">
        <f t="shared" si="623"/>
        <v>3.7081545064377677</v>
      </c>
      <c r="AF201" s="75">
        <f t="shared" si="623"/>
        <v>0.64628820960698685</v>
      </c>
      <c r="AG201" s="75">
        <f t="shared" si="623"/>
        <v>0.70642201834862384</v>
      </c>
      <c r="AH201" s="75">
        <f t="shared" si="623"/>
        <v>2.7387387387387379</v>
      </c>
      <c r="AI201" s="75">
        <f t="shared" si="623"/>
        <v>0.58585858585858619</v>
      </c>
      <c r="AJ201" s="75">
        <f t="shared" si="623"/>
        <v>0.62365591397849462</v>
      </c>
      <c r="AK201" s="75">
        <f t="shared" si="623"/>
        <v>1.2810810810810811</v>
      </c>
      <c r="AL201" s="75">
        <f t="shared" si="623"/>
        <v>0.10215053763440859</v>
      </c>
      <c r="AM201" s="75">
        <f t="shared" si="623"/>
        <v>0.39873417721519</v>
      </c>
      <c r="AN201" s="75">
        <f t="shared" si="623"/>
        <v>8.4615384615384617</v>
      </c>
      <c r="AO201" s="75">
        <f t="shared" si="623"/>
        <v>3.1702127659574448</v>
      </c>
      <c r="AP201" s="75">
        <f t="shared" si="623"/>
        <v>3.3478260869565224</v>
      </c>
      <c r="AQ201" s="75">
        <f t="shared" si="623"/>
        <v>3.1585365853658542</v>
      </c>
      <c r="AR201" s="75">
        <f t="shared" si="623"/>
        <v>20.787234042553191</v>
      </c>
      <c r="AS201" s="75">
        <f t="shared" si="623"/>
        <v>10.404255319148936</v>
      </c>
      <c r="AT201" s="75">
        <f t="shared" si="623"/>
        <v>16.104166666666671</v>
      </c>
      <c r="AU201" s="75">
        <f t="shared" si="623"/>
        <v>37.361702127659569</v>
      </c>
      <c r="AV201" s="75">
        <f t="shared" si="623"/>
        <v>15.402985074626866</v>
      </c>
      <c r="AW201" s="75">
        <f t="shared" si="623"/>
        <v>14.309090909090909</v>
      </c>
      <c r="AX201" s="75">
        <f t="shared" si="623"/>
        <v>3.4750000000000023</v>
      </c>
      <c r="AY201" s="75">
        <f t="shared" si="623"/>
        <v>16.345864661654129</v>
      </c>
      <c r="AZ201" s="75">
        <f t="shared" si="623"/>
        <v>2.8372093023255816</v>
      </c>
      <c r="BA201" s="75">
        <f t="shared" si="623"/>
        <v>0.92982456140350878</v>
      </c>
      <c r="BB201" s="75">
        <f t="shared" si="623"/>
        <v>2.9647058823529413</v>
      </c>
      <c r="BC201" s="75">
        <f t="shared" si="623"/>
        <v>4.03488372093023</v>
      </c>
      <c r="BD201" s="75">
        <f t="shared" si="623"/>
        <v>0.11627906976744187</v>
      </c>
      <c r="BE201" s="75">
        <f t="shared" si="623"/>
        <v>3.6959459459459452</v>
      </c>
      <c r="BF201" s="75">
        <f t="shared" si="623"/>
        <v>2.1571428571428575</v>
      </c>
      <c r="BG201" s="75">
        <f t="shared" si="623"/>
        <v>3.9784172661870509</v>
      </c>
      <c r="BH201" s="75">
        <f t="shared" si="623"/>
        <v>3.8955223880597014</v>
      </c>
      <c r="BI201" s="75">
        <f t="shared" si="623"/>
        <v>1.7721518987341787E-2</v>
      </c>
      <c r="BJ201" s="75">
        <f t="shared" si="623"/>
        <v>-1.5066666666666664</v>
      </c>
      <c r="BK201" s="75">
        <f t="shared" si="623"/>
        <v>2.0731707317073171</v>
      </c>
      <c r="BL201" s="75">
        <f t="shared" si="623"/>
        <v>5.8067226890756301</v>
      </c>
      <c r="BM201" s="75">
        <f t="shared" si="623"/>
        <v>7.0169491525423728</v>
      </c>
      <c r="BN201" s="75">
        <f t="shared" ref="BN201:BS201" si="624">BN198/BN197</f>
        <v>7.2564102564102573</v>
      </c>
      <c r="BO201" s="75">
        <f t="shared" si="624"/>
        <v>2.2393162393162376</v>
      </c>
      <c r="BP201" s="75">
        <f t="shared" si="624"/>
        <v>0.27350427350427348</v>
      </c>
      <c r="BQ201" s="75">
        <f t="shared" si="624"/>
        <v>1.4310344827586208</v>
      </c>
      <c r="BR201" s="75">
        <f t="shared" si="624"/>
        <v>6.1754385964912286</v>
      </c>
      <c r="BS201" s="75">
        <f t="shared" si="624"/>
        <v>4.6637168141592911</v>
      </c>
      <c r="BT201" s="75">
        <f t="shared" si="623"/>
        <v>9.1727128166505878</v>
      </c>
      <c r="BU201" s="75">
        <f t="shared" si="623"/>
        <v>8.7425253496109789</v>
      </c>
      <c r="BV201" s="75">
        <f t="shared" si="623"/>
        <v>4.4822017414916013</v>
      </c>
      <c r="BW201" s="75">
        <f t="shared" si="623"/>
        <v>4.3581264155086998</v>
      </c>
      <c r="BX201" s="75">
        <f t="shared" ref="BX201:CE201" si="625">BX198/BX197</f>
        <v>4.3542146337341308</v>
      </c>
      <c r="BY201" s="75">
        <f t="shared" si="625"/>
        <v>4.3963668230698341</v>
      </c>
      <c r="BZ201" s="75">
        <f t="shared" si="625"/>
        <v>12.931166459072545</v>
      </c>
      <c r="CA201" s="75">
        <f t="shared" si="625"/>
        <v>11.325249144500575</v>
      </c>
      <c r="CB201" s="75">
        <f t="shared" si="625"/>
        <v>3.8698716450146931</v>
      </c>
      <c r="CC201" s="75">
        <f t="shared" si="625"/>
        <v>3.9050150916392674</v>
      </c>
      <c r="CD201" s="75">
        <f t="shared" si="625"/>
        <v>3.9327172682593985</v>
      </c>
      <c r="CE201" s="75">
        <f t="shared" si="625"/>
        <v>3.9556026147387593</v>
      </c>
      <c r="CF201" s="4"/>
      <c r="CG201" s="4"/>
      <c r="CH201" s="4"/>
      <c r="CI201" s="4"/>
      <c r="CJ201" s="4"/>
      <c r="CK201" s="4"/>
      <c r="CL201" s="4"/>
      <c r="CM201" s="4"/>
      <c r="CN201" s="240">
        <f t="shared" si="480"/>
        <v>194</v>
      </c>
    </row>
    <row r="202" spans="1:92" hidden="1" outlineLevel="2">
      <c r="A202" s="144"/>
      <c r="B202" s="45" t="s">
        <v>188</v>
      </c>
      <c r="C202" s="74">
        <f t="shared" ref="C202:Q202" si="626">C196*(1-C380)/C199</f>
        <v>-0.24115553035314871</v>
      </c>
      <c r="D202" s="74">
        <f t="shared" si="626"/>
        <v>-0.12826474649075709</v>
      </c>
      <c r="E202" s="74">
        <f t="shared" si="626"/>
        <v>-0.12511494375775203</v>
      </c>
      <c r="F202" s="74">
        <f t="shared" si="626"/>
        <v>-0.1498872659543182</v>
      </c>
      <c r="G202" s="74">
        <f t="shared" si="626"/>
        <v>-0.134193308610916</v>
      </c>
      <c r="H202" s="74">
        <f t="shared" si="626"/>
        <v>-0.1869529492407199</v>
      </c>
      <c r="I202" s="74">
        <f t="shared" si="626"/>
        <v>-0.17395708519896574</v>
      </c>
      <c r="J202" s="74">
        <f t="shared" si="626"/>
        <v>-0.16316984056687334</v>
      </c>
      <c r="K202" s="74">
        <f t="shared" si="626"/>
        <v>-0.12182312241682461</v>
      </c>
      <c r="L202" s="74">
        <f t="shared" si="626"/>
        <v>-5.542230274016742E-2</v>
      </c>
      <c r="M202" s="74">
        <f t="shared" si="626"/>
        <v>-4.1664265321322169E-2</v>
      </c>
      <c r="N202" s="74">
        <f t="shared" si="626"/>
        <v>-6.2770584433781515E-2</v>
      </c>
      <c r="O202" s="74">
        <f t="shared" si="626"/>
        <v>-7.9175980128027401E-2</v>
      </c>
      <c r="P202" s="74">
        <f t="shared" si="626"/>
        <v>-8.9328031375006028E-2</v>
      </c>
      <c r="Q202" s="74">
        <f t="shared" si="626"/>
        <v>-0.1009464625034634</v>
      </c>
      <c r="R202" s="74"/>
      <c r="S202" s="4"/>
      <c r="T202" s="195"/>
      <c r="U202" s="195"/>
      <c r="V202" s="195"/>
      <c r="W202" s="195"/>
      <c r="X202" s="195"/>
      <c r="Y202" s="195"/>
      <c r="Z202" s="195"/>
      <c r="AA202" s="195"/>
      <c r="AB202" s="74">
        <f t="shared" ref="AB202:BG202" si="627">(AB196*(1-AB380)*4)/AB199</f>
        <v>-0.18323524002207101</v>
      </c>
      <c r="AC202" s="74">
        <f t="shared" si="627"/>
        <v>-0.18373075140340936</v>
      </c>
      <c r="AD202" s="74">
        <f t="shared" si="627"/>
        <v>-0.14934851636921057</v>
      </c>
      <c r="AE202" s="74">
        <f t="shared" si="627"/>
        <v>-0.13082956201580118</v>
      </c>
      <c r="AF202" s="74">
        <f t="shared" si="627"/>
        <v>-0.13307503995791772</v>
      </c>
      <c r="AG202" s="74">
        <f t="shared" si="627"/>
        <v>-0.15211371373405821</v>
      </c>
      <c r="AH202" s="74">
        <f t="shared" si="627"/>
        <v>-0.13619391869079064</v>
      </c>
      <c r="AI202" s="74">
        <f t="shared" si="627"/>
        <v>-8.5111842949403368E-2</v>
      </c>
      <c r="AJ202" s="74">
        <f t="shared" si="627"/>
        <v>-0.18928120759029549</v>
      </c>
      <c r="AK202" s="74">
        <f t="shared" si="627"/>
        <v>-0.15442775763852926</v>
      </c>
      <c r="AL202" s="74">
        <f t="shared" si="627"/>
        <v>-0.1622426585850141</v>
      </c>
      <c r="AM202" s="74">
        <f t="shared" si="627"/>
        <v>-0.14532888932457599</v>
      </c>
      <c r="AN202" s="74">
        <f t="shared" si="627"/>
        <v>-0.21279231074118113</v>
      </c>
      <c r="AO202" s="74">
        <f t="shared" si="627"/>
        <v>-0.1836153916018286</v>
      </c>
      <c r="AP202" s="74">
        <f t="shared" si="627"/>
        <v>-0.26653889835320838</v>
      </c>
      <c r="AQ202" s="74">
        <f t="shared" si="627"/>
        <v>-0.14400535833891492</v>
      </c>
      <c r="AR202" s="74">
        <f t="shared" si="627"/>
        <v>-0.25917291496019995</v>
      </c>
      <c r="AS202" s="74">
        <f t="shared" si="627"/>
        <v>-0.20430967559810864</v>
      </c>
      <c r="AT202" s="74">
        <f t="shared" si="627"/>
        <v>-0.19360443707999636</v>
      </c>
      <c r="AU202" s="74">
        <f t="shared" si="627"/>
        <v>-0.23042041619797524</v>
      </c>
      <c r="AV202" s="74">
        <f t="shared" si="627"/>
        <v>-0.26652397955043411</v>
      </c>
      <c r="AW202" s="74">
        <f t="shared" si="627"/>
        <v>-0.15744255744255747</v>
      </c>
      <c r="AX202" s="74">
        <f t="shared" si="627"/>
        <v>-0.23317246881628362</v>
      </c>
      <c r="AY202" s="74">
        <f t="shared" si="627"/>
        <v>-0.1755533833638141</v>
      </c>
      <c r="AZ202" s="74">
        <f t="shared" si="627"/>
        <v>-0.18256877999344243</v>
      </c>
      <c r="BA202" s="74">
        <f t="shared" si="627"/>
        <v>-0.16648446330300726</v>
      </c>
      <c r="BB202" s="74">
        <f t="shared" si="627"/>
        <v>-0.16115979414033357</v>
      </c>
      <c r="BC202" s="74">
        <f t="shared" si="627"/>
        <v>-0.15105550634780043</v>
      </c>
      <c r="BD202" s="74">
        <f t="shared" si="627"/>
        <v>-0.12608314421291522</v>
      </c>
      <c r="BE202" s="74">
        <f t="shared" si="627"/>
        <v>-0.12628081027481347</v>
      </c>
      <c r="BF202" s="74">
        <f t="shared" si="627"/>
        <v>-0.12740532120773479</v>
      </c>
      <c r="BG202" s="74">
        <f t="shared" si="627"/>
        <v>-0.13315484209805215</v>
      </c>
      <c r="BH202" s="74">
        <f t="shared" ref="BH202:CE202" si="628">(BH196*(1-BH380)*4)/BH199</f>
        <v>-0.14780098598858332</v>
      </c>
      <c r="BI202" s="74">
        <f t="shared" si="628"/>
        <v>-9.5556514236410692E-2</v>
      </c>
      <c r="BJ202" s="74">
        <f t="shared" si="628"/>
        <v>-5.2160368591211932E-2</v>
      </c>
      <c r="BK202" s="74">
        <f t="shared" si="628"/>
        <v>-6.2306422657837458E-2</v>
      </c>
      <c r="BL202" s="74">
        <f t="shared" si="628"/>
        <v>-6.0070738263018696E-2</v>
      </c>
      <c r="BM202" s="74">
        <f t="shared" si="628"/>
        <v>-4.2848191197366443E-2</v>
      </c>
      <c r="BN202" s="74">
        <f t="shared" si="628"/>
        <v>-3.7794837561192701E-2</v>
      </c>
      <c r="BO202" s="74">
        <f t="shared" si="628"/>
        <v>-3.6718417506029222E-2</v>
      </c>
      <c r="BP202" s="74">
        <f t="shared" si="628"/>
        <v>-5.1227530068616453E-2</v>
      </c>
      <c r="BQ202" s="74">
        <f t="shared" si="628"/>
        <v>-6.2310284731599781E-2</v>
      </c>
      <c r="BR202" s="74">
        <f>(BR196*(1-BR380)*4)/BR199</f>
        <v>-7.6151310256669019E-2</v>
      </c>
      <c r="BS202" s="74">
        <f>(BS196*(1-BS380)*4)/BS199</f>
        <v>-5.5503766020600157E-2</v>
      </c>
      <c r="BT202" s="74">
        <f t="shared" si="628"/>
        <v>-7.9777861379503504E-2</v>
      </c>
      <c r="BU202" s="74">
        <f t="shared" si="628"/>
        <v>-7.9547754523429631E-2</v>
      </c>
      <c r="BV202" s="74">
        <f t="shared" si="628"/>
        <v>-7.9525645091700112E-2</v>
      </c>
      <c r="BW202" s="74">
        <f t="shared" si="628"/>
        <v>-7.9325423670424791E-2</v>
      </c>
      <c r="BX202" s="74">
        <f t="shared" si="628"/>
        <v>-8.2967813777982E-2</v>
      </c>
      <c r="BY202" s="74">
        <f t="shared" si="628"/>
        <v>-8.6779119629106533E-2</v>
      </c>
      <c r="BZ202" s="74">
        <f t="shared" si="628"/>
        <v>-9.0180519625194452E-2</v>
      </c>
      <c r="CA202" s="74">
        <f t="shared" si="628"/>
        <v>-9.4106479667266943E-2</v>
      </c>
      <c r="CB202" s="74">
        <f t="shared" si="628"/>
        <v>-9.6037593141916192E-2</v>
      </c>
      <c r="CC202" s="74">
        <f t="shared" si="628"/>
        <v>-9.7589566544031309E-2</v>
      </c>
      <c r="CD202" s="74">
        <f t="shared" si="628"/>
        <v>-9.9171019417569381E-2</v>
      </c>
      <c r="CE202" s="74">
        <f t="shared" si="628"/>
        <v>-0.10078255784395401</v>
      </c>
      <c r="CF202" s="4"/>
      <c r="CG202" s="4"/>
      <c r="CH202" s="4"/>
      <c r="CI202" s="4"/>
      <c r="CJ202" s="4"/>
      <c r="CK202" s="4"/>
      <c r="CL202" s="4"/>
      <c r="CM202" s="4"/>
      <c r="CN202" s="240">
        <f t="shared" ref="CN202:CN265" si="629">+CN201+1</f>
        <v>195</v>
      </c>
    </row>
    <row r="203" spans="1:92" hidden="1" outlineLevel="2">
      <c r="A203" s="144"/>
      <c r="B203" s="45" t="s">
        <v>194</v>
      </c>
      <c r="C203" s="74"/>
      <c r="D203" s="74">
        <f t="shared" ref="D203:O203" si="630">-D197/C199</f>
        <v>3.0368900229971962E-2</v>
      </c>
      <c r="E203" s="74">
        <f t="shared" si="630"/>
        <v>1.6625757459538235E-2</v>
      </c>
      <c r="F203" s="74">
        <f t="shared" si="630"/>
        <v>1.5290192891664171E-2</v>
      </c>
      <c r="G203" s="74">
        <f t="shared" si="630"/>
        <v>4.7054210371532202E-3</v>
      </c>
      <c r="H203" s="74">
        <f t="shared" si="630"/>
        <v>3.0875794357407738E-3</v>
      </c>
      <c r="I203" s="74">
        <f t="shared" si="630"/>
        <v>7.5576490438695161E-3</v>
      </c>
      <c r="J203" s="74">
        <f t="shared" si="630"/>
        <v>1.0799646843665259E-2</v>
      </c>
      <c r="K203" s="74">
        <f t="shared" si="630"/>
        <v>8.8426335990552107E-3</v>
      </c>
      <c r="L203" s="74">
        <f t="shared" si="630"/>
        <v>5.7315096019911861E-3</v>
      </c>
      <c r="M203" s="74">
        <f t="shared" si="630"/>
        <v>3.09723747460068E-3</v>
      </c>
      <c r="N203" s="74">
        <f t="shared" si="630"/>
        <v>2.0392963540927793E-3</v>
      </c>
      <c r="O203" s="74">
        <f t="shared" si="630"/>
        <v>2.9146194238456199E-3</v>
      </c>
      <c r="P203" s="74">
        <f>-P197/O199</f>
        <v>3.2162721882748992E-3</v>
      </c>
      <c r="Q203" s="74">
        <f>-Q197/P199</f>
        <v>4.0784491060886713E-3</v>
      </c>
      <c r="R203" s="74"/>
      <c r="S203" s="4"/>
      <c r="T203" s="195"/>
      <c r="U203" s="195"/>
      <c r="V203" s="195"/>
      <c r="W203" s="195"/>
      <c r="X203" s="195"/>
      <c r="Y203" s="195"/>
      <c r="Z203" s="195"/>
      <c r="AA203" s="195"/>
      <c r="AB203" s="74"/>
      <c r="AC203" s="74">
        <f t="shared" ref="AC203:BW203" si="631">-AC197/AB199</f>
        <v>7.5409233032922565E-3</v>
      </c>
      <c r="AD203" s="74">
        <f t="shared" si="631"/>
        <v>6.3604058299428327E-3</v>
      </c>
      <c r="AE203" s="74">
        <f t="shared" si="631"/>
        <v>5.1023759991240553E-3</v>
      </c>
      <c r="AF203" s="74">
        <f t="shared" si="631"/>
        <v>4.3913477026923369E-3</v>
      </c>
      <c r="AG203" s="74">
        <f t="shared" si="631"/>
        <v>4.4105448439112228E-3</v>
      </c>
      <c r="AH203" s="74">
        <f t="shared" si="631"/>
        <v>5.6399573192419099E-3</v>
      </c>
      <c r="AI203" s="74">
        <f t="shared" si="631"/>
        <v>3.9323945899783505E-3</v>
      </c>
      <c r="AJ203" s="74">
        <f t="shared" si="631"/>
        <v>3.977588640349001E-3</v>
      </c>
      <c r="AK203" s="74">
        <f t="shared" si="631"/>
        <v>4.4046570319754294E-3</v>
      </c>
      <c r="AL203" s="74">
        <f t="shared" si="631"/>
        <v>3.852925945106164E-3</v>
      </c>
      <c r="AM203" s="74">
        <f t="shared" si="631"/>
        <v>3.3023304420524593E-3</v>
      </c>
      <c r="AN203" s="74">
        <f t="shared" si="631"/>
        <v>1.2743848642289971E-3</v>
      </c>
      <c r="AO203" s="74">
        <f t="shared" si="631"/>
        <v>1.164288545382481E-3</v>
      </c>
      <c r="AP203" s="74">
        <f t="shared" si="631"/>
        <v>1.392631164663498E-3</v>
      </c>
      <c r="AQ203" s="74">
        <f t="shared" si="631"/>
        <v>2.3282226007950036E-3</v>
      </c>
      <c r="AR203" s="74">
        <f t="shared" si="631"/>
        <v>7.6781075915246762E-4</v>
      </c>
      <c r="AS203" s="74">
        <f t="shared" si="631"/>
        <v>9.8712536492134503E-4</v>
      </c>
      <c r="AT203" s="74">
        <f t="shared" si="631"/>
        <v>1.1291726457926554E-3</v>
      </c>
      <c r="AU203" s="74">
        <f t="shared" si="631"/>
        <v>1.0816533186044374E-3</v>
      </c>
      <c r="AV203" s="74">
        <f t="shared" si="631"/>
        <v>1.1775871766029247E-3</v>
      </c>
      <c r="AW203" s="74">
        <f t="shared" si="631"/>
        <v>2.2315994481863178E-3</v>
      </c>
      <c r="AX203" s="74">
        <f t="shared" si="631"/>
        <v>2.3976023976023976E-3</v>
      </c>
      <c r="AY203" s="74">
        <f t="shared" si="631"/>
        <v>2.5881025122107843E-3</v>
      </c>
      <c r="AZ203" s="74">
        <f t="shared" si="631"/>
        <v>2.7117361417670427E-3</v>
      </c>
      <c r="BA203" s="74">
        <f t="shared" si="631"/>
        <v>2.5485111329696867E-3</v>
      </c>
      <c r="BB203" s="74">
        <f t="shared" si="631"/>
        <v>3.1499564564842777E-3</v>
      </c>
      <c r="BC203" s="74">
        <f t="shared" si="631"/>
        <v>2.1749301366918313E-3</v>
      </c>
      <c r="BD203" s="74">
        <f t="shared" si="631"/>
        <v>2.5391201653380572E-3</v>
      </c>
      <c r="BE203" s="74">
        <f t="shared" si="631"/>
        <v>1.5267175572519086E-3</v>
      </c>
      <c r="BF203" s="74">
        <f t="shared" si="631"/>
        <v>1.6526584191141752E-3</v>
      </c>
      <c r="BG203" s="74">
        <f t="shared" si="631"/>
        <v>2.1870132322167495E-3</v>
      </c>
      <c r="BH203" s="74">
        <f t="shared" si="631"/>
        <v>1.5299248738382847E-3</v>
      </c>
      <c r="BI203" s="74">
        <f t="shared" si="631"/>
        <v>5.1245459263103274E-3</v>
      </c>
      <c r="BJ203" s="74">
        <f t="shared" si="631"/>
        <v>-1.6177739430543576E-3</v>
      </c>
      <c r="BK203" s="74">
        <f t="shared" si="631"/>
        <v>1.6099687168680218E-3</v>
      </c>
      <c r="BL203" s="74">
        <f t="shared" si="631"/>
        <v>7.8252921332798496E-4</v>
      </c>
      <c r="BM203" s="74">
        <f t="shared" si="631"/>
        <v>6.3815864191187999E-4</v>
      </c>
      <c r="BN203" s="74">
        <f t="shared" si="631"/>
        <v>5.1629643358309723E-4</v>
      </c>
      <c r="BO203" s="74">
        <f t="shared" si="631"/>
        <v>5.2069425901201598E-4</v>
      </c>
      <c r="BP203" s="74">
        <f t="shared" si="631"/>
        <v>5.1869059441055467E-4</v>
      </c>
      <c r="BQ203" s="74">
        <f t="shared" si="631"/>
        <v>6.0528581491820811E-4</v>
      </c>
      <c r="BR203" s="74">
        <f t="shared" si="631"/>
        <v>6.5787195734219714E-4</v>
      </c>
      <c r="BS203" s="74">
        <f t="shared" si="631"/>
        <v>6.3354301925298004E-4</v>
      </c>
      <c r="BT203" s="74">
        <f t="shared" si="631"/>
        <v>6.4519037022842736E-4</v>
      </c>
      <c r="BU203" s="74">
        <f t="shared" si="631"/>
        <v>7.0994769765259037E-4</v>
      </c>
      <c r="BV203" s="74">
        <f t="shared" si="631"/>
        <v>7.6882912056796724E-4</v>
      </c>
      <c r="BW203" s="74">
        <f t="shared" si="631"/>
        <v>7.6823148017676529E-4</v>
      </c>
      <c r="BX203" s="74">
        <f t="shared" ref="BX203:CE203" si="632">-BX197/BW199</f>
        <v>7.6836644510337509E-4</v>
      </c>
      <c r="BY203" s="74">
        <f t="shared" si="632"/>
        <v>7.6831746814429701E-4</v>
      </c>
      <c r="BZ203" s="74">
        <f t="shared" si="632"/>
        <v>7.6807468867534732E-4</v>
      </c>
      <c r="CA203" s="74">
        <f t="shared" si="632"/>
        <v>8.926852284341744E-4</v>
      </c>
      <c r="CB203" s="74">
        <f t="shared" si="632"/>
        <v>1.0098963308127946E-3</v>
      </c>
      <c r="CC203" s="74">
        <f t="shared" si="632"/>
        <v>9.9896882725794816E-4</v>
      </c>
      <c r="CD203" s="74">
        <f t="shared" si="632"/>
        <v>9.8877524250704212E-4</v>
      </c>
      <c r="CE203" s="74">
        <f t="shared" si="632"/>
        <v>9.792571385762441E-4</v>
      </c>
      <c r="CF203" s="4"/>
      <c r="CG203" s="4"/>
      <c r="CH203" s="4"/>
      <c r="CI203" s="4"/>
      <c r="CJ203" s="4"/>
      <c r="CK203" s="4"/>
      <c r="CL203" s="4"/>
      <c r="CM203" s="4"/>
      <c r="CN203" s="240">
        <f t="shared" si="629"/>
        <v>196</v>
      </c>
    </row>
    <row r="204" spans="1:92" hidden="1" outlineLevel="2">
      <c r="A204" s="144"/>
      <c r="B204" s="45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4"/>
      <c r="T204" s="195"/>
      <c r="U204" s="195"/>
      <c r="V204" s="195"/>
      <c r="W204" s="195"/>
      <c r="X204" s="195"/>
      <c r="Y204" s="195"/>
      <c r="Z204" s="195"/>
      <c r="AA204" s="195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  <c r="BD204" s="74"/>
      <c r="BE204" s="74"/>
      <c r="BF204" s="74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77"/>
      <c r="BS204" s="77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240">
        <f t="shared" si="629"/>
        <v>197</v>
      </c>
    </row>
    <row r="205" spans="1:92" outlineLevel="1" collapsed="1">
      <c r="A205" s="143" t="s">
        <v>33</v>
      </c>
      <c r="B205" s="21" t="s">
        <v>315</v>
      </c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240">
        <f t="shared" si="629"/>
        <v>198</v>
      </c>
    </row>
    <row r="206" spans="1:92" hidden="1" outlineLevel="2">
      <c r="A206" s="143"/>
      <c r="B206" s="10" t="s">
        <v>104</v>
      </c>
      <c r="C206" s="56">
        <f t="shared" ref="C206:Q206" si="633">C12</f>
        <v>596.63</v>
      </c>
      <c r="D206" s="56">
        <f t="shared" si="633"/>
        <v>690.22599999999989</v>
      </c>
      <c r="E206" s="56">
        <f t="shared" si="633"/>
        <v>876.97699999999998</v>
      </c>
      <c r="F206" s="56">
        <f t="shared" si="633"/>
        <v>587.86300000000006</v>
      </c>
      <c r="G206" s="56">
        <f t="shared" si="633"/>
        <v>1096.384</v>
      </c>
      <c r="H206" s="56">
        <f t="shared" si="633"/>
        <v>1829.8069999999998</v>
      </c>
      <c r="I206" s="56">
        <f t="shared" si="633"/>
        <v>1945.0230000000001</v>
      </c>
      <c r="J206" s="56">
        <f t="shared" si="633"/>
        <v>1861.489</v>
      </c>
      <c r="K206" s="56">
        <f t="shared" si="633"/>
        <v>2337.413</v>
      </c>
      <c r="L206" s="56">
        <f t="shared" si="633"/>
        <v>1263.8400000000001</v>
      </c>
      <c r="M206" s="56">
        <f t="shared" si="633"/>
        <v>728.97400000000005</v>
      </c>
      <c r="N206" s="56">
        <f t="shared" si="633"/>
        <v>1595.2269999999999</v>
      </c>
      <c r="O206" s="56">
        <f t="shared" si="633"/>
        <v>2156.0162781184799</v>
      </c>
      <c r="P206" s="56">
        <f t="shared" si="633"/>
        <v>2490.6338179286458</v>
      </c>
      <c r="Q206" s="56">
        <f t="shared" si="633"/>
        <v>2742.2970427062683</v>
      </c>
      <c r="R206" s="56"/>
      <c r="S206" s="56"/>
      <c r="T206" s="56"/>
      <c r="U206" s="56"/>
      <c r="V206" s="56"/>
      <c r="W206" s="56">
        <f t="shared" ref="W206:BB206" si="634">W12</f>
        <v>117.56700000000001</v>
      </c>
      <c r="X206" s="56">
        <f t="shared" si="634"/>
        <v>136.024</v>
      </c>
      <c r="Y206" s="56">
        <f t="shared" si="634"/>
        <v>146.065</v>
      </c>
      <c r="Z206" s="56">
        <f t="shared" si="634"/>
        <v>154.209</v>
      </c>
      <c r="AA206" s="56">
        <f t="shared" si="634"/>
        <v>160.33199999999999</v>
      </c>
      <c r="AB206" s="56">
        <f t="shared" si="634"/>
        <v>171.04499999999999</v>
      </c>
      <c r="AC206" s="56">
        <f t="shared" si="634"/>
        <v>171.03100000000001</v>
      </c>
      <c r="AD206" s="56">
        <f t="shared" si="634"/>
        <v>161.96099999999998</v>
      </c>
      <c r="AE206" s="56">
        <f t="shared" si="634"/>
        <v>186.18899999999999</v>
      </c>
      <c r="AF206" s="56">
        <f t="shared" si="634"/>
        <v>197.227</v>
      </c>
      <c r="AG206" s="56">
        <f t="shared" si="634"/>
        <v>214.68899999999999</v>
      </c>
      <c r="AH206" s="56">
        <f t="shared" si="634"/>
        <v>237.21699999999998</v>
      </c>
      <c r="AI206" s="56">
        <f t="shared" si="634"/>
        <v>227.84399999999999</v>
      </c>
      <c r="AJ206" s="56">
        <f t="shared" si="634"/>
        <v>176.27100000000002</v>
      </c>
      <c r="AK206" s="56">
        <f t="shared" si="634"/>
        <v>127.018</v>
      </c>
      <c r="AL206" s="56">
        <f t="shared" si="634"/>
        <v>132.15899999999999</v>
      </c>
      <c r="AM206" s="56">
        <f t="shared" si="634"/>
        <v>152.41499999999999</v>
      </c>
      <c r="AN206" s="56">
        <f t="shared" si="634"/>
        <v>213.14400000000001</v>
      </c>
      <c r="AO206" s="56">
        <f t="shared" si="634"/>
        <v>252.89600000000002</v>
      </c>
      <c r="AP206" s="56">
        <f t="shared" si="634"/>
        <v>302.2</v>
      </c>
      <c r="AQ206" s="56">
        <f t="shared" si="634"/>
        <v>328.14400000000001</v>
      </c>
      <c r="AR206" s="56">
        <f t="shared" si="634"/>
        <v>381.76099999999997</v>
      </c>
      <c r="AS206" s="56">
        <f t="shared" si="634"/>
        <v>463.029</v>
      </c>
      <c r="AT206" s="56">
        <f t="shared" si="634"/>
        <v>502.23500000000001</v>
      </c>
      <c r="AU206" s="56">
        <f t="shared" si="634"/>
        <v>482.78200000000004</v>
      </c>
      <c r="AV206" s="56">
        <f t="shared" si="634"/>
        <v>502.55700000000002</v>
      </c>
      <c r="AW206" s="56">
        <f t="shared" si="634"/>
        <v>500.10599999999999</v>
      </c>
      <c r="AX206" s="56">
        <f t="shared" si="634"/>
        <v>472.41800000000001</v>
      </c>
      <c r="AY206" s="56">
        <f t="shared" si="634"/>
        <v>469.94200000000001</v>
      </c>
      <c r="AZ206" s="56">
        <f t="shared" si="634"/>
        <v>425.82100000000003</v>
      </c>
      <c r="BA206" s="56">
        <f t="shared" si="634"/>
        <v>457.56599999999997</v>
      </c>
      <c r="BB206" s="56">
        <f t="shared" si="634"/>
        <v>491.12099999999998</v>
      </c>
      <c r="BC206" s="56">
        <f t="shared" ref="BC206:CE206" si="635">BC12</f>
        <v>486.98099999999999</v>
      </c>
      <c r="BD206" s="56">
        <f t="shared" si="635"/>
        <v>501.69200000000001</v>
      </c>
      <c r="BE206" s="56">
        <f t="shared" si="635"/>
        <v>582.83100000000002</v>
      </c>
      <c r="BF206" s="56">
        <f t="shared" si="635"/>
        <v>620.68399999999997</v>
      </c>
      <c r="BG206" s="56">
        <f t="shared" si="635"/>
        <v>632.20600000000002</v>
      </c>
      <c r="BH206" s="56">
        <f t="shared" si="635"/>
        <v>406.27000000000004</v>
      </c>
      <c r="BI206" s="56">
        <f t="shared" si="635"/>
        <v>297.56</v>
      </c>
      <c r="BJ206" s="56">
        <f t="shared" si="635"/>
        <v>291.92399999999998</v>
      </c>
      <c r="BK206" s="56">
        <f t="shared" si="635"/>
        <v>268.08600000000001</v>
      </c>
      <c r="BL206" s="56">
        <f t="shared" si="635"/>
        <v>189.095</v>
      </c>
      <c r="BM206" s="56">
        <f t="shared" si="635"/>
        <v>142.99800000000002</v>
      </c>
      <c r="BN206" s="56">
        <f t="shared" si="635"/>
        <v>175.88399999999999</v>
      </c>
      <c r="BO206" s="56">
        <f t="shared" si="635"/>
        <v>220.99699999999999</v>
      </c>
      <c r="BP206" s="56">
        <f t="shared" si="635"/>
        <v>298.11899999999997</v>
      </c>
      <c r="BQ206" s="56">
        <f t="shared" si="635"/>
        <v>398.81</v>
      </c>
      <c r="BR206" s="56">
        <f t="shared" si="635"/>
        <v>470.99899999999997</v>
      </c>
      <c r="BS206" s="56">
        <f t="shared" si="635"/>
        <v>427.29899999999998</v>
      </c>
      <c r="BT206" s="56">
        <f t="shared" si="635"/>
        <v>452.57494961610456</v>
      </c>
      <c r="BU206" s="56">
        <f t="shared" si="635"/>
        <v>533.31003208811126</v>
      </c>
      <c r="BV206" s="56">
        <f t="shared" si="635"/>
        <v>575.45714516770249</v>
      </c>
      <c r="BW206" s="56">
        <f t="shared" si="635"/>
        <v>594.67415124656213</v>
      </c>
      <c r="BX206" s="56">
        <f t="shared" si="635"/>
        <v>599.4858509910481</v>
      </c>
      <c r="BY206" s="56">
        <f t="shared" si="635"/>
        <v>602.3574736505368</v>
      </c>
      <c r="BZ206" s="56">
        <f t="shared" si="635"/>
        <v>625.30072589237511</v>
      </c>
      <c r="CA206" s="56">
        <f t="shared" si="635"/>
        <v>663.48976739468571</v>
      </c>
      <c r="CB206" s="56">
        <f t="shared" si="635"/>
        <v>682.61919273752574</v>
      </c>
      <c r="CC206" s="56">
        <f t="shared" si="635"/>
        <v>683.7298725410584</v>
      </c>
      <c r="CD206" s="56">
        <f t="shared" si="635"/>
        <v>686.2323359160464</v>
      </c>
      <c r="CE206" s="56">
        <f t="shared" si="635"/>
        <v>689.7156415116375</v>
      </c>
      <c r="CF206" s="4"/>
      <c r="CG206" s="4"/>
      <c r="CH206" s="4"/>
      <c r="CI206" s="4"/>
      <c r="CJ206" s="4"/>
      <c r="CK206" s="4"/>
      <c r="CL206" s="4"/>
      <c r="CM206" s="4"/>
      <c r="CN206" s="240">
        <f t="shared" si="629"/>
        <v>199</v>
      </c>
    </row>
    <row r="207" spans="1:92" hidden="1" outlineLevel="2">
      <c r="A207" s="143"/>
      <c r="B207" s="10" t="s">
        <v>106</v>
      </c>
      <c r="C207" s="56">
        <f t="shared" ref="C207:Q207" si="636">-C25</f>
        <v>-171.83100000000002</v>
      </c>
      <c r="D207" s="56">
        <f t="shared" si="636"/>
        <v>-135.745</v>
      </c>
      <c r="E207" s="56">
        <f t="shared" si="636"/>
        <v>-137.803</v>
      </c>
      <c r="F207" s="56">
        <f t="shared" si="636"/>
        <v>34.194999999999993</v>
      </c>
      <c r="G207" s="56">
        <f t="shared" si="636"/>
        <v>-235.08699999999999</v>
      </c>
      <c r="H207" s="56">
        <f t="shared" si="636"/>
        <v>-488.43499999999989</v>
      </c>
      <c r="I207" s="56">
        <f t="shared" si="636"/>
        <v>-448.5859999999999</v>
      </c>
      <c r="J207" s="56">
        <f t="shared" si="636"/>
        <v>-284.78399999999993</v>
      </c>
      <c r="K207" s="56">
        <f t="shared" si="636"/>
        <v>-415.44200000000001</v>
      </c>
      <c r="L207" s="56">
        <f t="shared" si="636"/>
        <v>148.82999999999998</v>
      </c>
      <c r="M207" s="56">
        <f t="shared" si="636"/>
        <v>244.86199999999999</v>
      </c>
      <c r="N207" s="56">
        <f t="shared" si="636"/>
        <v>-221.68700000000001</v>
      </c>
      <c r="O207" s="56">
        <f t="shared" si="636"/>
        <v>-443.75577504320188</v>
      </c>
      <c r="P207" s="56">
        <f t="shared" si="636"/>
        <v>-549.74730549423816</v>
      </c>
      <c r="Q207" s="56">
        <f t="shared" si="636"/>
        <v>-570.94574690327397</v>
      </c>
      <c r="R207" s="56"/>
      <c r="S207" s="56"/>
      <c r="T207" s="56"/>
      <c r="U207" s="56"/>
      <c r="V207" s="56"/>
      <c r="W207" s="56">
        <f t="shared" ref="W207:BB207" si="637">-W25</f>
        <v>-27.321999999999999</v>
      </c>
      <c r="X207" s="56">
        <f t="shared" si="637"/>
        <v>-39.516999999999996</v>
      </c>
      <c r="Y207" s="56">
        <f t="shared" si="637"/>
        <v>-44.35</v>
      </c>
      <c r="Z207" s="56">
        <f t="shared" si="637"/>
        <v>-46.625</v>
      </c>
      <c r="AA207" s="56">
        <f t="shared" si="637"/>
        <v>-47.308</v>
      </c>
      <c r="AB207" s="56">
        <f t="shared" si="637"/>
        <v>-43.984999999999999</v>
      </c>
      <c r="AC207" s="56">
        <f t="shared" si="637"/>
        <v>-38.704999999999998</v>
      </c>
      <c r="AD207" s="56">
        <f t="shared" si="637"/>
        <v>-24.663</v>
      </c>
      <c r="AE207" s="56">
        <f t="shared" si="637"/>
        <v>-34.685000000000002</v>
      </c>
      <c r="AF207" s="56">
        <f t="shared" si="637"/>
        <v>-25.441000000000003</v>
      </c>
      <c r="AG207" s="56">
        <f t="shared" si="637"/>
        <v>-37.799999999999997</v>
      </c>
      <c r="AH207" s="56">
        <f t="shared" si="637"/>
        <v>-44.231999999999992</v>
      </c>
      <c r="AI207" s="56">
        <f t="shared" si="637"/>
        <v>-36.697000000000003</v>
      </c>
      <c r="AJ207" s="56">
        <f t="shared" si="637"/>
        <v>-8.3970000000000002</v>
      </c>
      <c r="AK207" s="56">
        <f t="shared" si="637"/>
        <v>19.497999999999998</v>
      </c>
      <c r="AL207" s="56">
        <f t="shared" si="637"/>
        <v>14.907</v>
      </c>
      <c r="AM207" s="56">
        <f t="shared" si="637"/>
        <v>7.0439999999999996</v>
      </c>
      <c r="AN207" s="56">
        <f t="shared" si="637"/>
        <v>-22.567999999999998</v>
      </c>
      <c r="AO207" s="56">
        <f t="shared" si="637"/>
        <v>-52.089000000000006</v>
      </c>
      <c r="AP207" s="56">
        <f t="shared" si="637"/>
        <v>-74.39</v>
      </c>
      <c r="AQ207" s="56">
        <f t="shared" si="637"/>
        <v>-89.798000000000002</v>
      </c>
      <c r="AR207" s="56">
        <f t="shared" si="637"/>
        <v>-106.32599999999999</v>
      </c>
      <c r="AS207" s="56">
        <f t="shared" si="637"/>
        <v>-119.267</v>
      </c>
      <c r="AT207" s="56">
        <f t="shared" si="637"/>
        <v>-138.63299999999998</v>
      </c>
      <c r="AU207" s="56">
        <f t="shared" si="637"/>
        <v>-123.17499999999998</v>
      </c>
      <c r="AV207" s="56">
        <f t="shared" si="637"/>
        <v>-132.26100000000002</v>
      </c>
      <c r="AW207" s="56">
        <f t="shared" si="637"/>
        <v>-119.85799999999999</v>
      </c>
      <c r="AX207" s="56">
        <f t="shared" si="637"/>
        <v>-102.36799999999999</v>
      </c>
      <c r="AY207" s="56">
        <f t="shared" si="637"/>
        <v>-89.307000000000002</v>
      </c>
      <c r="AZ207" s="56">
        <f t="shared" si="637"/>
        <v>-57.219000000000001</v>
      </c>
      <c r="BA207" s="56">
        <f t="shared" si="637"/>
        <v>-67.853000000000009</v>
      </c>
      <c r="BB207" s="56">
        <f t="shared" si="637"/>
        <v>-85.839000000000013</v>
      </c>
      <c r="BC207" s="56">
        <f t="shared" ref="BC207:CE207" si="638">-BC25</f>
        <v>-64.501999999999981</v>
      </c>
      <c r="BD207" s="56">
        <f t="shared" si="638"/>
        <v>-65.231999999999999</v>
      </c>
      <c r="BE207" s="56">
        <f t="shared" si="638"/>
        <v>-103.03100000000001</v>
      </c>
      <c r="BF207" s="56">
        <f t="shared" si="638"/>
        <v>-106.661</v>
      </c>
      <c r="BG207" s="56">
        <f t="shared" si="638"/>
        <v>-125.04600000000001</v>
      </c>
      <c r="BH207" s="56">
        <f t="shared" si="638"/>
        <v>-6.17</v>
      </c>
      <c r="BI207" s="56">
        <f t="shared" si="638"/>
        <v>52.536999999999992</v>
      </c>
      <c r="BJ207" s="56">
        <f t="shared" si="638"/>
        <v>51.475000000000001</v>
      </c>
      <c r="BK207" s="56">
        <f t="shared" si="638"/>
        <v>57.405000000000001</v>
      </c>
      <c r="BL207" s="56">
        <f t="shared" si="638"/>
        <v>73.087000000000003</v>
      </c>
      <c r="BM207" s="56">
        <f t="shared" si="638"/>
        <v>75.221999999999994</v>
      </c>
      <c r="BN207" s="56">
        <f t="shared" si="638"/>
        <v>56.417000000000002</v>
      </c>
      <c r="BO207" s="56">
        <f t="shared" si="638"/>
        <v>32.216000000000001</v>
      </c>
      <c r="BP207" s="56">
        <f t="shared" si="638"/>
        <v>-1.5739999999999998</v>
      </c>
      <c r="BQ207" s="56">
        <f t="shared" si="638"/>
        <v>-67.001999999999995</v>
      </c>
      <c r="BR207" s="56">
        <f t="shared" si="638"/>
        <v>-97.357000000000014</v>
      </c>
      <c r="BS207" s="56">
        <f t="shared" si="638"/>
        <v>-60.284000000000006</v>
      </c>
      <c r="BT207" s="56">
        <f t="shared" si="638"/>
        <v>-76.77066730843427</v>
      </c>
      <c r="BU207" s="56">
        <f t="shared" si="638"/>
        <v>-110.00230846664392</v>
      </c>
      <c r="BV207" s="56">
        <f t="shared" si="638"/>
        <v>-121.67857277256761</v>
      </c>
      <c r="BW207" s="56">
        <f t="shared" si="638"/>
        <v>-130.30822649555614</v>
      </c>
      <c r="BX207" s="56">
        <f t="shared" si="638"/>
        <v>-131.42875464743733</v>
      </c>
      <c r="BY207" s="56">
        <f t="shared" si="638"/>
        <v>-132.06102097573452</v>
      </c>
      <c r="BZ207" s="56">
        <f t="shared" si="638"/>
        <v>-138.81978263054805</v>
      </c>
      <c r="CA207" s="56">
        <f t="shared" si="638"/>
        <v>-142.44174724051837</v>
      </c>
      <c r="CB207" s="56">
        <f t="shared" si="638"/>
        <v>-140.35118572465177</v>
      </c>
      <c r="CC207" s="56">
        <f t="shared" si="638"/>
        <v>-140.81343479741781</v>
      </c>
      <c r="CD207" s="56">
        <f t="shared" si="638"/>
        <v>-141.78080953512648</v>
      </c>
      <c r="CE207" s="56">
        <f t="shared" si="638"/>
        <v>-143.00431684607784</v>
      </c>
      <c r="CF207" s="4"/>
      <c r="CG207" s="4"/>
      <c r="CH207" s="4"/>
      <c r="CI207" s="4"/>
      <c r="CJ207" s="4"/>
      <c r="CK207" s="4"/>
      <c r="CL207" s="4"/>
      <c r="CM207" s="4"/>
      <c r="CN207" s="240">
        <f t="shared" si="629"/>
        <v>200</v>
      </c>
    </row>
    <row r="208" spans="1:92" ht="12.75" hidden="1" customHeight="1" outlineLevel="2">
      <c r="A208" s="143"/>
      <c r="B208" s="10" t="s">
        <v>105</v>
      </c>
      <c r="C208" s="56">
        <f t="shared" ref="C208:Q208" si="639">C59</f>
        <v>-46.710999999999999</v>
      </c>
      <c r="D208" s="56">
        <f t="shared" si="639"/>
        <v>-78.506</v>
      </c>
      <c r="E208" s="56">
        <f t="shared" si="639"/>
        <v>-118.40300000000001</v>
      </c>
      <c r="F208" s="56">
        <f t="shared" si="639"/>
        <v>-130.58000000000001</v>
      </c>
      <c r="G208" s="56">
        <f t="shared" si="639"/>
        <v>-133.36000000000001</v>
      </c>
      <c r="H208" s="56">
        <f t="shared" si="639"/>
        <v>-177.38200000000001</v>
      </c>
      <c r="I208" s="56">
        <f t="shared" si="639"/>
        <v>-214.80199999999999</v>
      </c>
      <c r="J208" s="56">
        <f t="shared" si="639"/>
        <v>-213.12799999999999</v>
      </c>
      <c r="K208" s="56">
        <f t="shared" si="639"/>
        <v>-230.81300000000002</v>
      </c>
      <c r="L208" s="56">
        <f t="shared" si="639"/>
        <v>-270.97699999999998</v>
      </c>
      <c r="M208" s="56">
        <f t="shared" si="639"/>
        <v>-217.25799999999998</v>
      </c>
      <c r="N208" s="56">
        <f t="shared" si="639"/>
        <v>-163.53699999999998</v>
      </c>
      <c r="O208" s="56">
        <f t="shared" si="639"/>
        <v>-171.48822321481941</v>
      </c>
      <c r="P208" s="56">
        <f t="shared" si="639"/>
        <v>-192.28704856272643</v>
      </c>
      <c r="Q208" s="56">
        <f t="shared" si="639"/>
        <v>-244.46131178354906</v>
      </c>
      <c r="R208" s="56"/>
      <c r="S208" s="56"/>
      <c r="T208" s="56"/>
      <c r="U208" s="56"/>
      <c r="V208" s="56"/>
      <c r="W208" s="59">
        <f t="shared" ref="W208:BB208" si="640">W59</f>
        <v>-10.379</v>
      </c>
      <c r="X208" s="56">
        <f t="shared" si="640"/>
        <v>-10.705</v>
      </c>
      <c r="Y208" s="56">
        <f t="shared" si="640"/>
        <v>-11.597</v>
      </c>
      <c r="Z208" s="56">
        <f t="shared" si="640"/>
        <v>-11.571999999999999</v>
      </c>
      <c r="AA208" s="56">
        <f t="shared" si="640"/>
        <v>-12.837</v>
      </c>
      <c r="AB208" s="56">
        <f t="shared" si="640"/>
        <v>-15.263</v>
      </c>
      <c r="AC208" s="56">
        <f t="shared" si="640"/>
        <v>-18.695</v>
      </c>
      <c r="AD208" s="56">
        <f t="shared" si="640"/>
        <v>-20.846</v>
      </c>
      <c r="AE208" s="56">
        <f t="shared" si="640"/>
        <v>-23.702000000000002</v>
      </c>
      <c r="AF208" s="56">
        <f t="shared" si="640"/>
        <v>-27.326000000000001</v>
      </c>
      <c r="AG208" s="56">
        <f t="shared" si="640"/>
        <v>-29.177</v>
      </c>
      <c r="AH208" s="56">
        <f t="shared" si="640"/>
        <v>-30.445</v>
      </c>
      <c r="AI208" s="56">
        <f t="shared" si="640"/>
        <v>-31.454999999999998</v>
      </c>
      <c r="AJ208" s="56">
        <f t="shared" si="640"/>
        <v>-32.020000000000003</v>
      </c>
      <c r="AK208" s="56">
        <f t="shared" si="640"/>
        <v>-32.375999999999998</v>
      </c>
      <c r="AL208" s="56">
        <f t="shared" si="640"/>
        <v>-33.289000000000001</v>
      </c>
      <c r="AM208" s="56">
        <f t="shared" si="640"/>
        <v>-32.895000000000003</v>
      </c>
      <c r="AN208" s="56">
        <f t="shared" si="640"/>
        <v>-32.261000000000003</v>
      </c>
      <c r="AO208" s="56">
        <f t="shared" si="640"/>
        <v>-33.384</v>
      </c>
      <c r="AP208" s="56">
        <f t="shared" si="640"/>
        <v>-33.091000000000001</v>
      </c>
      <c r="AQ208" s="56">
        <f t="shared" si="640"/>
        <v>-34.624000000000002</v>
      </c>
      <c r="AR208" s="56">
        <f t="shared" si="640"/>
        <v>-39.536999999999999</v>
      </c>
      <c r="AS208" s="56">
        <f t="shared" si="640"/>
        <v>-44.893000000000001</v>
      </c>
      <c r="AT208" s="56">
        <f t="shared" si="640"/>
        <v>-46.475999999999999</v>
      </c>
      <c r="AU208" s="56">
        <f t="shared" si="640"/>
        <v>-46.475999999999999</v>
      </c>
      <c r="AV208" s="56">
        <f t="shared" si="640"/>
        <v>-51.604999999999997</v>
      </c>
      <c r="AW208" s="56">
        <f t="shared" si="640"/>
        <v>-53.95</v>
      </c>
      <c r="AX208" s="56">
        <f t="shared" si="640"/>
        <v>-53.95</v>
      </c>
      <c r="AY208" s="56">
        <f t="shared" si="640"/>
        <v>-55.296999999999997</v>
      </c>
      <c r="AZ208" s="56">
        <f t="shared" si="640"/>
        <v>-52.820999999999998</v>
      </c>
      <c r="BA208" s="56">
        <f t="shared" si="640"/>
        <v>-52.767000000000003</v>
      </c>
      <c r="BB208" s="56">
        <f t="shared" si="640"/>
        <v>-53.210999999999999</v>
      </c>
      <c r="BC208" s="56">
        <f t="shared" ref="BC208:CE208" si="641">BC59</f>
        <v>-54.329000000000001</v>
      </c>
      <c r="BD208" s="56">
        <f t="shared" si="641"/>
        <v>-55.505000000000003</v>
      </c>
      <c r="BE208" s="56">
        <f t="shared" si="641"/>
        <v>-56.517000000000003</v>
      </c>
      <c r="BF208" s="56">
        <f t="shared" si="641"/>
        <v>-57.219000000000001</v>
      </c>
      <c r="BG208" s="56">
        <f t="shared" si="641"/>
        <v>-61.572000000000003</v>
      </c>
      <c r="BH208" s="56">
        <f t="shared" si="641"/>
        <v>-65.975999999999999</v>
      </c>
      <c r="BI208" s="56">
        <f t="shared" si="641"/>
        <v>-69.801000000000002</v>
      </c>
      <c r="BJ208" s="56">
        <f t="shared" si="641"/>
        <v>-69.046999999999997</v>
      </c>
      <c r="BK208" s="56">
        <f t="shared" si="641"/>
        <v>-66.153000000000006</v>
      </c>
      <c r="BL208" s="56">
        <f t="shared" si="641"/>
        <v>-60.636000000000003</v>
      </c>
      <c r="BM208" s="56">
        <f t="shared" si="641"/>
        <v>-56.28</v>
      </c>
      <c r="BN208" s="56">
        <f t="shared" si="641"/>
        <v>-51.975000000000001</v>
      </c>
      <c r="BO208" s="56">
        <f t="shared" si="641"/>
        <v>-48.366999999999997</v>
      </c>
      <c r="BP208" s="56">
        <f t="shared" si="641"/>
        <v>-44.662999999999997</v>
      </c>
      <c r="BQ208" s="56">
        <f t="shared" si="641"/>
        <v>-41.262999999999998</v>
      </c>
      <c r="BR208" s="56">
        <f t="shared" si="641"/>
        <v>-39.587000000000003</v>
      </c>
      <c r="BS208" s="56">
        <f t="shared" si="641"/>
        <v>-38.024000000000001</v>
      </c>
      <c r="BT208" s="59">
        <f t="shared" si="641"/>
        <v>-37.961234087913972</v>
      </c>
      <c r="BU208" s="59">
        <f t="shared" si="641"/>
        <v>-41.991636472289443</v>
      </c>
      <c r="BV208" s="59">
        <f t="shared" si="641"/>
        <v>-45.724288581706638</v>
      </c>
      <c r="BW208" s="59">
        <f t="shared" si="641"/>
        <v>-45.81106407290936</v>
      </c>
      <c r="BX208" s="59">
        <f t="shared" si="641"/>
        <v>-45.937317271275063</v>
      </c>
      <c r="BY208" s="59">
        <f t="shared" si="641"/>
        <v>-46.052774288238581</v>
      </c>
      <c r="BZ208" s="59">
        <f t="shared" si="641"/>
        <v>-46.158358328394947</v>
      </c>
      <c r="CA208" s="59">
        <f t="shared" si="641"/>
        <v>-54.13859867481785</v>
      </c>
      <c r="CB208" s="59">
        <f t="shared" si="641"/>
        <v>-61.811616099263233</v>
      </c>
      <c r="CC208" s="59">
        <f t="shared" si="641"/>
        <v>-61.319996868120519</v>
      </c>
      <c r="CD208" s="59">
        <f t="shared" si="641"/>
        <v>-60.870417050386109</v>
      </c>
      <c r="CE208" s="59">
        <f t="shared" si="641"/>
        <v>-60.459281765779188</v>
      </c>
      <c r="CF208" s="4"/>
      <c r="CG208" s="4"/>
      <c r="CH208" s="4"/>
      <c r="CI208" s="4"/>
      <c r="CJ208" s="4"/>
      <c r="CK208" s="4"/>
      <c r="CL208" s="4"/>
      <c r="CM208" s="4"/>
      <c r="CN208" s="240">
        <f t="shared" si="629"/>
        <v>201</v>
      </c>
    </row>
    <row r="209" spans="1:99" ht="12.75" hidden="1" customHeight="1" outlineLevel="2">
      <c r="A209" s="143"/>
      <c r="B209" s="10" t="s">
        <v>107</v>
      </c>
      <c r="C209" s="59">
        <f>SUMIF($T$5:$BT$5,C$5,$T209:$BT209)</f>
        <v>-91.051000000000002</v>
      </c>
      <c r="D209" s="59">
        <f>SUMIF($T$5:$BT$5,D$5,$T209:$BT209)</f>
        <v>-107.8</v>
      </c>
      <c r="E209" s="59">
        <f>SUMIF($T$5:$BT$5,E$5,$T209:$BT209)</f>
        <v>-117.13999999999999</v>
      </c>
      <c r="F209" s="59">
        <f>SUMIF($T$5:$BT$5,F$5,$T209:$BT209)</f>
        <v>-97.671999999999997</v>
      </c>
      <c r="G209" s="59">
        <f t="shared" ref="G209:Q209" si="642">SUMIF($T$5:$CF$5,G$5,$T209:$CF209)</f>
        <v>-121.83500000000001</v>
      </c>
      <c r="H209" s="59">
        <f t="shared" si="642"/>
        <v>-151.286</v>
      </c>
      <c r="I209" s="59">
        <f t="shared" si="642"/>
        <v>-175.749</v>
      </c>
      <c r="J209" s="59">
        <f t="shared" si="642"/>
        <v>-185.16500000000002</v>
      </c>
      <c r="K209" s="59">
        <f t="shared" si="642"/>
        <v>-198.07599999999999</v>
      </c>
      <c r="L209" s="59">
        <f t="shared" si="642"/>
        <v>-155.54899999999998</v>
      </c>
      <c r="M209" s="59">
        <f t="shared" si="642"/>
        <v>-148.69</v>
      </c>
      <c r="N209" s="59">
        <f t="shared" si="642"/>
        <v>-159.19399999999999</v>
      </c>
      <c r="O209" s="59">
        <f t="shared" si="642"/>
        <v>-171.02562995011769</v>
      </c>
      <c r="P209" s="59">
        <f t="shared" si="642"/>
        <v>-173.45278067569399</v>
      </c>
      <c r="Q209" s="59">
        <f t="shared" si="642"/>
        <v>-176.23765880973158</v>
      </c>
      <c r="R209" s="59"/>
      <c r="S209" s="56"/>
      <c r="T209" s="56"/>
      <c r="U209" s="56"/>
      <c r="V209" s="56"/>
      <c r="W209" s="65">
        <v>-19.884</v>
      </c>
      <c r="X209" s="65">
        <v>-21.082999999999998</v>
      </c>
      <c r="Y209" s="65">
        <v>-22.391999999999999</v>
      </c>
      <c r="Z209" s="65">
        <v>-23.48</v>
      </c>
      <c r="AA209" s="65">
        <v>-24.096</v>
      </c>
      <c r="AB209" s="65">
        <v>-25.824999999999999</v>
      </c>
      <c r="AC209" s="65">
        <v>-27.077000000000002</v>
      </c>
      <c r="AD209" s="65">
        <v>-26.327000000000002</v>
      </c>
      <c r="AE209" s="65">
        <v>-28.571000000000002</v>
      </c>
      <c r="AF209" s="65">
        <v>-28.317</v>
      </c>
      <c r="AG209" s="65">
        <v>-29.01</v>
      </c>
      <c r="AH209" s="65">
        <v>-29.66</v>
      </c>
      <c r="AI209" s="65">
        <v>-30.152999999999999</v>
      </c>
      <c r="AJ209" s="65">
        <v>-27.606000000000002</v>
      </c>
      <c r="AK209" s="65">
        <v>-23.372</v>
      </c>
      <c r="AL209" s="65">
        <v>-22.843</v>
      </c>
      <c r="AM209" s="65">
        <v>-23.850999999999999</v>
      </c>
      <c r="AN209" s="65">
        <v>-27.837</v>
      </c>
      <c r="AO209" s="66">
        <v>-29.478000000000002</v>
      </c>
      <c r="AP209" s="66">
        <v>-33.091000000000001</v>
      </c>
      <c r="AQ209" s="66">
        <v>-31.428999999999998</v>
      </c>
      <c r="AR209" s="66">
        <v>-36.057000000000002</v>
      </c>
      <c r="AS209" s="66">
        <v>-35.956000000000003</v>
      </c>
      <c r="AT209" s="66">
        <v>-37.19</v>
      </c>
      <c r="AU209" s="66">
        <v>-42.082999999999998</v>
      </c>
      <c r="AV209" s="66">
        <v>-44.927</v>
      </c>
      <c r="AW209" s="66">
        <v>-43.115000000000002</v>
      </c>
      <c r="AX209" s="66">
        <v>-43.015999999999998</v>
      </c>
      <c r="AY209" s="66">
        <v>-44.691000000000003</v>
      </c>
      <c r="AZ209" s="66">
        <v>-44.914000000000001</v>
      </c>
      <c r="BA209" s="66">
        <v>-47.610999999999997</v>
      </c>
      <c r="BB209" s="66">
        <v>-47.095999999999997</v>
      </c>
      <c r="BC209" s="66">
        <v>-45.543999999999997</v>
      </c>
      <c r="BD209" s="66">
        <v>-48.707999999999998</v>
      </c>
      <c r="BE209" s="66">
        <v>-47.603000000000002</v>
      </c>
      <c r="BF209" s="66">
        <v>-50.814</v>
      </c>
      <c r="BG209" s="66">
        <v>-50.951000000000001</v>
      </c>
      <c r="BH209" s="66">
        <v>-42.637</v>
      </c>
      <c r="BI209" s="66">
        <v>-40.396999999999998</v>
      </c>
      <c r="BJ209" s="66">
        <v>-35.920999999999999</v>
      </c>
      <c r="BK209" s="66">
        <v>-36.594000000000001</v>
      </c>
      <c r="BL209" s="66">
        <f>-43.546+2</f>
        <v>-41.545999999999999</v>
      </c>
      <c r="BM209" s="66">
        <v>-36.457999999999998</v>
      </c>
      <c r="BN209" s="66">
        <v>-36.457999999999998</v>
      </c>
      <c r="BO209" s="66">
        <f>-150.69+2-BN209-BM209-BL209</f>
        <v>-34.228000000000002</v>
      </c>
      <c r="BP209" s="66">
        <v>-37.156999999999996</v>
      </c>
      <c r="BQ209" s="66">
        <v>-40.287999999999997</v>
      </c>
      <c r="BR209" s="66">
        <v>-39.738</v>
      </c>
      <c r="BS209" s="66">
        <v>-42.011000000000003</v>
      </c>
      <c r="BT209" s="66">
        <f t="shared" ref="BT209:CE209" si="643">+BS209+BT23-BS23</f>
        <v>-42.741813471805557</v>
      </c>
      <c r="BU209" s="66">
        <f t="shared" si="643"/>
        <v>-42.753791050951214</v>
      </c>
      <c r="BV209" s="66">
        <f t="shared" si="643"/>
        <v>-42.764883773662241</v>
      </c>
      <c r="BW209" s="66">
        <f t="shared" si="643"/>
        <v>-42.765141653698691</v>
      </c>
      <c r="BX209" s="66">
        <f t="shared" si="643"/>
        <v>-42.99051685387267</v>
      </c>
      <c r="BY209" s="66">
        <f t="shared" si="643"/>
        <v>-43.22710996987616</v>
      </c>
      <c r="BZ209" s="66">
        <f t="shared" si="643"/>
        <v>-43.475486245295308</v>
      </c>
      <c r="CA209" s="66">
        <f t="shared" si="643"/>
        <v>-43.75966760664987</v>
      </c>
      <c r="CB209" s="66">
        <f t="shared" si="643"/>
        <v>-43.891865898188435</v>
      </c>
      <c r="CC209" s="66">
        <f t="shared" si="643"/>
        <v>-44.001988374328526</v>
      </c>
      <c r="CD209" s="66">
        <f t="shared" si="643"/>
        <v>-44.114467452978417</v>
      </c>
      <c r="CE209" s="66">
        <f t="shared" si="643"/>
        <v>-44.229337084236214</v>
      </c>
      <c r="CF209" s="4"/>
      <c r="CG209" s="4"/>
      <c r="CH209" s="4"/>
      <c r="CI209" s="4"/>
      <c r="CJ209" s="4"/>
      <c r="CK209" s="4"/>
      <c r="CL209" s="4"/>
      <c r="CM209" s="4"/>
      <c r="CN209" s="240">
        <f t="shared" si="629"/>
        <v>202</v>
      </c>
    </row>
    <row r="210" spans="1:99" ht="12.75" hidden="1" customHeight="1" outlineLevel="2">
      <c r="A210" s="143"/>
      <c r="B210" s="10" t="s">
        <v>133</v>
      </c>
      <c r="C210" s="59"/>
      <c r="D210" s="59"/>
      <c r="E210" s="59"/>
      <c r="F210" s="59">
        <f t="shared" ref="F210:Q210" si="644">F24</f>
        <v>1.1429999999999998</v>
      </c>
      <c r="G210" s="59">
        <f t="shared" si="644"/>
        <v>3.758</v>
      </c>
      <c r="H210" s="59">
        <f t="shared" si="644"/>
        <v>1.4890000000000001</v>
      </c>
      <c r="I210" s="59">
        <f t="shared" si="644"/>
        <v>-4.6950000000000003</v>
      </c>
      <c r="J210" s="59">
        <f t="shared" si="644"/>
        <v>-9.3710000000000004</v>
      </c>
      <c r="K210" s="59">
        <f t="shared" si="644"/>
        <v>-15.472000000000001</v>
      </c>
      <c r="L210" s="59">
        <f t="shared" si="644"/>
        <v>-6.4169999999999998</v>
      </c>
      <c r="M210" s="59">
        <f t="shared" si="644"/>
        <v>7.92</v>
      </c>
      <c r="N210" s="59">
        <f t="shared" si="644"/>
        <v>4.5299999999999994</v>
      </c>
      <c r="O210" s="59">
        <f t="shared" si="644"/>
        <v>-4.9960000000000004</v>
      </c>
      <c r="P210" s="59">
        <f t="shared" si="644"/>
        <v>-4.9960000000000004</v>
      </c>
      <c r="Q210" s="59">
        <f t="shared" si="644"/>
        <v>-4.9960000000000004</v>
      </c>
      <c r="R210" s="59"/>
      <c r="S210" s="56"/>
      <c r="T210" s="56"/>
      <c r="U210" s="56"/>
      <c r="V210" s="56"/>
      <c r="W210" s="59">
        <f t="shared" ref="W210:AO210" si="645">W24</f>
        <v>-4.3999999999999997E-2</v>
      </c>
      <c r="X210" s="59">
        <f t="shared" si="645"/>
        <v>1.032</v>
      </c>
      <c r="Y210" s="59">
        <f t="shared" si="645"/>
        <v>1.9690000000000001</v>
      </c>
      <c r="Z210" s="59">
        <f t="shared" si="645"/>
        <v>1.4790000000000001</v>
      </c>
      <c r="AA210" s="59">
        <f t="shared" si="645"/>
        <v>1.4890000000000001</v>
      </c>
      <c r="AB210" s="59">
        <f t="shared" si="645"/>
        <v>1.5489999999999999</v>
      </c>
      <c r="AC210" s="59">
        <f t="shared" si="645"/>
        <v>1.637</v>
      </c>
      <c r="AD210" s="59">
        <f t="shared" si="645"/>
        <v>1.306</v>
      </c>
      <c r="AE210" s="59">
        <f t="shared" si="645"/>
        <v>1.8009999999999999</v>
      </c>
      <c r="AF210" s="59">
        <f t="shared" si="645"/>
        <v>1.5269999999999999</v>
      </c>
      <c r="AG210" s="59">
        <f t="shared" si="645"/>
        <v>1.4730000000000001</v>
      </c>
      <c r="AH210" s="59">
        <f t="shared" si="645"/>
        <v>1.998</v>
      </c>
      <c r="AI210" s="59">
        <f t="shared" si="645"/>
        <v>1.369</v>
      </c>
      <c r="AJ210" s="59">
        <f t="shared" si="645"/>
        <v>1.722</v>
      </c>
      <c r="AK210" s="59">
        <f t="shared" si="645"/>
        <v>0.312</v>
      </c>
      <c r="AL210" s="59">
        <f t="shared" si="645"/>
        <v>-0.49199999999999999</v>
      </c>
      <c r="AM210" s="59">
        <f t="shared" si="645"/>
        <v>-0.39900000000000002</v>
      </c>
      <c r="AN210" s="59">
        <f t="shared" si="645"/>
        <v>-0.86399999999999999</v>
      </c>
      <c r="AO210" s="59">
        <f t="shared" si="645"/>
        <v>1.5329999999999999</v>
      </c>
      <c r="AP210" s="59">
        <v>-0.90500000000000003</v>
      </c>
      <c r="AQ210" s="59">
        <f t="shared" ref="AQ210:CE210" si="646">AQ24</f>
        <v>2.1840000000000002</v>
      </c>
      <c r="AR210" s="59">
        <f t="shared" si="646"/>
        <v>1.411</v>
      </c>
      <c r="AS210" s="59">
        <f t="shared" si="646"/>
        <v>7.8E-2</v>
      </c>
      <c r="AT210" s="59">
        <f t="shared" si="646"/>
        <v>0</v>
      </c>
      <c r="AU210" s="59">
        <f t="shared" si="646"/>
        <v>0</v>
      </c>
      <c r="AV210" s="59">
        <f t="shared" si="646"/>
        <v>0</v>
      </c>
      <c r="AW210" s="59">
        <f t="shared" si="646"/>
        <v>-1.9039999999999999</v>
      </c>
      <c r="AX210" s="59">
        <f t="shared" si="646"/>
        <v>-1.5509999999999999</v>
      </c>
      <c r="AY210" s="59">
        <f t="shared" si="646"/>
        <v>-1.24</v>
      </c>
      <c r="AZ210" s="59">
        <f t="shared" si="646"/>
        <v>-2.64</v>
      </c>
      <c r="BA210" s="59">
        <f t="shared" si="646"/>
        <v>-1.7569999999999999</v>
      </c>
      <c r="BB210" s="59">
        <f t="shared" si="646"/>
        <v>-1.268</v>
      </c>
      <c r="BC210" s="59">
        <f t="shared" si="646"/>
        <v>-3.706</v>
      </c>
      <c r="BD210" s="59">
        <f t="shared" si="646"/>
        <v>-2.2320000000000002</v>
      </c>
      <c r="BE210" s="59">
        <f t="shared" si="646"/>
        <v>-1.405</v>
      </c>
      <c r="BF210" s="59">
        <f t="shared" si="646"/>
        <v>-7.6840000000000002</v>
      </c>
      <c r="BG210" s="59">
        <f t="shared" si="646"/>
        <v>-4.1509999999999998</v>
      </c>
      <c r="BH210" s="59">
        <f t="shared" si="646"/>
        <v>0.95799999999999996</v>
      </c>
      <c r="BI210" s="59">
        <f t="shared" si="646"/>
        <v>1.718</v>
      </c>
      <c r="BJ210" s="59">
        <f t="shared" si="646"/>
        <v>-3.7909999999999999</v>
      </c>
      <c r="BK210" s="59">
        <f t="shared" si="646"/>
        <v>-5.3019999999999996</v>
      </c>
      <c r="BL210" s="59">
        <f t="shared" si="646"/>
        <v>1.256</v>
      </c>
      <c r="BM210" s="59">
        <f t="shared" si="646"/>
        <v>1.5149999999999999</v>
      </c>
      <c r="BN210" s="59">
        <f t="shared" si="646"/>
        <v>1.1479999999999999</v>
      </c>
      <c r="BO210" s="59">
        <f t="shared" si="646"/>
        <v>4.0010000000000003</v>
      </c>
      <c r="BP210" s="59">
        <f t="shared" si="646"/>
        <v>1.5169999999999999</v>
      </c>
      <c r="BQ210" s="59">
        <f t="shared" si="646"/>
        <v>3.7589999999999999</v>
      </c>
      <c r="BR210" s="59">
        <f t="shared" si="646"/>
        <v>0.503</v>
      </c>
      <c r="BS210" s="59">
        <f t="shared" si="646"/>
        <v>-1.2490000000000001</v>
      </c>
      <c r="BT210" s="59">
        <f t="shared" si="646"/>
        <v>-1.2490000000000001</v>
      </c>
      <c r="BU210" s="59">
        <f t="shared" si="646"/>
        <v>-1.2490000000000001</v>
      </c>
      <c r="BV210" s="59">
        <f t="shared" si="646"/>
        <v>-1.2490000000000001</v>
      </c>
      <c r="BW210" s="59">
        <f t="shared" si="646"/>
        <v>-1.2490000000000001</v>
      </c>
      <c r="BX210" s="59">
        <f t="shared" si="646"/>
        <v>-1.2490000000000001</v>
      </c>
      <c r="BY210" s="59">
        <f t="shared" si="646"/>
        <v>-1.2490000000000001</v>
      </c>
      <c r="BZ210" s="59">
        <f t="shared" si="646"/>
        <v>-1.2490000000000001</v>
      </c>
      <c r="CA210" s="59">
        <f t="shared" si="646"/>
        <v>-1.2490000000000001</v>
      </c>
      <c r="CB210" s="59">
        <f t="shared" si="646"/>
        <v>-1.2490000000000001</v>
      </c>
      <c r="CC210" s="59">
        <f t="shared" si="646"/>
        <v>-1.2490000000000001</v>
      </c>
      <c r="CD210" s="59">
        <f t="shared" si="646"/>
        <v>-1.2490000000000001</v>
      </c>
      <c r="CE210" s="59">
        <f t="shared" si="646"/>
        <v>-1.2490000000000001</v>
      </c>
      <c r="CF210" s="4"/>
      <c r="CG210" s="4"/>
      <c r="CH210" s="4"/>
      <c r="CI210" s="4"/>
      <c r="CJ210" s="4"/>
      <c r="CK210" s="4"/>
      <c r="CL210" s="4"/>
      <c r="CM210" s="4"/>
      <c r="CN210" s="240">
        <f t="shared" si="629"/>
        <v>203</v>
      </c>
    </row>
    <row r="211" spans="1:99" hidden="1" outlineLevel="2">
      <c r="A211" s="143"/>
      <c r="B211" s="10" t="s">
        <v>116</v>
      </c>
      <c r="C211" s="64">
        <f>SUM(C206:C210)</f>
        <v>287.03699999999998</v>
      </c>
      <c r="D211" s="64">
        <f t="shared" ref="D211:M211" si="647">SUM(D206:D210)</f>
        <v>368.1749999999999</v>
      </c>
      <c r="E211" s="64">
        <f t="shared" si="647"/>
        <v>503.63099999999997</v>
      </c>
      <c r="F211" s="64">
        <f t="shared" si="647"/>
        <v>394.9489999999999</v>
      </c>
      <c r="G211" s="64">
        <f t="shared" si="647"/>
        <v>609.86</v>
      </c>
      <c r="H211" s="64">
        <f t="shared" si="647"/>
        <v>1014.1929999999998</v>
      </c>
      <c r="I211" s="64">
        <f t="shared" si="647"/>
        <v>1101.1910000000005</v>
      </c>
      <c r="J211" s="64">
        <f t="shared" si="647"/>
        <v>1169.0410000000002</v>
      </c>
      <c r="K211" s="64">
        <f t="shared" si="647"/>
        <v>1477.61</v>
      </c>
      <c r="L211" s="64">
        <f t="shared" si="647"/>
        <v>979.7270000000002</v>
      </c>
      <c r="M211" s="64">
        <f t="shared" si="647"/>
        <v>615.80799999999988</v>
      </c>
      <c r="N211" s="64">
        <f>SUM(N206:N210)</f>
        <v>1055.3389999999999</v>
      </c>
      <c r="O211" s="64">
        <f>SUM(O206:O210)</f>
        <v>1364.7506499103408</v>
      </c>
      <c r="P211" s="64">
        <f>SUM(P206:P210)</f>
        <v>1570.1506831959873</v>
      </c>
      <c r="Q211" s="64">
        <f>SUM(Q206:Q210)</f>
        <v>1745.6563252097135</v>
      </c>
      <c r="R211" s="109"/>
      <c r="S211" s="56"/>
      <c r="T211" s="56"/>
      <c r="U211" s="56"/>
      <c r="V211" s="56"/>
      <c r="W211" s="64">
        <f t="shared" ref="W211:BD211" si="648">SUM(W206:W210)</f>
        <v>59.938000000000002</v>
      </c>
      <c r="X211" s="64">
        <f t="shared" si="648"/>
        <v>65.751000000000005</v>
      </c>
      <c r="Y211" s="64">
        <f t="shared" si="648"/>
        <v>69.695000000000007</v>
      </c>
      <c r="Z211" s="64">
        <f t="shared" si="648"/>
        <v>74.010999999999996</v>
      </c>
      <c r="AA211" s="64">
        <f t="shared" si="648"/>
        <v>77.58</v>
      </c>
      <c r="AB211" s="64">
        <f t="shared" si="648"/>
        <v>87.520999999999987</v>
      </c>
      <c r="AC211" s="64">
        <f t="shared" si="648"/>
        <v>88.191000000000031</v>
      </c>
      <c r="AD211" s="64">
        <f t="shared" si="648"/>
        <v>91.430999999999969</v>
      </c>
      <c r="AE211" s="64">
        <f t="shared" si="648"/>
        <v>101.032</v>
      </c>
      <c r="AF211" s="64">
        <f t="shared" si="648"/>
        <v>117.67</v>
      </c>
      <c r="AG211" s="64">
        <f t="shared" si="648"/>
        <v>120.17500000000001</v>
      </c>
      <c r="AH211" s="64">
        <f t="shared" si="648"/>
        <v>134.87799999999999</v>
      </c>
      <c r="AI211" s="64">
        <f t="shared" si="648"/>
        <v>130.90800000000002</v>
      </c>
      <c r="AJ211" s="64">
        <f t="shared" si="648"/>
        <v>109.97000000000001</v>
      </c>
      <c r="AK211" s="64">
        <f t="shared" si="648"/>
        <v>91.079999999999984</v>
      </c>
      <c r="AL211" s="64">
        <f t="shared" si="648"/>
        <v>90.441999999999993</v>
      </c>
      <c r="AM211" s="64">
        <f t="shared" si="648"/>
        <v>102.31399999999999</v>
      </c>
      <c r="AN211" s="64">
        <f t="shared" si="648"/>
        <v>129.61400000000003</v>
      </c>
      <c r="AO211" s="64">
        <f t="shared" si="648"/>
        <v>139.47799999999998</v>
      </c>
      <c r="AP211" s="64">
        <f t="shared" si="648"/>
        <v>160.72299999999998</v>
      </c>
      <c r="AQ211" s="64">
        <f t="shared" si="648"/>
        <v>174.477</v>
      </c>
      <c r="AR211" s="64">
        <f t="shared" si="648"/>
        <v>201.25199999999995</v>
      </c>
      <c r="AS211" s="64">
        <f t="shared" si="648"/>
        <v>262.99099999999999</v>
      </c>
      <c r="AT211" s="64">
        <f t="shared" si="648"/>
        <v>279.93600000000004</v>
      </c>
      <c r="AU211" s="64">
        <f t="shared" si="648"/>
        <v>271.04800000000012</v>
      </c>
      <c r="AV211" s="64">
        <f t="shared" si="648"/>
        <v>273.76399999999995</v>
      </c>
      <c r="AW211" s="64">
        <f t="shared" si="648"/>
        <v>281.279</v>
      </c>
      <c r="AX211" s="64">
        <f t="shared" si="648"/>
        <v>271.53300000000002</v>
      </c>
      <c r="AY211" s="64">
        <f t="shared" si="648"/>
        <v>279.40699999999993</v>
      </c>
      <c r="AZ211" s="64">
        <f t="shared" si="648"/>
        <v>268.22700000000009</v>
      </c>
      <c r="BA211" s="64">
        <f t="shared" si="648"/>
        <v>287.57799999999997</v>
      </c>
      <c r="BB211" s="64">
        <f t="shared" si="648"/>
        <v>303.70699999999999</v>
      </c>
      <c r="BC211" s="64">
        <f t="shared" si="648"/>
        <v>318.90000000000003</v>
      </c>
      <c r="BD211" s="64">
        <f t="shared" si="648"/>
        <v>330.01500000000004</v>
      </c>
      <c r="BE211" s="64">
        <f t="shared" ref="BE211:BM211" si="649">SUM(BE206:BE210)</f>
        <v>374.27500000000003</v>
      </c>
      <c r="BF211" s="64">
        <f t="shared" si="649"/>
        <v>398.30599999999987</v>
      </c>
      <c r="BG211" s="64">
        <f t="shared" si="649"/>
        <v>390.48599999999999</v>
      </c>
      <c r="BH211" s="64">
        <f t="shared" si="649"/>
        <v>292.44500000000005</v>
      </c>
      <c r="BI211" s="64">
        <f t="shared" si="649"/>
        <v>241.61699999999999</v>
      </c>
      <c r="BJ211" s="64">
        <f t="shared" si="649"/>
        <v>234.64</v>
      </c>
      <c r="BK211" s="64">
        <f t="shared" si="649"/>
        <v>217.44199999999998</v>
      </c>
      <c r="BL211" s="64">
        <f t="shared" si="649"/>
        <v>161.25600000000003</v>
      </c>
      <c r="BM211" s="64">
        <f t="shared" si="649"/>
        <v>126.99700000000003</v>
      </c>
      <c r="BN211" s="64">
        <f t="shared" ref="BN211:BW211" si="650">SUM(BN206:BN210)</f>
        <v>145.01599999999999</v>
      </c>
      <c r="BO211" s="64">
        <f t="shared" si="650"/>
        <v>174.619</v>
      </c>
      <c r="BP211" s="64">
        <f t="shared" si="650"/>
        <v>216.24199999999996</v>
      </c>
      <c r="BQ211" s="64">
        <f t="shared" si="650"/>
        <v>254.01599999999999</v>
      </c>
      <c r="BR211" s="64">
        <f t="shared" si="650"/>
        <v>294.81999999999994</v>
      </c>
      <c r="BS211" s="64">
        <f>SUM(BS206:BS210)</f>
        <v>285.73099999999994</v>
      </c>
      <c r="BT211" s="64">
        <f t="shared" si="650"/>
        <v>293.85223474795077</v>
      </c>
      <c r="BU211" s="64">
        <f t="shared" si="650"/>
        <v>337.31329609822666</v>
      </c>
      <c r="BV211" s="64">
        <f t="shared" si="650"/>
        <v>364.04040003976604</v>
      </c>
      <c r="BW211" s="64">
        <f t="shared" si="650"/>
        <v>374.54071902439796</v>
      </c>
      <c r="BX211" s="64">
        <f t="shared" ref="BX211:CE211" si="651">SUM(BX206:BX210)</f>
        <v>377.88026221846297</v>
      </c>
      <c r="BY211" s="64">
        <f t="shared" si="651"/>
        <v>379.76756841668748</v>
      </c>
      <c r="BZ211" s="64">
        <f t="shared" si="651"/>
        <v>395.59809868813676</v>
      </c>
      <c r="CA211" s="64">
        <f t="shared" si="651"/>
        <v>421.90075387269962</v>
      </c>
      <c r="CB211" s="64">
        <f t="shared" si="651"/>
        <v>435.31552501542234</v>
      </c>
      <c r="CC211" s="64">
        <f t="shared" si="651"/>
        <v>436.34545250119152</v>
      </c>
      <c r="CD211" s="64">
        <f t="shared" si="651"/>
        <v>438.21764187755531</v>
      </c>
      <c r="CE211" s="64">
        <f t="shared" si="651"/>
        <v>440.7737058155443</v>
      </c>
      <c r="CF211" s="4"/>
      <c r="CG211" s="4"/>
      <c r="CH211" s="4"/>
      <c r="CI211" s="4"/>
      <c r="CJ211" s="4"/>
      <c r="CK211" s="4"/>
      <c r="CL211" s="4"/>
      <c r="CM211" s="4"/>
      <c r="CN211" s="240">
        <f t="shared" si="629"/>
        <v>204</v>
      </c>
    </row>
    <row r="212" spans="1:99" hidden="1" outlineLevel="2">
      <c r="A212" s="143"/>
      <c r="B212" s="10" t="s">
        <v>175</v>
      </c>
      <c r="C212" s="67">
        <f>C211/C206</f>
        <v>0.48109716239545441</v>
      </c>
      <c r="D212" s="67">
        <f t="shared" ref="D212:N212" si="652">D211/D206</f>
        <v>0.53341224468507409</v>
      </c>
      <c r="E212" s="67">
        <f t="shared" si="652"/>
        <v>0.57428073940365598</v>
      </c>
      <c r="F212" s="67">
        <f t="shared" si="652"/>
        <v>0.67183850659082112</v>
      </c>
      <c r="G212" s="67">
        <f t="shared" si="652"/>
        <v>0.5562467164788979</v>
      </c>
      <c r="H212" s="67">
        <f t="shared" si="652"/>
        <v>0.55426228012025303</v>
      </c>
      <c r="I212" s="67">
        <f t="shared" si="652"/>
        <v>0.56615834362884165</v>
      </c>
      <c r="J212" s="67">
        <f t="shared" si="652"/>
        <v>0.62801391789046301</v>
      </c>
      <c r="K212" s="67">
        <f t="shared" si="652"/>
        <v>0.63215614869943815</v>
      </c>
      <c r="L212" s="67">
        <f t="shared" si="652"/>
        <v>0.7751986010887455</v>
      </c>
      <c r="M212" s="67">
        <f t="shared" si="652"/>
        <v>0.84475989541465102</v>
      </c>
      <c r="N212" s="67">
        <f t="shared" si="652"/>
        <v>0.66156039234541542</v>
      </c>
      <c r="O212" s="67">
        <f>O211/O206</f>
        <v>0.63299644986972747</v>
      </c>
      <c r="P212" s="67">
        <f>P211/P206</f>
        <v>0.63042213266895042</v>
      </c>
      <c r="Q212" s="67">
        <f>Q211/Q206</f>
        <v>0.63656719094405323</v>
      </c>
      <c r="R212" s="67"/>
      <c r="S212" s="56"/>
      <c r="T212" s="56"/>
      <c r="U212" s="56"/>
      <c r="V212" s="56"/>
      <c r="W212" s="67">
        <f t="shared" ref="W212:BB212" si="653">W211/W206</f>
        <v>0.50981993246404178</v>
      </c>
      <c r="X212" s="67">
        <f t="shared" si="653"/>
        <v>0.48337793330588724</v>
      </c>
      <c r="Y212" s="67">
        <f t="shared" si="653"/>
        <v>0.47715058364426804</v>
      </c>
      <c r="Z212" s="67">
        <f t="shared" si="653"/>
        <v>0.47993956254174525</v>
      </c>
      <c r="AA212" s="67">
        <f t="shared" si="653"/>
        <v>0.4838709677419355</v>
      </c>
      <c r="AB212" s="67">
        <f t="shared" si="653"/>
        <v>0.51168405975035802</v>
      </c>
      <c r="AC212" s="67">
        <f t="shared" si="653"/>
        <v>0.51564336289912371</v>
      </c>
      <c r="AD212" s="67">
        <f t="shared" si="653"/>
        <v>0.56452479300572345</v>
      </c>
      <c r="AE212" s="67">
        <f t="shared" si="653"/>
        <v>0.54263141216720645</v>
      </c>
      <c r="AF212" s="67">
        <f t="shared" si="653"/>
        <v>0.59662216633625209</v>
      </c>
      <c r="AG212" s="67">
        <f t="shared" si="653"/>
        <v>0.55976319233868532</v>
      </c>
      <c r="AH212" s="67">
        <f t="shared" si="653"/>
        <v>0.56858488219646985</v>
      </c>
      <c r="AI212" s="67">
        <f t="shared" si="653"/>
        <v>0.57455100858482122</v>
      </c>
      <c r="AJ212" s="67">
        <f t="shared" si="653"/>
        <v>0.62386892909213654</v>
      </c>
      <c r="AK212" s="67">
        <f t="shared" si="653"/>
        <v>0.71706372325182244</v>
      </c>
      <c r="AL212" s="67">
        <f t="shared" si="653"/>
        <v>0.6843423452053965</v>
      </c>
      <c r="AM212" s="67">
        <f t="shared" si="653"/>
        <v>0.67128563461601543</v>
      </c>
      <c r="AN212" s="67">
        <f t="shared" si="653"/>
        <v>0.60810531847014238</v>
      </c>
      <c r="AO212" s="67">
        <f t="shared" si="653"/>
        <v>0.55152315576363398</v>
      </c>
      <c r="AP212" s="67">
        <f t="shared" si="653"/>
        <v>0.53184315023163464</v>
      </c>
      <c r="AQ212" s="67">
        <f t="shared" si="653"/>
        <v>0.53170864010922037</v>
      </c>
      <c r="AR212" s="67">
        <f t="shared" si="653"/>
        <v>0.52716752104065101</v>
      </c>
      <c r="AS212" s="67">
        <f t="shared" si="653"/>
        <v>0.56797954339792966</v>
      </c>
      <c r="AT212" s="67">
        <f t="shared" si="653"/>
        <v>0.55738050912421477</v>
      </c>
      <c r="AU212" s="67">
        <f t="shared" si="653"/>
        <v>0.56142938220563343</v>
      </c>
      <c r="AV212" s="67">
        <f t="shared" si="653"/>
        <v>0.54474218844827538</v>
      </c>
      <c r="AW212" s="67">
        <f t="shared" si="653"/>
        <v>0.56243876298224771</v>
      </c>
      <c r="AX212" s="67">
        <f t="shared" si="653"/>
        <v>0.57477276479727701</v>
      </c>
      <c r="AY212" s="67">
        <f t="shared" si="653"/>
        <v>0.59455634950696024</v>
      </c>
      <c r="AZ212" s="67">
        <f t="shared" si="653"/>
        <v>0.62990552368248642</v>
      </c>
      <c r="BA212" s="67">
        <f t="shared" si="653"/>
        <v>0.62849512420066178</v>
      </c>
      <c r="BB212" s="67">
        <f t="shared" si="653"/>
        <v>0.61839546669761625</v>
      </c>
      <c r="BC212" s="67">
        <f>BC211/BC206</f>
        <v>0.65485101061437723</v>
      </c>
      <c r="BD212" s="67">
        <f>BD211/BD206</f>
        <v>0.65780399129346301</v>
      </c>
      <c r="BE212" s="67">
        <f>BE211/BE206</f>
        <v>0.64216728348354846</v>
      </c>
      <c r="BF212" s="67">
        <f>BF211/BF206</f>
        <v>0.64172106901418413</v>
      </c>
      <c r="BG212" s="67">
        <f t="shared" ref="BG212:BM212" si="654">BG211/BG206</f>
        <v>0.61765627026633718</v>
      </c>
      <c r="BH212" s="67">
        <f t="shared" si="654"/>
        <v>0.71982917764048548</v>
      </c>
      <c r="BI212" s="67">
        <f t="shared" si="654"/>
        <v>0.81199421965317919</v>
      </c>
      <c r="BJ212" s="67">
        <f t="shared" si="654"/>
        <v>0.80377084446636793</v>
      </c>
      <c r="BK212" s="67">
        <f t="shared" si="654"/>
        <v>0.81109047096827125</v>
      </c>
      <c r="BL212" s="67">
        <f t="shared" si="654"/>
        <v>0.8527777043285123</v>
      </c>
      <c r="BM212" s="67">
        <f t="shared" si="654"/>
        <v>0.88810333011650522</v>
      </c>
      <c r="BN212" s="67">
        <f t="shared" ref="BN212:BW212" si="655">BN211/BN206</f>
        <v>0.82449796456755586</v>
      </c>
      <c r="BO212" s="67">
        <f t="shared" si="655"/>
        <v>0.79014194762824841</v>
      </c>
      <c r="BP212" s="67">
        <f t="shared" si="655"/>
        <v>0.72535464026110374</v>
      </c>
      <c r="BQ212" s="67">
        <f t="shared" si="655"/>
        <v>0.63693488127178355</v>
      </c>
      <c r="BR212" s="67">
        <f t="shared" si="655"/>
        <v>0.62594612727415544</v>
      </c>
      <c r="BS212" s="67">
        <f>BS211/BS206</f>
        <v>0.6686910102761765</v>
      </c>
      <c r="BT212" s="67">
        <f t="shared" si="655"/>
        <v>0.64928965908787062</v>
      </c>
      <c r="BU212" s="67">
        <f t="shared" si="655"/>
        <v>0.63249006357055959</v>
      </c>
      <c r="BV212" s="67">
        <f t="shared" si="655"/>
        <v>0.63261079143204602</v>
      </c>
      <c r="BW212" s="67">
        <f t="shared" si="655"/>
        <v>0.62982512059634976</v>
      </c>
      <c r="BX212" s="67">
        <f t="shared" ref="BX212:CE212" si="656">BX211/BX206</f>
        <v>0.6303405853428653</v>
      </c>
      <c r="BY212" s="67">
        <f t="shared" si="656"/>
        <v>0.63046875821949722</v>
      </c>
      <c r="BZ212" s="67">
        <f t="shared" si="656"/>
        <v>0.63265254989680908</v>
      </c>
      <c r="CA212" s="67">
        <f t="shared" si="656"/>
        <v>0.63588132719720802</v>
      </c>
      <c r="CB212" s="67">
        <f t="shared" si="656"/>
        <v>0.63771357390299122</v>
      </c>
      <c r="CC212" s="67">
        <f t="shared" si="656"/>
        <v>0.63818398175222146</v>
      </c>
      <c r="CD212" s="67">
        <f t="shared" si="656"/>
        <v>0.63858494993912207</v>
      </c>
      <c r="CE212" s="67">
        <f t="shared" si="656"/>
        <v>0.63906584001706623</v>
      </c>
      <c r="CF212" s="4"/>
      <c r="CG212" s="4"/>
      <c r="CH212" s="4"/>
      <c r="CI212" s="4"/>
      <c r="CJ212" s="4"/>
      <c r="CK212" s="4"/>
      <c r="CL212" s="4"/>
      <c r="CM212" s="4"/>
      <c r="CN212" s="240">
        <f t="shared" si="629"/>
        <v>205</v>
      </c>
    </row>
    <row r="213" spans="1:99" hidden="1" outlineLevel="2">
      <c r="A213" s="143"/>
      <c r="B213" s="10" t="s">
        <v>108</v>
      </c>
      <c r="C213" s="204">
        <f>-C209/C206</f>
        <v>0.1526088195363961</v>
      </c>
      <c r="D213" s="204">
        <f t="shared" ref="D213:AU213" si="657">-D209/D206</f>
        <v>0.15618072921043255</v>
      </c>
      <c r="E213" s="204">
        <f t="shared" si="657"/>
        <v>0.13357248821804904</v>
      </c>
      <c r="F213" s="204">
        <f t="shared" si="657"/>
        <v>0.16614755478742493</v>
      </c>
      <c r="G213" s="204">
        <f t="shared" si="657"/>
        <v>0.11112438707606095</v>
      </c>
      <c r="H213" s="204">
        <f t="shared" si="657"/>
        <v>8.2678665017676733E-2</v>
      </c>
      <c r="I213" s="204">
        <f t="shared" si="657"/>
        <v>9.0358314528928438E-2</v>
      </c>
      <c r="J213" s="204">
        <f t="shared" ref="J213:O213" si="658">-J209/J206</f>
        <v>9.9471444633838835E-2</v>
      </c>
      <c r="K213" s="204">
        <f t="shared" si="658"/>
        <v>8.4741549738963542E-2</v>
      </c>
      <c r="L213" s="204">
        <f t="shared" si="658"/>
        <v>0.12307649702493983</v>
      </c>
      <c r="M213" s="204">
        <f t="shared" si="658"/>
        <v>0.20397160941268136</v>
      </c>
      <c r="N213" s="204">
        <f t="shared" si="658"/>
        <v>9.979394782059231E-2</v>
      </c>
      <c r="O213" s="204">
        <f t="shared" si="658"/>
        <v>7.9324832417020971E-2</v>
      </c>
      <c r="P213" s="204">
        <f>-P209/P206</f>
        <v>6.9642024221749019E-2</v>
      </c>
      <c r="Q213" s="204">
        <f>-Q209/Q206</f>
        <v>6.4266436518419373E-2</v>
      </c>
      <c r="R213" s="204"/>
      <c r="S213" s="4"/>
      <c r="T213" s="4"/>
      <c r="U213" s="4"/>
      <c r="V213" s="4"/>
      <c r="W213" s="204">
        <f t="shared" si="657"/>
        <v>0.16912909234734236</v>
      </c>
      <c r="X213" s="204">
        <f t="shared" si="657"/>
        <v>0.15499470681644414</v>
      </c>
      <c r="Y213" s="204">
        <f t="shared" si="657"/>
        <v>0.15330161229589567</v>
      </c>
      <c r="Z213" s="204">
        <f t="shared" si="657"/>
        <v>0.15226089268460336</v>
      </c>
      <c r="AA213" s="204">
        <f t="shared" si="657"/>
        <v>0.15028815208442484</v>
      </c>
      <c r="AB213" s="204">
        <f t="shared" si="657"/>
        <v>0.15098365927095209</v>
      </c>
      <c r="AC213" s="204">
        <f t="shared" si="657"/>
        <v>0.15831632861878842</v>
      </c>
      <c r="AD213" s="204">
        <f t="shared" si="657"/>
        <v>0.16255147844234108</v>
      </c>
      <c r="AE213" s="204">
        <f t="shared" si="657"/>
        <v>0.15345160025565421</v>
      </c>
      <c r="AF213" s="204">
        <f t="shared" si="657"/>
        <v>0.14357567675825317</v>
      </c>
      <c r="AG213" s="204">
        <f t="shared" si="657"/>
        <v>0.13512569344493663</v>
      </c>
      <c r="AH213" s="204">
        <f t="shared" si="657"/>
        <v>0.12503319745212191</v>
      </c>
      <c r="AI213" s="204">
        <f t="shared" si="657"/>
        <v>0.132340548796545</v>
      </c>
      <c r="AJ213" s="204">
        <f t="shared" si="657"/>
        <v>0.15661112718484604</v>
      </c>
      <c r="AK213" s="204">
        <f t="shared" si="657"/>
        <v>0.18400541655513392</v>
      </c>
      <c r="AL213" s="204">
        <f t="shared" si="657"/>
        <v>0.17284483084769106</v>
      </c>
      <c r="AM213" s="204">
        <f t="shared" si="657"/>
        <v>0.15648722238624807</v>
      </c>
      <c r="AN213" s="204">
        <f t="shared" si="657"/>
        <v>0.13060184663889202</v>
      </c>
      <c r="AO213" s="204">
        <f t="shared" si="657"/>
        <v>0.11656174870302417</v>
      </c>
      <c r="AP213" s="204">
        <f t="shared" si="657"/>
        <v>0.10950033090668432</v>
      </c>
      <c r="AQ213" s="204">
        <f t="shared" si="657"/>
        <v>9.5778073041103903E-2</v>
      </c>
      <c r="AR213" s="204">
        <f t="shared" si="657"/>
        <v>9.4449144883840958E-2</v>
      </c>
      <c r="AS213" s="204">
        <f t="shared" si="657"/>
        <v>7.7653883450064687E-2</v>
      </c>
      <c r="AT213" s="204">
        <f t="shared" si="657"/>
        <v>7.4049000965683384E-2</v>
      </c>
      <c r="AU213" s="204">
        <f t="shared" si="657"/>
        <v>8.7167707163895908E-2</v>
      </c>
      <c r="AV213" s="204">
        <f t="shared" ref="AV213:BC213" si="659">-AV209/AV206</f>
        <v>8.9396824638797182E-2</v>
      </c>
      <c r="AW213" s="204">
        <f t="shared" si="659"/>
        <v>8.6211723114699684E-2</v>
      </c>
      <c r="AX213" s="204">
        <f t="shared" si="659"/>
        <v>9.1054955569008791E-2</v>
      </c>
      <c r="AY213" s="204">
        <f t="shared" si="659"/>
        <v>9.5098969660085714E-2</v>
      </c>
      <c r="AZ213" s="204">
        <f t="shared" si="659"/>
        <v>0.10547624471315412</v>
      </c>
      <c r="BA213" s="204">
        <f t="shared" si="659"/>
        <v>0.10405274867450816</v>
      </c>
      <c r="BB213" s="204">
        <f t="shared" si="659"/>
        <v>9.5894901663744772E-2</v>
      </c>
      <c r="BC213" s="204">
        <f t="shared" si="659"/>
        <v>9.3523155934215091E-2</v>
      </c>
      <c r="BD213" s="204">
        <f t="shared" ref="BD213:BI213" si="660">-BD209/BD206</f>
        <v>9.7087456048731091E-2</v>
      </c>
      <c r="BE213" s="204">
        <f t="shared" si="660"/>
        <v>8.1675477110860609E-2</v>
      </c>
      <c r="BF213" s="204">
        <f t="shared" si="660"/>
        <v>8.1867745906129372E-2</v>
      </c>
      <c r="BG213" s="204">
        <f t="shared" si="660"/>
        <v>8.0592401843702838E-2</v>
      </c>
      <c r="BH213" s="204">
        <f t="shared" si="660"/>
        <v>0.10494744874098505</v>
      </c>
      <c r="BI213" s="204">
        <f t="shared" si="660"/>
        <v>0.13576085495362281</v>
      </c>
      <c r="BJ213" s="204">
        <f t="shared" ref="BJ213:BW213" si="661">-BJ209/BJ206</f>
        <v>0.12304914977870954</v>
      </c>
      <c r="BK213" s="204">
        <f t="shared" si="661"/>
        <v>0.13650097356818333</v>
      </c>
      <c r="BL213" s="204">
        <f t="shared" si="661"/>
        <v>0.21970966974272191</v>
      </c>
      <c r="BM213" s="204">
        <f t="shared" si="661"/>
        <v>0.25495461474985659</v>
      </c>
      <c r="BN213" s="204">
        <f t="shared" ref="BN213:BS213" si="662">-BN209/BN206</f>
        <v>0.207284346501103</v>
      </c>
      <c r="BO213" s="204">
        <f t="shared" si="662"/>
        <v>0.1548799304967941</v>
      </c>
      <c r="BP213" s="204">
        <f t="shared" si="662"/>
        <v>0.12463814785370943</v>
      </c>
      <c r="BQ213" s="204">
        <f t="shared" si="662"/>
        <v>0.10102053609488226</v>
      </c>
      <c r="BR213" s="204">
        <f t="shared" si="662"/>
        <v>8.4369605880267262E-2</v>
      </c>
      <c r="BS213" s="204">
        <f t="shared" si="662"/>
        <v>9.8317571536558721E-2</v>
      </c>
      <c r="BT213" s="204">
        <f t="shared" si="661"/>
        <v>9.4441403590855358E-2</v>
      </c>
      <c r="BU213" s="204">
        <f t="shared" si="661"/>
        <v>8.0166860697433145E-2</v>
      </c>
      <c r="BV213" s="204">
        <f t="shared" si="661"/>
        <v>7.4314628174787012E-2</v>
      </c>
      <c r="BW213" s="204">
        <f t="shared" si="661"/>
        <v>7.1913570758126877E-2</v>
      </c>
      <c r="BX213" s="204">
        <f t="shared" ref="BX213:CE213" si="663">-BX209/BX206</f>
        <v>7.1712312780697521E-2</v>
      </c>
      <c r="BY213" s="204">
        <f t="shared" si="663"/>
        <v>7.176321679533898E-2</v>
      </c>
      <c r="BZ213" s="204">
        <f t="shared" si="663"/>
        <v>6.9527324125924939E-2</v>
      </c>
      <c r="CA213" s="204">
        <f t="shared" si="663"/>
        <v>6.5953794251387227E-2</v>
      </c>
      <c r="CB213" s="204">
        <f t="shared" si="663"/>
        <v>6.4299196924375551E-2</v>
      </c>
      <c r="CC213" s="204">
        <f t="shared" si="663"/>
        <v>6.4355807960820341E-2</v>
      </c>
      <c r="CD213" s="204">
        <f t="shared" si="663"/>
        <v>6.4285031678214852E-2</v>
      </c>
      <c r="CE213" s="204">
        <f t="shared" si="663"/>
        <v>6.4126916111833507E-2</v>
      </c>
      <c r="CF213" s="4"/>
      <c r="CG213" s="4"/>
      <c r="CH213" s="4"/>
      <c r="CI213" s="4"/>
      <c r="CJ213" s="4"/>
      <c r="CK213" s="4"/>
      <c r="CL213" s="4"/>
      <c r="CM213" s="4"/>
      <c r="CN213" s="240">
        <f t="shared" si="629"/>
        <v>206</v>
      </c>
    </row>
    <row r="214" spans="1:99" hidden="1" outlineLevel="2">
      <c r="A214" s="143"/>
      <c r="B214" s="10" t="s">
        <v>245</v>
      </c>
      <c r="C214" s="204">
        <f>(C206-C211)/C206</f>
        <v>0.51890283760454559</v>
      </c>
      <c r="D214" s="204">
        <f t="shared" ref="D214:O214" si="664">(D206-D211)/D206</f>
        <v>0.46658775531492591</v>
      </c>
      <c r="E214" s="204">
        <f t="shared" si="664"/>
        <v>0.42571926059634407</v>
      </c>
      <c r="F214" s="204">
        <f t="shared" si="664"/>
        <v>0.32816149340917888</v>
      </c>
      <c r="G214" s="204">
        <f t="shared" si="664"/>
        <v>0.4437532835211021</v>
      </c>
      <c r="H214" s="204">
        <f t="shared" si="664"/>
        <v>0.44573771987974697</v>
      </c>
      <c r="I214" s="204">
        <f t="shared" si="664"/>
        <v>0.4338416563711584</v>
      </c>
      <c r="J214" s="204">
        <f t="shared" si="664"/>
        <v>0.37198608210953699</v>
      </c>
      <c r="K214" s="204">
        <f t="shared" si="664"/>
        <v>0.3678438513005618</v>
      </c>
      <c r="L214" s="204">
        <f t="shared" si="664"/>
        <v>0.22480139891125453</v>
      </c>
      <c r="M214" s="204">
        <f t="shared" si="664"/>
        <v>0.15524010458534895</v>
      </c>
      <c r="N214" s="204">
        <f t="shared" si="664"/>
        <v>0.33843960765458458</v>
      </c>
      <c r="O214" s="204">
        <f t="shared" si="664"/>
        <v>0.36700355013027253</v>
      </c>
      <c r="P214" s="204">
        <f>(P206-P211)/P206</f>
        <v>0.36957786733104958</v>
      </c>
      <c r="Q214" s="204">
        <f>(Q206-Q211)/Q206</f>
        <v>0.36343280905594677</v>
      </c>
      <c r="R214" s="204"/>
      <c r="S214" s="4"/>
      <c r="T214" s="4"/>
      <c r="U214" s="4"/>
      <c r="V214" s="4"/>
      <c r="W214" s="204">
        <f t="shared" ref="W214:BW214" si="665">(W206-W211)/W206</f>
        <v>0.49018006753595822</v>
      </c>
      <c r="X214" s="204">
        <f t="shared" si="665"/>
        <v>0.51662206669411281</v>
      </c>
      <c r="Y214" s="204">
        <f t="shared" si="665"/>
        <v>0.52284941635573201</v>
      </c>
      <c r="Z214" s="204">
        <f t="shared" si="665"/>
        <v>0.5200604374582547</v>
      </c>
      <c r="AA214" s="204">
        <f t="shared" si="665"/>
        <v>0.5161290322580645</v>
      </c>
      <c r="AB214" s="204">
        <f t="shared" si="665"/>
        <v>0.48831594024964192</v>
      </c>
      <c r="AC214" s="204">
        <f t="shared" si="665"/>
        <v>0.48435663710087629</v>
      </c>
      <c r="AD214" s="204">
        <f t="shared" si="665"/>
        <v>0.43547520699427655</v>
      </c>
      <c r="AE214" s="204">
        <f t="shared" si="665"/>
        <v>0.45736858783279355</v>
      </c>
      <c r="AF214" s="204">
        <f t="shared" si="665"/>
        <v>0.40337783366374785</v>
      </c>
      <c r="AG214" s="204">
        <f t="shared" si="665"/>
        <v>0.44023680766131468</v>
      </c>
      <c r="AH214" s="204">
        <f t="shared" si="665"/>
        <v>0.43141511780353015</v>
      </c>
      <c r="AI214" s="204">
        <f t="shared" si="665"/>
        <v>0.42544899141517872</v>
      </c>
      <c r="AJ214" s="204">
        <f t="shared" si="665"/>
        <v>0.37613107090786346</v>
      </c>
      <c r="AK214" s="204">
        <f t="shared" si="665"/>
        <v>0.28293627674817756</v>
      </c>
      <c r="AL214" s="204">
        <f t="shared" si="665"/>
        <v>0.3156576547946035</v>
      </c>
      <c r="AM214" s="204">
        <f t="shared" si="665"/>
        <v>0.32871436538398452</v>
      </c>
      <c r="AN214" s="204">
        <f t="shared" si="665"/>
        <v>0.39189468152985762</v>
      </c>
      <c r="AO214" s="204">
        <f t="shared" si="665"/>
        <v>0.44847684423636602</v>
      </c>
      <c r="AP214" s="204">
        <f t="shared" si="665"/>
        <v>0.46815684976836536</v>
      </c>
      <c r="AQ214" s="204">
        <f t="shared" si="665"/>
        <v>0.46829135989077963</v>
      </c>
      <c r="AR214" s="204">
        <f t="shared" si="665"/>
        <v>0.47283247895934899</v>
      </c>
      <c r="AS214" s="204">
        <f t="shared" si="665"/>
        <v>0.43202045660207034</v>
      </c>
      <c r="AT214" s="204">
        <f t="shared" si="665"/>
        <v>0.44261949087578517</v>
      </c>
      <c r="AU214" s="204">
        <f t="shared" si="665"/>
        <v>0.43857061779436662</v>
      </c>
      <c r="AV214" s="204">
        <f t="shared" si="665"/>
        <v>0.45525781155172457</v>
      </c>
      <c r="AW214" s="204">
        <f t="shared" si="665"/>
        <v>0.43756123701775224</v>
      </c>
      <c r="AX214" s="204">
        <f t="shared" si="665"/>
        <v>0.42522723520272299</v>
      </c>
      <c r="AY214" s="204">
        <f t="shared" si="665"/>
        <v>0.40544365049303971</v>
      </c>
      <c r="AZ214" s="204">
        <f t="shared" si="665"/>
        <v>0.37009447631751352</v>
      </c>
      <c r="BA214" s="204">
        <f t="shared" si="665"/>
        <v>0.37150487579933827</v>
      </c>
      <c r="BB214" s="204">
        <f t="shared" si="665"/>
        <v>0.3816045333023837</v>
      </c>
      <c r="BC214" s="204">
        <f t="shared" si="665"/>
        <v>0.34514898938562277</v>
      </c>
      <c r="BD214" s="204">
        <f t="shared" si="665"/>
        <v>0.34219600870653699</v>
      </c>
      <c r="BE214" s="204">
        <f t="shared" si="665"/>
        <v>0.35783271651645154</v>
      </c>
      <c r="BF214" s="204">
        <f t="shared" si="665"/>
        <v>0.35827893098581581</v>
      </c>
      <c r="BG214" s="204">
        <f t="shared" si="665"/>
        <v>0.38234372973366282</v>
      </c>
      <c r="BH214" s="204">
        <f t="shared" si="665"/>
        <v>0.28017082235951457</v>
      </c>
      <c r="BI214" s="204">
        <f t="shared" si="665"/>
        <v>0.18800578034682086</v>
      </c>
      <c r="BJ214" s="204">
        <f t="shared" si="665"/>
        <v>0.19622915553363202</v>
      </c>
      <c r="BK214" s="204">
        <f t="shared" si="665"/>
        <v>0.18890952903172875</v>
      </c>
      <c r="BL214" s="204">
        <f t="shared" si="665"/>
        <v>0.14722229567148773</v>
      </c>
      <c r="BM214" s="204">
        <f t="shared" si="665"/>
        <v>0.1118966698834948</v>
      </c>
      <c r="BN214" s="204">
        <f t="shared" ref="BN214:BS214" si="666">(BN206-BN211)/BN206</f>
        <v>0.17550203543244411</v>
      </c>
      <c r="BO214" s="204">
        <f t="shared" si="666"/>
        <v>0.20985805237175159</v>
      </c>
      <c r="BP214" s="204">
        <f t="shared" si="666"/>
        <v>0.27464535973889626</v>
      </c>
      <c r="BQ214" s="204">
        <f t="shared" si="666"/>
        <v>0.36306511872821645</v>
      </c>
      <c r="BR214" s="204">
        <f t="shared" si="666"/>
        <v>0.37405387272584451</v>
      </c>
      <c r="BS214" s="204">
        <f t="shared" si="666"/>
        <v>0.3313089897238235</v>
      </c>
      <c r="BT214" s="204">
        <f t="shared" si="665"/>
        <v>0.35071034091212933</v>
      </c>
      <c r="BU214" s="204">
        <f t="shared" si="665"/>
        <v>0.36750993642944041</v>
      </c>
      <c r="BV214" s="204">
        <f t="shared" si="665"/>
        <v>0.36738920856795404</v>
      </c>
      <c r="BW214" s="204">
        <f t="shared" si="665"/>
        <v>0.37017487940365018</v>
      </c>
      <c r="BX214" s="204">
        <f t="shared" ref="BX214:CE214" si="667">(BX206-BX211)/BX206</f>
        <v>0.3696594146571347</v>
      </c>
      <c r="BY214" s="204">
        <f t="shared" si="667"/>
        <v>0.36953124178050273</v>
      </c>
      <c r="BZ214" s="204">
        <f t="shared" si="667"/>
        <v>0.36734745010319098</v>
      </c>
      <c r="CA214" s="204">
        <f t="shared" si="667"/>
        <v>0.36411867280279192</v>
      </c>
      <c r="CB214" s="204">
        <f t="shared" si="667"/>
        <v>0.36228642609700878</v>
      </c>
      <c r="CC214" s="204">
        <f t="shared" si="667"/>
        <v>0.36181601824777854</v>
      </c>
      <c r="CD214" s="204">
        <f t="shared" si="667"/>
        <v>0.36141505006087787</v>
      </c>
      <c r="CE214" s="204">
        <f t="shared" si="667"/>
        <v>0.36093415998293382</v>
      </c>
      <c r="CF214" s="4"/>
      <c r="CG214" s="4"/>
      <c r="CH214" s="4"/>
      <c r="CI214" s="4"/>
      <c r="CJ214" s="4"/>
      <c r="CK214" s="4"/>
      <c r="CL214" s="4"/>
      <c r="CM214" s="4"/>
      <c r="CN214" s="240">
        <f t="shared" si="629"/>
        <v>207</v>
      </c>
    </row>
    <row r="215" spans="1:99" hidden="1" outlineLevel="2">
      <c r="A215" s="143"/>
      <c r="B215" s="10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240">
        <f t="shared" si="629"/>
        <v>208</v>
      </c>
    </row>
    <row r="216" spans="1:99" s="112" customFormat="1" outlineLevel="1" collapsed="1">
      <c r="A216" s="143" t="s">
        <v>33</v>
      </c>
      <c r="B216" s="21" t="s">
        <v>317</v>
      </c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220"/>
      <c r="AL216" s="220"/>
      <c r="AM216" s="220"/>
      <c r="AN216" s="220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240">
        <f t="shared" si="629"/>
        <v>209</v>
      </c>
      <c r="CO216"/>
      <c r="CP216"/>
      <c r="CQ216"/>
      <c r="CR216"/>
      <c r="CS216"/>
      <c r="CT216"/>
      <c r="CU216" s="202"/>
    </row>
    <row r="217" spans="1:99" hidden="1" outlineLevel="2">
      <c r="A217" s="144"/>
      <c r="B217" s="41" t="s">
        <v>157</v>
      </c>
      <c r="C217" s="82">
        <v>1539.0166666666667</v>
      </c>
      <c r="D217" s="82">
        <v>1670.2499999999998</v>
      </c>
      <c r="E217" s="82">
        <v>1792.7416666666663</v>
      </c>
      <c r="F217" s="82">
        <v>1035.0666666666666</v>
      </c>
      <c r="G217" s="82">
        <v>1494.1250000000002</v>
      </c>
      <c r="H217" s="82">
        <v>1826.3416666666665</v>
      </c>
      <c r="I217" s="82">
        <v>1854.0666666666668</v>
      </c>
      <c r="J217" s="82">
        <v>1686.5791666666667</v>
      </c>
      <c r="K217" s="82">
        <v>1790.8291666666664</v>
      </c>
      <c r="L217" s="82">
        <v>937.77500000000009</v>
      </c>
      <c r="M217" s="82">
        <v>484.89166666666665</v>
      </c>
      <c r="N217" s="82">
        <v>851.9</v>
      </c>
      <c r="O217" s="82">
        <v>1053.6538461538462</v>
      </c>
      <c r="P217" s="82">
        <v>1132.5</v>
      </c>
      <c r="Q217" s="82">
        <v>1150</v>
      </c>
      <c r="R217" s="82"/>
      <c r="S217" s="205"/>
      <c r="T217" s="82">
        <v>1159.0833333333333</v>
      </c>
      <c r="U217" s="82">
        <v>1221.5999999999999</v>
      </c>
      <c r="V217" s="82">
        <v>1310.6976190476189</v>
      </c>
      <c r="W217" s="82">
        <v>1379.2333333333336</v>
      </c>
      <c r="X217" s="82">
        <v>1420.9333333333332</v>
      </c>
      <c r="Y217" s="82">
        <v>1516.6</v>
      </c>
      <c r="Z217" s="82">
        <v>1605.6166666666666</v>
      </c>
      <c r="AA217" s="82">
        <v>1612.9166666666667</v>
      </c>
      <c r="AB217" s="82">
        <v>1628.1333333333332</v>
      </c>
      <c r="AC217" s="82">
        <v>1654.3</v>
      </c>
      <c r="AD217" s="82">
        <v>1692.2166666666667</v>
      </c>
      <c r="AE217" s="82">
        <v>1706.35</v>
      </c>
      <c r="AF217" s="82">
        <v>1690.9666666666667</v>
      </c>
      <c r="AG217" s="82">
        <v>1776.6833333333332</v>
      </c>
      <c r="AH217" s="82">
        <v>1887.7833333333333</v>
      </c>
      <c r="AI217" s="82">
        <v>1815.5333333333335</v>
      </c>
      <c r="AJ217" s="82">
        <v>1265.0166666666667</v>
      </c>
      <c r="AK217" s="82">
        <v>881.46666666666658</v>
      </c>
      <c r="AL217" s="82">
        <v>933.48333333333335</v>
      </c>
      <c r="AM217" s="82">
        <v>1060.3</v>
      </c>
      <c r="AN217" s="82">
        <v>1283.0500000000002</v>
      </c>
      <c r="AO217" s="82">
        <v>1454.9333333333334</v>
      </c>
      <c r="AP217" s="82">
        <v>1590.5166666666669</v>
      </c>
      <c r="AQ217" s="82">
        <v>1648</v>
      </c>
      <c r="AR217" s="82">
        <v>1674.3333333333333</v>
      </c>
      <c r="AS217" s="82">
        <v>1780.8999999999999</v>
      </c>
      <c r="AT217" s="82">
        <v>1894.1499999999996</v>
      </c>
      <c r="AU217" s="82">
        <v>1955.9833333333333</v>
      </c>
      <c r="AV217" s="82">
        <v>1930.3</v>
      </c>
      <c r="AW217" s="82">
        <v>1903.35</v>
      </c>
      <c r="AX217" s="82">
        <v>1838.3166666666666</v>
      </c>
      <c r="AY217" s="82">
        <v>1744.2999999999997</v>
      </c>
      <c r="AZ217" s="82">
        <v>1689.0833333333335</v>
      </c>
      <c r="BA217" s="82">
        <v>1687.6666666666667</v>
      </c>
      <c r="BB217" s="82">
        <v>1688.6833333333332</v>
      </c>
      <c r="BC217" s="82">
        <v>1680.8833333333332</v>
      </c>
      <c r="BD217" s="82">
        <v>1707.4666666666665</v>
      </c>
      <c r="BE217" s="82">
        <v>1782.15</v>
      </c>
      <c r="BF217" s="82">
        <v>1829.8999999999999</v>
      </c>
      <c r="BG217" s="82">
        <v>1843.8</v>
      </c>
      <c r="BH217" s="82">
        <v>1323.7666666666669</v>
      </c>
      <c r="BI217" s="82">
        <v>874.48333333333335</v>
      </c>
      <c r="BJ217" s="82">
        <v>829.58333333333337</v>
      </c>
      <c r="BK217" s="82">
        <v>723.26666666666688</v>
      </c>
      <c r="BL217" s="82">
        <v>526.04999999999995</v>
      </c>
      <c r="BM217" s="82">
        <v>393.73333333333335</v>
      </c>
      <c r="BN217" s="82">
        <v>457.90000000000003</v>
      </c>
      <c r="BO217" s="82">
        <v>561.88333333333321</v>
      </c>
      <c r="BP217" s="82">
        <v>715.55000000000018</v>
      </c>
      <c r="BQ217" s="82">
        <v>867.88333333333321</v>
      </c>
      <c r="BR217" s="82">
        <v>924.49999999999989</v>
      </c>
      <c r="BS217" s="82">
        <v>899.66666666666663</v>
      </c>
      <c r="BT217" s="82">
        <v>984.61538461538464</v>
      </c>
      <c r="BU217" s="82">
        <v>1045</v>
      </c>
      <c r="BV217" s="82">
        <v>1080</v>
      </c>
      <c r="BW217" s="82">
        <v>1105</v>
      </c>
      <c r="BX217" s="82">
        <v>1115</v>
      </c>
      <c r="BY217" s="82">
        <v>1125</v>
      </c>
      <c r="BZ217" s="82">
        <v>1140</v>
      </c>
      <c r="CA217" s="82">
        <v>1150</v>
      </c>
      <c r="CB217" s="82">
        <v>1150</v>
      </c>
      <c r="CC217" s="82">
        <v>1150</v>
      </c>
      <c r="CD217" s="82">
        <v>1150</v>
      </c>
      <c r="CE217" s="82">
        <v>1150</v>
      </c>
      <c r="CF217" s="4"/>
      <c r="CG217" s="4"/>
      <c r="CH217" s="4"/>
      <c r="CI217" s="4"/>
      <c r="CJ217" s="4"/>
      <c r="CK217" s="4"/>
      <c r="CL217" s="4"/>
      <c r="CM217" s="4"/>
      <c r="CN217" s="240">
        <f t="shared" si="629"/>
        <v>210</v>
      </c>
    </row>
    <row r="218" spans="1:99" hidden="1" outlineLevel="2">
      <c r="A218" s="144"/>
      <c r="B218" s="45" t="s">
        <v>147</v>
      </c>
      <c r="C218" s="6"/>
      <c r="D218" s="6">
        <f t="shared" ref="D218:O218" si="668">D217/C217-1</f>
        <v>8.527089808427446E-2</v>
      </c>
      <c r="E218" s="6">
        <f t="shared" si="668"/>
        <v>7.3337324751783672E-2</v>
      </c>
      <c r="F218" s="6">
        <f t="shared" si="668"/>
        <v>-0.42263479121829217</v>
      </c>
      <c r="G218" s="6">
        <f t="shared" si="668"/>
        <v>0.44350605436042789</v>
      </c>
      <c r="H218" s="6">
        <f t="shared" si="668"/>
        <v>0.22234864329735871</v>
      </c>
      <c r="I218" s="6">
        <f t="shared" si="668"/>
        <v>1.5180620639621223E-2</v>
      </c>
      <c r="J218" s="6">
        <f t="shared" si="668"/>
        <v>-9.0335209089928536E-2</v>
      </c>
      <c r="K218" s="6">
        <f t="shared" si="668"/>
        <v>6.1811507019879919E-2</v>
      </c>
      <c r="L218" s="6">
        <f t="shared" si="668"/>
        <v>-0.47634591983694696</v>
      </c>
      <c r="M218" s="6">
        <f t="shared" si="668"/>
        <v>-0.4829338949463714</v>
      </c>
      <c r="N218" s="6">
        <f t="shared" si="668"/>
        <v>0.75688727722687199</v>
      </c>
      <c r="O218" s="6">
        <f t="shared" si="668"/>
        <v>0.23682808563663138</v>
      </c>
      <c r="P218" s="6">
        <f>P217/O217-1</f>
        <v>7.4831173571819676E-2</v>
      </c>
      <c r="Q218" s="6">
        <f>Q217/P217-1</f>
        <v>1.5452538631346657E-2</v>
      </c>
      <c r="R218" s="6"/>
      <c r="S218" s="4"/>
      <c r="T218" s="4"/>
      <c r="U218" s="6">
        <v>0.18797127468581665</v>
      </c>
      <c r="V218" s="6">
        <v>0.20451498993489681</v>
      </c>
      <c r="W218" s="6">
        <v>0.26749846835383417</v>
      </c>
      <c r="X218" s="6">
        <f t="shared" ref="X218:BD218" si="669">X217/W217-1</f>
        <v>3.0234188075500601E-2</v>
      </c>
      <c r="Y218" s="6">
        <f t="shared" si="669"/>
        <v>6.7326639767289143E-2</v>
      </c>
      <c r="Z218" s="6">
        <f t="shared" si="669"/>
        <v>5.8694887687370967E-2</v>
      </c>
      <c r="AA218" s="6">
        <f t="shared" si="669"/>
        <v>4.5465397510822125E-3</v>
      </c>
      <c r="AB218" s="6">
        <f t="shared" si="669"/>
        <v>9.4342547145438438E-3</v>
      </c>
      <c r="AC218" s="6">
        <f t="shared" si="669"/>
        <v>1.6071574809597866E-2</v>
      </c>
      <c r="AD218" s="6">
        <f t="shared" si="669"/>
        <v>2.2920066896371161E-2</v>
      </c>
      <c r="AE218" s="6">
        <f t="shared" si="669"/>
        <v>8.3519643859630843E-3</v>
      </c>
      <c r="AF218" s="6">
        <f t="shared" si="669"/>
        <v>-9.0153446440256468E-3</v>
      </c>
      <c r="AG218" s="6">
        <f t="shared" si="669"/>
        <v>5.0690926294624239E-2</v>
      </c>
      <c r="AH218" s="6">
        <f t="shared" si="669"/>
        <v>6.2532246414198855E-2</v>
      </c>
      <c r="AI218" s="6">
        <f t="shared" si="669"/>
        <v>-3.8272400610945723E-2</v>
      </c>
      <c r="AJ218" s="6">
        <f t="shared" si="669"/>
        <v>-0.30322586567767051</v>
      </c>
      <c r="AK218" s="6">
        <f t="shared" si="669"/>
        <v>-0.30319758632956095</v>
      </c>
      <c r="AL218" s="6">
        <f t="shared" si="669"/>
        <v>5.9011495991529328E-2</v>
      </c>
      <c r="AM218" s="6">
        <f t="shared" si="669"/>
        <v>0.13585316645539103</v>
      </c>
      <c r="AN218" s="6">
        <f t="shared" si="669"/>
        <v>0.2100820522493636</v>
      </c>
      <c r="AO218" s="6">
        <f t="shared" si="669"/>
        <v>0.13396464154423682</v>
      </c>
      <c r="AP218" s="6">
        <f t="shared" si="669"/>
        <v>9.3188691348973673E-2</v>
      </c>
      <c r="AQ218" s="6">
        <f t="shared" si="669"/>
        <v>3.6141295805346196E-2</v>
      </c>
      <c r="AR218" s="6">
        <f t="shared" si="669"/>
        <v>1.5978964401294427E-2</v>
      </c>
      <c r="AS218" s="6">
        <f t="shared" si="669"/>
        <v>6.3647222775233825E-2</v>
      </c>
      <c r="AT218" s="6">
        <f t="shared" si="669"/>
        <v>6.359144252905824E-2</v>
      </c>
      <c r="AU218" s="6">
        <f t="shared" si="669"/>
        <v>3.2644369946062124E-2</v>
      </c>
      <c r="AV218" s="6">
        <f t="shared" si="669"/>
        <v>-1.3130650397498278E-2</v>
      </c>
      <c r="AW218" s="6">
        <f t="shared" si="669"/>
        <v>-1.3961560379215698E-2</v>
      </c>
      <c r="AX218" s="6">
        <f t="shared" si="669"/>
        <v>-3.4167826901690845E-2</v>
      </c>
      <c r="AY218" s="6">
        <f t="shared" si="669"/>
        <v>-5.1142802745265281E-2</v>
      </c>
      <c r="AZ218" s="6">
        <f t="shared" si="669"/>
        <v>-3.1655487397045379E-2</v>
      </c>
      <c r="BA218" s="6">
        <f t="shared" si="669"/>
        <v>-8.3871922640488261E-4</v>
      </c>
      <c r="BB218" s="6">
        <f t="shared" si="669"/>
        <v>6.0240963855417995E-4</v>
      </c>
      <c r="BC218" s="6">
        <f t="shared" si="669"/>
        <v>-4.6189832315116641E-3</v>
      </c>
      <c r="BD218" s="6">
        <f t="shared" si="669"/>
        <v>1.5815097220707397E-2</v>
      </c>
      <c r="BE218" s="6">
        <f>BE217/BD217-1</f>
        <v>4.3739262845541305E-2</v>
      </c>
      <c r="BF218" s="6">
        <f>BF217/BE217-1</f>
        <v>2.6793479785651941E-2</v>
      </c>
      <c r="BG218" s="6">
        <f>BG217/BF217-1</f>
        <v>7.5960434996449333E-3</v>
      </c>
      <c r="BH218" s="6">
        <f>BH217/BG217-1</f>
        <v>-0.28204432874136731</v>
      </c>
      <c r="BI218" s="6">
        <f t="shared" ref="BI218:BS218" si="670">BI217/BH217-1</f>
        <v>-0.33939767834210466</v>
      </c>
      <c r="BJ218" s="6">
        <f t="shared" si="670"/>
        <v>-5.1344603480150131E-2</v>
      </c>
      <c r="BK218" s="6">
        <f t="shared" si="670"/>
        <v>-0.12815670517327959</v>
      </c>
      <c r="BL218" s="6">
        <f t="shared" si="670"/>
        <v>-0.27267490091252677</v>
      </c>
      <c r="BM218" s="6">
        <f t="shared" si="670"/>
        <v>-0.25152868865443712</v>
      </c>
      <c r="BN218" s="6">
        <f t="shared" si="670"/>
        <v>0.16296986115814427</v>
      </c>
      <c r="BO218" s="6">
        <f t="shared" si="670"/>
        <v>0.22708742811385285</v>
      </c>
      <c r="BP218" s="6">
        <f t="shared" si="670"/>
        <v>0.27348500578411938</v>
      </c>
      <c r="BQ218" s="6">
        <f t="shared" si="670"/>
        <v>0.21288985162928231</v>
      </c>
      <c r="BR218" s="6">
        <f t="shared" si="670"/>
        <v>6.523534269199005E-2</v>
      </c>
      <c r="BS218" s="6">
        <f t="shared" si="670"/>
        <v>-2.6861366504416728E-2</v>
      </c>
      <c r="BT218" s="6">
        <f>BT217/BS217-1</f>
        <v>9.4422435659931025E-2</v>
      </c>
      <c r="BU218" s="6">
        <f>BU217/BT217-1</f>
        <v>6.1328124999999956E-2</v>
      </c>
      <c r="BV218" s="6">
        <f>BV217/BU217-1</f>
        <v>3.3492822966507241E-2</v>
      </c>
      <c r="BW218" s="6">
        <f>BW217/BV217-1</f>
        <v>2.314814814814814E-2</v>
      </c>
      <c r="BX218" s="6">
        <f t="shared" ref="BX218:CE218" si="671">BX217/BW217-1</f>
        <v>9.0497737556560764E-3</v>
      </c>
      <c r="BY218" s="6">
        <f t="shared" si="671"/>
        <v>8.9686098654708779E-3</v>
      </c>
      <c r="BZ218" s="6">
        <f t="shared" si="671"/>
        <v>1.3333333333333419E-2</v>
      </c>
      <c r="CA218" s="6">
        <f t="shared" si="671"/>
        <v>8.7719298245614308E-3</v>
      </c>
      <c r="CB218" s="6">
        <f t="shared" si="671"/>
        <v>0</v>
      </c>
      <c r="CC218" s="6">
        <f t="shared" si="671"/>
        <v>0</v>
      </c>
      <c r="CD218" s="6">
        <f t="shared" si="671"/>
        <v>0</v>
      </c>
      <c r="CE218" s="6">
        <f t="shared" si="671"/>
        <v>0</v>
      </c>
      <c r="CF218" s="4"/>
      <c r="CG218" s="4"/>
      <c r="CH218" s="4"/>
      <c r="CI218" s="4"/>
      <c r="CJ218" s="4"/>
      <c r="CK218" s="4"/>
      <c r="CL218" s="4"/>
      <c r="CM218" s="4"/>
      <c r="CN218" s="240">
        <f t="shared" si="629"/>
        <v>211</v>
      </c>
    </row>
    <row r="219" spans="1:99" hidden="1" outlineLevel="2">
      <c r="A219" s="144"/>
      <c r="B219" s="45" t="s">
        <v>173</v>
      </c>
      <c r="C219" s="56">
        <f t="shared" ref="C219:Q219" si="672">C12/C217*1000</f>
        <v>387.66961588026987</v>
      </c>
      <c r="D219" s="56">
        <f t="shared" si="672"/>
        <v>413.2471186948062</v>
      </c>
      <c r="E219" s="56">
        <f t="shared" si="672"/>
        <v>489.18202566832002</v>
      </c>
      <c r="F219" s="56">
        <f t="shared" si="672"/>
        <v>567.94699214221316</v>
      </c>
      <c r="G219" s="56">
        <f t="shared" si="672"/>
        <v>733.79670375637909</v>
      </c>
      <c r="H219" s="56">
        <f t="shared" si="672"/>
        <v>1001.8974178800059</v>
      </c>
      <c r="I219" s="56">
        <f t="shared" si="672"/>
        <v>1049.0577469346661</v>
      </c>
      <c r="J219" s="56">
        <f t="shared" si="672"/>
        <v>1103.7068622631114</v>
      </c>
      <c r="K219" s="56">
        <f t="shared" si="672"/>
        <v>1305.2127157112977</v>
      </c>
      <c r="L219" s="56">
        <f t="shared" si="672"/>
        <v>1347.7006744688224</v>
      </c>
      <c r="M219" s="56">
        <f t="shared" si="672"/>
        <v>1503.3749806657845</v>
      </c>
      <c r="N219" s="56">
        <f t="shared" si="672"/>
        <v>1872.551942716281</v>
      </c>
      <c r="O219" s="56">
        <f t="shared" si="672"/>
        <v>2046.228261766033</v>
      </c>
      <c r="P219" s="56">
        <f t="shared" si="672"/>
        <v>2199.2351593188928</v>
      </c>
      <c r="Q219" s="56">
        <f t="shared" si="672"/>
        <v>2384.6061240924073</v>
      </c>
      <c r="R219" s="56"/>
      <c r="S219" s="4"/>
      <c r="T219" s="4"/>
      <c r="U219" s="56">
        <f t="shared" ref="U219:AZ219" si="673">U12/U217*1000</f>
        <v>83.452030124426997</v>
      </c>
      <c r="V219" s="56">
        <f t="shared" si="673"/>
        <v>88.350660226378906</v>
      </c>
      <c r="W219" s="56">
        <f t="shared" si="673"/>
        <v>85.240834279913955</v>
      </c>
      <c r="X219" s="56">
        <f t="shared" si="673"/>
        <v>95.728629070094783</v>
      </c>
      <c r="Y219" s="56">
        <f t="shared" si="673"/>
        <v>96.31082684953185</v>
      </c>
      <c r="Z219" s="56">
        <f t="shared" si="673"/>
        <v>96.043472393784327</v>
      </c>
      <c r="AA219" s="56">
        <f t="shared" si="673"/>
        <v>99.405011624903111</v>
      </c>
      <c r="AB219" s="56">
        <f t="shared" si="673"/>
        <v>105.05589222831873</v>
      </c>
      <c r="AC219" s="56">
        <f t="shared" si="673"/>
        <v>103.38572205766789</v>
      </c>
      <c r="AD219" s="56">
        <f t="shared" si="673"/>
        <v>95.709375277003531</v>
      </c>
      <c r="AE219" s="56">
        <f t="shared" si="673"/>
        <v>109.11536320215664</v>
      </c>
      <c r="AF219" s="56">
        <f t="shared" si="673"/>
        <v>116.63565219105443</v>
      </c>
      <c r="AG219" s="56">
        <f t="shared" si="673"/>
        <v>120.83695274903613</v>
      </c>
      <c r="AH219" s="56">
        <f t="shared" si="673"/>
        <v>125.65901807234233</v>
      </c>
      <c r="AI219" s="56">
        <f t="shared" si="673"/>
        <v>125.49700730731098</v>
      </c>
      <c r="AJ219" s="56">
        <f t="shared" si="673"/>
        <v>139.34282815773179</v>
      </c>
      <c r="AK219" s="56">
        <f t="shared" si="673"/>
        <v>144.09847224323099</v>
      </c>
      <c r="AL219" s="56">
        <f t="shared" si="673"/>
        <v>141.57617525754787</v>
      </c>
      <c r="AM219" s="56">
        <f t="shared" si="673"/>
        <v>143.74705272092802</v>
      </c>
      <c r="AN219" s="56">
        <f t="shared" si="673"/>
        <v>166.12291025291296</v>
      </c>
      <c r="AO219" s="56">
        <f t="shared" si="673"/>
        <v>173.81964809384164</v>
      </c>
      <c r="AP219" s="56">
        <f t="shared" si="673"/>
        <v>190.00115266527646</v>
      </c>
      <c r="AQ219" s="56">
        <f t="shared" si="673"/>
        <v>199.11650485436894</v>
      </c>
      <c r="AR219" s="56">
        <f t="shared" si="673"/>
        <v>228.00776428429225</v>
      </c>
      <c r="AS219" s="56">
        <f t="shared" si="673"/>
        <v>259.99719243079346</v>
      </c>
      <c r="AT219" s="56">
        <f t="shared" si="673"/>
        <v>265.15059525380786</v>
      </c>
      <c r="AU219" s="56">
        <f t="shared" si="673"/>
        <v>246.82316652323217</v>
      </c>
      <c r="AV219" s="56">
        <f t="shared" si="673"/>
        <v>260.35175879396991</v>
      </c>
      <c r="AW219" s="56">
        <f t="shared" si="673"/>
        <v>262.75041374418788</v>
      </c>
      <c r="AX219" s="56">
        <f t="shared" si="673"/>
        <v>256.98401617421734</v>
      </c>
      <c r="AY219" s="56">
        <f t="shared" si="673"/>
        <v>269.41581150031533</v>
      </c>
      <c r="AZ219" s="56">
        <f t="shared" si="673"/>
        <v>252.10183038137058</v>
      </c>
      <c r="BA219" s="56">
        <f t="shared" ref="BA219:CE219" si="674">BA12/BA217*1000</f>
        <v>271.12344459806434</v>
      </c>
      <c r="BB219" s="56">
        <f t="shared" si="674"/>
        <v>290.83072610811183</v>
      </c>
      <c r="BC219" s="56">
        <f t="shared" si="674"/>
        <v>289.71731133431825</v>
      </c>
      <c r="BD219" s="56">
        <f t="shared" si="674"/>
        <v>293.82242698734973</v>
      </c>
      <c r="BE219" s="56">
        <f t="shared" si="674"/>
        <v>327.03812810369499</v>
      </c>
      <c r="BF219" s="56">
        <f t="shared" si="674"/>
        <v>339.19011967867095</v>
      </c>
      <c r="BG219" s="56">
        <f t="shared" si="674"/>
        <v>342.88209133311642</v>
      </c>
      <c r="BH219" s="56">
        <f t="shared" si="674"/>
        <v>306.90454007503837</v>
      </c>
      <c r="BI219" s="56">
        <f t="shared" si="674"/>
        <v>340.26949246221579</v>
      </c>
      <c r="BJ219" s="56">
        <f t="shared" si="674"/>
        <v>351.89231541938722</v>
      </c>
      <c r="BK219" s="56">
        <f t="shared" si="674"/>
        <v>370.65996866070594</v>
      </c>
      <c r="BL219" s="56">
        <f t="shared" si="674"/>
        <v>359.46202832430379</v>
      </c>
      <c r="BM219" s="56">
        <f t="shared" si="674"/>
        <v>363.18489671520496</v>
      </c>
      <c r="BN219" s="56">
        <f t="shared" si="674"/>
        <v>384.11006770037119</v>
      </c>
      <c r="BO219" s="56">
        <f t="shared" si="674"/>
        <v>393.31474505383687</v>
      </c>
      <c r="BP219" s="56">
        <f t="shared" si="674"/>
        <v>416.62916637551518</v>
      </c>
      <c r="BQ219" s="56">
        <f t="shared" si="674"/>
        <v>459.520288825303</v>
      </c>
      <c r="BR219" s="56">
        <f t="shared" si="674"/>
        <v>509.46349378042186</v>
      </c>
      <c r="BS219" s="56">
        <f t="shared" si="674"/>
        <v>474.9525750277881</v>
      </c>
      <c r="BT219" s="56">
        <f t="shared" si="674"/>
        <v>459.64643320385619</v>
      </c>
      <c r="BU219" s="56">
        <f t="shared" si="674"/>
        <v>510.34452831398204</v>
      </c>
      <c r="BV219" s="56">
        <f t="shared" si="674"/>
        <v>532.83068997009491</v>
      </c>
      <c r="BW219" s="56">
        <f t="shared" si="674"/>
        <v>538.16665271182092</v>
      </c>
      <c r="BX219" s="56">
        <f t="shared" si="674"/>
        <v>537.65547174085032</v>
      </c>
      <c r="BY219" s="56">
        <f t="shared" si="674"/>
        <v>535.42886546714385</v>
      </c>
      <c r="BZ219" s="56">
        <f t="shared" si="674"/>
        <v>548.50940867752206</v>
      </c>
      <c r="CA219" s="56">
        <f t="shared" si="674"/>
        <v>576.94762382146575</v>
      </c>
      <c r="CB219" s="56">
        <f t="shared" si="674"/>
        <v>593.58190672828323</v>
      </c>
      <c r="CC219" s="56">
        <f t="shared" si="674"/>
        <v>594.54771525309422</v>
      </c>
      <c r="CD219" s="56">
        <f t="shared" si="674"/>
        <v>596.72377036177943</v>
      </c>
      <c r="CE219" s="56">
        <f t="shared" si="674"/>
        <v>599.75273174925007</v>
      </c>
      <c r="CF219" s="4"/>
      <c r="CG219" s="4"/>
      <c r="CH219" s="4"/>
      <c r="CI219" s="4"/>
      <c r="CJ219" s="4"/>
      <c r="CK219" s="4"/>
      <c r="CL219" s="4"/>
      <c r="CM219" s="4"/>
      <c r="CN219" s="240">
        <f t="shared" si="629"/>
        <v>212</v>
      </c>
    </row>
    <row r="220" spans="1:99" hidden="1" outlineLevel="2">
      <c r="A220" s="144"/>
      <c r="B220" s="45" t="s">
        <v>174</v>
      </c>
      <c r="C220" s="56">
        <f t="shared" ref="C220:Q220" si="675">C25/C217*1000</f>
        <v>111.64986300776471</v>
      </c>
      <c r="D220" s="56">
        <f t="shared" si="675"/>
        <v>81.272264631043271</v>
      </c>
      <c r="E220" s="56">
        <f t="shared" si="675"/>
        <v>76.867182016371586</v>
      </c>
      <c r="F220" s="56">
        <f t="shared" si="675"/>
        <v>-33.036519386834982</v>
      </c>
      <c r="G220" s="56">
        <f t="shared" si="675"/>
        <v>157.34091859784152</v>
      </c>
      <c r="H220" s="56">
        <f t="shared" si="675"/>
        <v>267.43900602753223</v>
      </c>
      <c r="I220" s="56">
        <f t="shared" si="675"/>
        <v>241.94707130272187</v>
      </c>
      <c r="J220" s="56">
        <f t="shared" si="675"/>
        <v>168.85302844268102</v>
      </c>
      <c r="K220" s="56">
        <f t="shared" si="675"/>
        <v>231.98304323648966</v>
      </c>
      <c r="L220" s="56">
        <f t="shared" si="675"/>
        <v>-158.70544640238859</v>
      </c>
      <c r="M220" s="56">
        <f t="shared" si="675"/>
        <v>-504.98289996047231</v>
      </c>
      <c r="N220" s="56">
        <f t="shared" si="675"/>
        <v>260.22655241225499</v>
      </c>
      <c r="O220" s="56">
        <f t="shared" si="675"/>
        <v>421.15897613152941</v>
      </c>
      <c r="P220" s="56">
        <f t="shared" si="675"/>
        <v>485.42808432162309</v>
      </c>
      <c r="Q220" s="56">
        <f t="shared" si="675"/>
        <v>496.47456252458608</v>
      </c>
      <c r="R220" s="56"/>
      <c r="S220" s="4"/>
      <c r="T220" s="4"/>
      <c r="U220" s="56">
        <f t="shared" ref="U220:AZ220" si="676">U25/U217*1000</f>
        <v>15.065487884741325</v>
      </c>
      <c r="V220" s="56">
        <f t="shared" si="676"/>
        <v>19.465969594527092</v>
      </c>
      <c r="W220" s="56">
        <f t="shared" si="676"/>
        <v>19.809556033545203</v>
      </c>
      <c r="X220" s="56">
        <f t="shared" si="676"/>
        <v>27.81059397579056</v>
      </c>
      <c r="Y220" s="56">
        <f t="shared" si="676"/>
        <v>29.243043650270344</v>
      </c>
      <c r="Z220" s="56">
        <f t="shared" si="676"/>
        <v>29.038687108795166</v>
      </c>
      <c r="AA220" s="56">
        <f t="shared" si="676"/>
        <v>29.330715577370185</v>
      </c>
      <c r="AB220" s="56">
        <f t="shared" si="676"/>
        <v>27.01560068790435</v>
      </c>
      <c r="AC220" s="56">
        <f t="shared" si="676"/>
        <v>23.396602792722</v>
      </c>
      <c r="AD220" s="56">
        <f t="shared" si="676"/>
        <v>14.574374833797879</v>
      </c>
      <c r="AE220" s="56">
        <f t="shared" si="676"/>
        <v>20.327013801388933</v>
      </c>
      <c r="AF220" s="56">
        <f t="shared" si="676"/>
        <v>15.045240395040313</v>
      </c>
      <c r="AG220" s="56">
        <f t="shared" si="676"/>
        <v>21.2755977898894</v>
      </c>
      <c r="AH220" s="56">
        <f t="shared" si="676"/>
        <v>23.430655001015296</v>
      </c>
      <c r="AI220" s="56">
        <f t="shared" si="676"/>
        <v>20.2127933022436</v>
      </c>
      <c r="AJ220" s="56">
        <f t="shared" si="676"/>
        <v>6.6378572087324272</v>
      </c>
      <c r="AK220" s="56">
        <f t="shared" si="676"/>
        <v>-22.119951595825139</v>
      </c>
      <c r="AL220" s="56">
        <f t="shared" si="676"/>
        <v>-15.969219232623326</v>
      </c>
      <c r="AM220" s="56">
        <f t="shared" si="676"/>
        <v>-6.6434028105253224</v>
      </c>
      <c r="AN220" s="56">
        <f t="shared" si="676"/>
        <v>17.589337905771398</v>
      </c>
      <c r="AO220" s="56">
        <f t="shared" si="676"/>
        <v>35.801640395894431</v>
      </c>
      <c r="AP220" s="56">
        <f t="shared" si="676"/>
        <v>46.770965409562926</v>
      </c>
      <c r="AQ220" s="56">
        <f t="shared" si="676"/>
        <v>54.489077669902912</v>
      </c>
      <c r="AR220" s="56">
        <f t="shared" si="676"/>
        <v>63.503483973720883</v>
      </c>
      <c r="AS220" s="56">
        <f t="shared" si="676"/>
        <v>66.970071312257858</v>
      </c>
      <c r="AT220" s="56">
        <f t="shared" si="676"/>
        <v>73.190085262518821</v>
      </c>
      <c r="AU220" s="56">
        <f t="shared" si="676"/>
        <v>62.973440468988315</v>
      </c>
      <c r="AV220" s="56">
        <f t="shared" si="676"/>
        <v>68.518365020981221</v>
      </c>
      <c r="AW220" s="56">
        <f t="shared" si="676"/>
        <v>62.972128089946679</v>
      </c>
      <c r="AX220" s="56">
        <f t="shared" si="676"/>
        <v>55.685726978485746</v>
      </c>
      <c r="AY220" s="56">
        <f t="shared" si="676"/>
        <v>51.199334976781522</v>
      </c>
      <c r="AZ220" s="56">
        <f t="shared" si="676"/>
        <v>33.875770881641913</v>
      </c>
      <c r="BA220" s="56">
        <f t="shared" ref="BA220:CE220" si="677">BA25/BA217*1000</f>
        <v>40.205214299822245</v>
      </c>
      <c r="BB220" s="56">
        <f t="shared" si="677"/>
        <v>50.831910462786603</v>
      </c>
      <c r="BC220" s="56">
        <f t="shared" si="677"/>
        <v>38.373870881381805</v>
      </c>
      <c r="BD220" s="56">
        <f t="shared" si="677"/>
        <v>38.203966890520071</v>
      </c>
      <c r="BE220" s="56">
        <f t="shared" si="677"/>
        <v>57.812754257497971</v>
      </c>
      <c r="BF220" s="56">
        <f t="shared" si="677"/>
        <v>58.287884583857043</v>
      </c>
      <c r="BG220" s="56">
        <f t="shared" si="677"/>
        <v>67.819720143182565</v>
      </c>
      <c r="BH220" s="56">
        <f t="shared" si="677"/>
        <v>4.6609422607206703</v>
      </c>
      <c r="BI220" s="56">
        <f t="shared" si="677"/>
        <v>-60.07776020126169</v>
      </c>
      <c r="BJ220" s="56">
        <f t="shared" si="677"/>
        <v>-62.049221496735306</v>
      </c>
      <c r="BK220" s="56">
        <f t="shared" si="677"/>
        <v>-79.369066273389237</v>
      </c>
      <c r="BL220" s="56">
        <f t="shared" si="677"/>
        <v>-138.93546240851632</v>
      </c>
      <c r="BM220" s="56">
        <f t="shared" si="677"/>
        <v>-191.04808669150015</v>
      </c>
      <c r="BN220" s="56">
        <f t="shared" si="677"/>
        <v>-123.20812404455121</v>
      </c>
      <c r="BO220" s="56">
        <f t="shared" si="677"/>
        <v>-57.335745854714816</v>
      </c>
      <c r="BP220" s="56">
        <f t="shared" si="677"/>
        <v>2.1997065194605541</v>
      </c>
      <c r="BQ220" s="56">
        <f t="shared" si="677"/>
        <v>77.201620801567032</v>
      </c>
      <c r="BR220" s="56">
        <f t="shared" si="677"/>
        <v>105.30773391022177</v>
      </c>
      <c r="BS220" s="56">
        <f t="shared" si="677"/>
        <v>67.007039644312712</v>
      </c>
      <c r="BT220" s="56">
        <f t="shared" si="677"/>
        <v>77.970208985128551</v>
      </c>
      <c r="BU220" s="56">
        <f t="shared" si="677"/>
        <v>105.26536695372624</v>
      </c>
      <c r="BV220" s="56">
        <f t="shared" si="677"/>
        <v>112.66534515978482</v>
      </c>
      <c r="BW220" s="56">
        <f t="shared" si="677"/>
        <v>117.92599682855759</v>
      </c>
      <c r="BX220" s="56">
        <f t="shared" si="677"/>
        <v>117.87332255375544</v>
      </c>
      <c r="BY220" s="56">
        <f t="shared" si="677"/>
        <v>117.38757420065291</v>
      </c>
      <c r="BZ220" s="56">
        <f t="shared" si="677"/>
        <v>121.77173914960356</v>
      </c>
      <c r="CA220" s="56">
        <f t="shared" si="677"/>
        <v>123.86238890479859</v>
      </c>
      <c r="CB220" s="56">
        <f t="shared" si="677"/>
        <v>122.04450932578415</v>
      </c>
      <c r="CC220" s="56">
        <f t="shared" si="677"/>
        <v>122.44646504123288</v>
      </c>
      <c r="CD220" s="56">
        <f t="shared" si="677"/>
        <v>123.28766046532736</v>
      </c>
      <c r="CE220" s="56">
        <f t="shared" si="677"/>
        <v>124.35157986615465</v>
      </c>
      <c r="CF220" s="4"/>
      <c r="CG220" s="4"/>
      <c r="CH220" s="4"/>
      <c r="CI220" s="4"/>
      <c r="CJ220" s="4"/>
      <c r="CK220" s="4"/>
      <c r="CL220" s="4"/>
      <c r="CM220" s="4"/>
      <c r="CN220" s="240">
        <f t="shared" si="629"/>
        <v>213</v>
      </c>
    </row>
    <row r="221" spans="1:99" hidden="1" outlineLevel="2">
      <c r="A221" s="144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4"/>
      <c r="T221" s="4"/>
      <c r="U221" s="4"/>
      <c r="V221" s="4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240">
        <f t="shared" si="629"/>
        <v>214</v>
      </c>
    </row>
    <row r="222" spans="1:99" outlineLevel="1" collapsed="1">
      <c r="A222" s="144" t="s">
        <v>33</v>
      </c>
      <c r="B222" s="40" t="s">
        <v>310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4"/>
      <c r="T222" s="4"/>
      <c r="U222" s="4"/>
      <c r="V222" s="4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240">
        <f t="shared" si="629"/>
        <v>215</v>
      </c>
    </row>
    <row r="223" spans="1:99" hidden="1" outlineLevel="2">
      <c r="A223" s="144"/>
      <c r="B223" s="45" t="s">
        <v>311</v>
      </c>
      <c r="C223" s="39"/>
      <c r="D223" s="39">
        <f t="shared" ref="D223:Q223" si="678">D75-C75</f>
        <v>92</v>
      </c>
      <c r="E223" s="39">
        <f t="shared" si="678"/>
        <v>48.25</v>
      </c>
      <c r="F223" s="39">
        <f t="shared" si="678"/>
        <v>7.25</v>
      </c>
      <c r="G223" s="39">
        <f t="shared" si="678"/>
        <v>40.75</v>
      </c>
      <c r="H223" s="39">
        <f t="shared" si="678"/>
        <v>182</v>
      </c>
      <c r="I223" s="39">
        <f t="shared" si="678"/>
        <v>137.25</v>
      </c>
      <c r="J223" s="39">
        <f t="shared" si="678"/>
        <v>35</v>
      </c>
      <c r="K223" s="39">
        <f t="shared" si="678"/>
        <v>49.5</v>
      </c>
      <c r="L223" s="39">
        <f t="shared" si="678"/>
        <v>176.25</v>
      </c>
      <c r="M223" s="39">
        <f t="shared" si="678"/>
        <v>4.25</v>
      </c>
      <c r="N223" s="39">
        <f t="shared" si="678"/>
        <v>0</v>
      </c>
      <c r="O223" s="39">
        <f t="shared" si="678"/>
        <v>28.125</v>
      </c>
      <c r="P223" s="39">
        <f t="shared" si="678"/>
        <v>84.375</v>
      </c>
      <c r="Q223" s="39">
        <f t="shared" si="678"/>
        <v>112.5</v>
      </c>
      <c r="R223" s="39"/>
      <c r="S223" s="4"/>
      <c r="T223" s="4"/>
      <c r="U223" s="39">
        <f t="shared" ref="U223:AZ223" si="679">U75-T75</f>
        <v>0</v>
      </c>
      <c r="V223" s="39">
        <f t="shared" si="679"/>
        <v>0</v>
      </c>
      <c r="W223" s="39">
        <f t="shared" si="679"/>
        <v>0</v>
      </c>
      <c r="X223" s="39">
        <f t="shared" si="679"/>
        <v>0</v>
      </c>
      <c r="Y223" s="39">
        <f t="shared" si="679"/>
        <v>50</v>
      </c>
      <c r="Z223" s="39">
        <f t="shared" si="679"/>
        <v>0</v>
      </c>
      <c r="AA223" s="39">
        <f t="shared" si="679"/>
        <v>0</v>
      </c>
      <c r="AB223" s="39">
        <f t="shared" si="679"/>
        <v>0</v>
      </c>
      <c r="AC223" s="39">
        <f t="shared" si="679"/>
        <v>106</v>
      </c>
      <c r="AD223" s="39">
        <f t="shared" si="679"/>
        <v>0</v>
      </c>
      <c r="AE223" s="39">
        <f t="shared" si="679"/>
        <v>0</v>
      </c>
      <c r="AF223" s="39">
        <f t="shared" si="679"/>
        <v>0</v>
      </c>
      <c r="AG223" s="39">
        <f t="shared" si="679"/>
        <v>29</v>
      </c>
      <c r="AH223" s="39">
        <f t="shared" si="679"/>
        <v>0</v>
      </c>
      <c r="AI223" s="39">
        <f t="shared" si="679"/>
        <v>0</v>
      </c>
      <c r="AJ223" s="39">
        <f t="shared" si="679"/>
        <v>0</v>
      </c>
      <c r="AK223" s="39">
        <f t="shared" si="679"/>
        <v>0</v>
      </c>
      <c r="AL223" s="39">
        <f t="shared" si="679"/>
        <v>0</v>
      </c>
      <c r="AM223" s="39">
        <f t="shared" si="679"/>
        <v>0</v>
      </c>
      <c r="AN223" s="39">
        <f t="shared" si="679"/>
        <v>0</v>
      </c>
      <c r="AO223" s="39">
        <f t="shared" si="679"/>
        <v>0</v>
      </c>
      <c r="AP223" s="39">
        <f t="shared" si="679"/>
        <v>50</v>
      </c>
      <c r="AQ223" s="39">
        <f t="shared" si="679"/>
        <v>63</v>
      </c>
      <c r="AR223" s="39">
        <f t="shared" si="679"/>
        <v>52</v>
      </c>
      <c r="AS223" s="39">
        <f t="shared" si="679"/>
        <v>30</v>
      </c>
      <c r="AT223" s="39">
        <f t="shared" si="679"/>
        <v>36</v>
      </c>
      <c r="AU223" s="39">
        <f t="shared" si="679"/>
        <v>69</v>
      </c>
      <c r="AV223" s="39">
        <f t="shared" si="679"/>
        <v>60</v>
      </c>
      <c r="AW223" s="39">
        <f t="shared" si="679"/>
        <v>0</v>
      </c>
      <c r="AX223" s="39">
        <f t="shared" si="679"/>
        <v>0</v>
      </c>
      <c r="AY223" s="39">
        <f t="shared" si="679"/>
        <v>0</v>
      </c>
      <c r="AZ223" s="39">
        <f t="shared" si="679"/>
        <v>20</v>
      </c>
      <c r="BA223" s="39">
        <f t="shared" ref="BA223:BQ223" si="680">BA75-AZ75</f>
        <v>0</v>
      </c>
      <c r="BB223" s="39">
        <f t="shared" si="680"/>
        <v>30</v>
      </c>
      <c r="BC223" s="39">
        <f t="shared" si="680"/>
        <v>0</v>
      </c>
      <c r="BD223" s="39">
        <f t="shared" si="680"/>
        <v>0</v>
      </c>
      <c r="BE223" s="39">
        <f t="shared" si="680"/>
        <v>10</v>
      </c>
      <c r="BF223" s="39">
        <f t="shared" si="680"/>
        <v>30</v>
      </c>
      <c r="BG223" s="39">
        <f t="shared" si="680"/>
        <v>48</v>
      </c>
      <c r="BH223" s="39">
        <f t="shared" si="680"/>
        <v>99</v>
      </c>
      <c r="BI223" s="39">
        <f t="shared" si="680"/>
        <v>24</v>
      </c>
      <c r="BJ223" s="39">
        <f t="shared" si="680"/>
        <v>14</v>
      </c>
      <c r="BK223" s="39">
        <f t="shared" si="680"/>
        <v>-5</v>
      </c>
      <c r="BL223" s="39">
        <f t="shared" si="680"/>
        <v>-5</v>
      </c>
      <c r="BM223" s="39">
        <f t="shared" si="680"/>
        <v>0</v>
      </c>
      <c r="BN223" s="39">
        <f t="shared" si="680"/>
        <v>0</v>
      </c>
      <c r="BO223" s="39">
        <f t="shared" si="680"/>
        <v>0</v>
      </c>
      <c r="BP223" s="39">
        <f t="shared" si="680"/>
        <v>0</v>
      </c>
      <c r="BQ223" s="39">
        <f t="shared" si="680"/>
        <v>0</v>
      </c>
      <c r="BR223" s="189">
        <v>20</v>
      </c>
      <c r="BS223" s="189">
        <v>15</v>
      </c>
      <c r="BT223" s="189">
        <v>40</v>
      </c>
      <c r="BU223" s="189">
        <v>40</v>
      </c>
      <c r="BV223" s="39">
        <v>0</v>
      </c>
      <c r="BW223" s="39">
        <f t="shared" ref="BW223:CE223" si="681">BW75-BV75</f>
        <v>0</v>
      </c>
      <c r="BX223" s="39">
        <f t="shared" si="681"/>
        <v>0</v>
      </c>
      <c r="BY223" s="39">
        <f t="shared" si="681"/>
        <v>0</v>
      </c>
      <c r="BZ223" s="39">
        <f t="shared" si="681"/>
        <v>90</v>
      </c>
      <c r="CA223" s="39">
        <f t="shared" si="681"/>
        <v>90</v>
      </c>
      <c r="CB223" s="39">
        <f t="shared" si="681"/>
        <v>0</v>
      </c>
      <c r="CC223" s="39">
        <f t="shared" si="681"/>
        <v>0</v>
      </c>
      <c r="CD223" s="39">
        <f t="shared" si="681"/>
        <v>0</v>
      </c>
      <c r="CE223" s="39">
        <f t="shared" si="681"/>
        <v>0</v>
      </c>
      <c r="CF223" s="4"/>
      <c r="CG223" s="4"/>
      <c r="CH223" s="4"/>
      <c r="CI223" s="4"/>
      <c r="CJ223" s="4"/>
      <c r="CK223" s="4"/>
      <c r="CL223" s="4"/>
      <c r="CM223" s="4"/>
      <c r="CN223" s="240">
        <f t="shared" si="629"/>
        <v>216</v>
      </c>
    </row>
    <row r="224" spans="1:99" hidden="1" outlineLevel="2">
      <c r="A224" s="144"/>
      <c r="B224" s="45" t="s">
        <v>312</v>
      </c>
      <c r="C224" s="39"/>
      <c r="D224" s="39">
        <f>+D225-D223</f>
        <v>156.75800000000001</v>
      </c>
      <c r="E224" s="39">
        <f t="shared" ref="E224:Q224" si="682">+E225-E223</f>
        <v>122.06800000000001</v>
      </c>
      <c r="F224" s="39">
        <f t="shared" si="682"/>
        <v>60.58</v>
      </c>
      <c r="G224" s="39">
        <f t="shared" si="682"/>
        <v>146.756</v>
      </c>
      <c r="H224" s="39">
        <f t="shared" si="682"/>
        <v>234.39999999999998</v>
      </c>
      <c r="I224" s="39">
        <f t="shared" si="682"/>
        <v>191.65200000000004</v>
      </c>
      <c r="J224" s="39">
        <f t="shared" si="682"/>
        <v>166.68100000000001</v>
      </c>
      <c r="K224" s="39">
        <f t="shared" si="682"/>
        <v>322.00200000000001</v>
      </c>
      <c r="L224" s="39">
        <f t="shared" si="682"/>
        <v>-8.8240000000000123</v>
      </c>
      <c r="M224" s="39">
        <f t="shared" si="682"/>
        <v>29.688000000000002</v>
      </c>
      <c r="N224" s="39">
        <f t="shared" si="682"/>
        <v>117.50900000000001</v>
      </c>
      <c r="O224" s="39">
        <f t="shared" si="682"/>
        <v>236.63750000000005</v>
      </c>
      <c r="P224" s="39">
        <f t="shared" si="682"/>
        <v>293.54999999999995</v>
      </c>
      <c r="Q224" s="39">
        <f t="shared" si="682"/>
        <v>111.75</v>
      </c>
      <c r="R224" s="39"/>
      <c r="S224" s="4"/>
      <c r="T224" s="4"/>
      <c r="U224" s="39">
        <f t="shared" ref="U224:AZ224" si="683">+U225-U223</f>
        <v>20.748000000000005</v>
      </c>
      <c r="V224" s="39">
        <f t="shared" si="683"/>
        <v>21.372999999999998</v>
      </c>
      <c r="W224" s="39">
        <f t="shared" si="683"/>
        <v>17.369000000000007</v>
      </c>
      <c r="X224" s="39">
        <f t="shared" si="683"/>
        <v>25.97</v>
      </c>
      <c r="Y224" s="39">
        <f t="shared" si="683"/>
        <v>-22.219000000000001</v>
      </c>
      <c r="Z224" s="39">
        <f t="shared" si="683"/>
        <v>43.57</v>
      </c>
      <c r="AA224" s="39">
        <f t="shared" si="683"/>
        <v>62.51</v>
      </c>
      <c r="AB224" s="39">
        <f t="shared" si="683"/>
        <v>63.661999999999999</v>
      </c>
      <c r="AC224" s="39">
        <f t="shared" si="683"/>
        <v>-35.614999999999995</v>
      </c>
      <c r="AD224" s="39">
        <f t="shared" si="683"/>
        <v>63.503000000000014</v>
      </c>
      <c r="AE224" s="39">
        <f t="shared" si="683"/>
        <v>51.207999999999998</v>
      </c>
      <c r="AF224" s="39">
        <f t="shared" si="683"/>
        <v>46.335000000000001</v>
      </c>
      <c r="AG224" s="39">
        <f t="shared" si="683"/>
        <v>25.928000000000004</v>
      </c>
      <c r="AH224" s="39">
        <f t="shared" si="683"/>
        <v>35.677999999999997</v>
      </c>
      <c r="AI224" s="39">
        <f t="shared" si="683"/>
        <v>33.37700000000001</v>
      </c>
      <c r="AJ224" s="39">
        <f t="shared" si="683"/>
        <v>19.5</v>
      </c>
      <c r="AK224" s="39">
        <f t="shared" si="683"/>
        <v>23.7</v>
      </c>
      <c r="AL224" s="39">
        <f t="shared" si="683"/>
        <v>15.5</v>
      </c>
      <c r="AM224" s="39">
        <f t="shared" si="683"/>
        <v>9.1300000000000008</v>
      </c>
      <c r="AN224" s="39">
        <f t="shared" si="683"/>
        <v>10.368</v>
      </c>
      <c r="AO224" s="39">
        <f t="shared" si="683"/>
        <v>46.5</v>
      </c>
      <c r="AP224" s="39">
        <f t="shared" si="683"/>
        <v>-0.76200000000000756</v>
      </c>
      <c r="AQ224" s="39">
        <f t="shared" si="683"/>
        <v>18.400000000000006</v>
      </c>
      <c r="AR224" s="39">
        <f t="shared" si="683"/>
        <v>40.317999999999998</v>
      </c>
      <c r="AS224" s="39">
        <f t="shared" si="683"/>
        <v>81.445000000000007</v>
      </c>
      <c r="AT224" s="39">
        <f t="shared" si="683"/>
        <v>65.965999999999994</v>
      </c>
      <c r="AU224" s="39">
        <f t="shared" si="683"/>
        <v>41.670999999999978</v>
      </c>
      <c r="AV224" s="39">
        <f t="shared" si="683"/>
        <v>61.408000000000001</v>
      </c>
      <c r="AW224" s="39">
        <f t="shared" si="683"/>
        <v>82.793999999999997</v>
      </c>
      <c r="AX224" s="39">
        <f t="shared" si="683"/>
        <v>69.599999999999994</v>
      </c>
      <c r="AY224" s="39">
        <f t="shared" si="683"/>
        <v>55.1</v>
      </c>
      <c r="AZ224" s="39">
        <f t="shared" si="683"/>
        <v>33.04</v>
      </c>
      <c r="BA224" s="39">
        <f t="shared" ref="BA224:BQ224" si="684">+BA225-BA223</f>
        <v>55.449999999999996</v>
      </c>
      <c r="BB224" s="39">
        <f t="shared" si="684"/>
        <v>21.364000000000026</v>
      </c>
      <c r="BC224" s="39">
        <f t="shared" si="684"/>
        <v>41.826999999999991</v>
      </c>
      <c r="BD224" s="39">
        <f t="shared" si="684"/>
        <v>40.295000000000002</v>
      </c>
      <c r="BE224" s="39">
        <f t="shared" si="684"/>
        <v>62.509</v>
      </c>
      <c r="BF224" s="39">
        <f t="shared" si="684"/>
        <v>94.668999999999997</v>
      </c>
      <c r="BG224" s="39">
        <f t="shared" si="684"/>
        <v>86.028999999999996</v>
      </c>
      <c r="BH224" s="39">
        <f t="shared" si="684"/>
        <v>4.4920000000000044</v>
      </c>
      <c r="BI224" s="39">
        <f t="shared" si="684"/>
        <v>11.855000000000004</v>
      </c>
      <c r="BJ224" s="39">
        <f t="shared" si="684"/>
        <v>1.8549999999999898</v>
      </c>
      <c r="BK224" s="39">
        <f t="shared" si="684"/>
        <v>17.22399999999999</v>
      </c>
      <c r="BL224" s="39">
        <f t="shared" si="684"/>
        <v>14.581</v>
      </c>
      <c r="BM224" s="39">
        <f t="shared" si="684"/>
        <v>8.708000000000002</v>
      </c>
      <c r="BN224" s="39">
        <f t="shared" si="684"/>
        <v>6.6280000000000001</v>
      </c>
      <c r="BO224" s="39">
        <f t="shared" si="684"/>
        <v>9.0210000000000008</v>
      </c>
      <c r="BP224" s="39">
        <f t="shared" si="684"/>
        <v>11.707000000000001</v>
      </c>
      <c r="BQ224" s="39">
        <f t="shared" si="684"/>
        <v>18.937999999999999</v>
      </c>
      <c r="BR224" s="39">
        <f>+BR225-BR223</f>
        <v>24.371000000000002</v>
      </c>
      <c r="BS224" s="39">
        <f>+BS225-BS223</f>
        <v>27.493000000000002</v>
      </c>
      <c r="BT224" s="190">
        <f>+BT226/1000/4*BT76</f>
        <v>45.093750000000007</v>
      </c>
      <c r="BU224" s="190">
        <f t="shared" ref="BU224:CE224" si="685">+BU226/1000/4*BU76</f>
        <v>45.642187499999999</v>
      </c>
      <c r="BV224" s="190">
        <f t="shared" si="685"/>
        <v>46.739062500000003</v>
      </c>
      <c r="BW224" s="190">
        <f t="shared" si="685"/>
        <v>47.287500000000001</v>
      </c>
      <c r="BX224" s="190">
        <f t="shared" si="685"/>
        <v>47.287500000000001</v>
      </c>
      <c r="BY224" s="190">
        <f t="shared" si="685"/>
        <v>47.287500000000001</v>
      </c>
      <c r="BZ224" s="190">
        <f t="shared" si="685"/>
        <v>49.481250000000003</v>
      </c>
      <c r="CA224" s="190">
        <f t="shared" si="685"/>
        <v>53.868749999999999</v>
      </c>
      <c r="CB224" s="190">
        <f t="shared" si="685"/>
        <v>56.0625</v>
      </c>
      <c r="CC224" s="190">
        <f t="shared" si="685"/>
        <v>56.0625</v>
      </c>
      <c r="CD224" s="190">
        <f t="shared" si="685"/>
        <v>56.0625</v>
      </c>
      <c r="CE224" s="190">
        <f t="shared" si="685"/>
        <v>56.0625</v>
      </c>
      <c r="CF224" s="4"/>
      <c r="CG224" s="4"/>
      <c r="CH224" s="4"/>
      <c r="CI224" s="4"/>
      <c r="CJ224" s="4"/>
      <c r="CK224" s="4"/>
      <c r="CL224" s="4"/>
      <c r="CM224" s="4"/>
      <c r="CN224" s="240">
        <f t="shared" si="629"/>
        <v>217</v>
      </c>
    </row>
    <row r="225" spans="1:92" hidden="1" outlineLevel="2">
      <c r="A225" s="144"/>
      <c r="B225" s="45" t="s">
        <v>313</v>
      </c>
      <c r="C225" s="39">
        <f>-C242</f>
        <v>159.83099999999999</v>
      </c>
      <c r="D225" s="39">
        <f>-D242</f>
        <v>248.75800000000001</v>
      </c>
      <c r="E225" s="39">
        <f t="shared" ref="E225:Q225" si="686">-E242</f>
        <v>170.31800000000001</v>
      </c>
      <c r="F225" s="39">
        <f t="shared" si="686"/>
        <v>67.83</v>
      </c>
      <c r="G225" s="39">
        <f t="shared" si="686"/>
        <v>187.506</v>
      </c>
      <c r="H225" s="39">
        <f t="shared" si="686"/>
        <v>416.4</v>
      </c>
      <c r="I225" s="39">
        <f t="shared" si="686"/>
        <v>328.90200000000004</v>
      </c>
      <c r="J225" s="39">
        <f t="shared" si="686"/>
        <v>201.68100000000001</v>
      </c>
      <c r="K225" s="39">
        <f t="shared" si="686"/>
        <v>371.50200000000001</v>
      </c>
      <c r="L225" s="39">
        <f t="shared" si="686"/>
        <v>167.42599999999999</v>
      </c>
      <c r="M225" s="39">
        <f t="shared" si="686"/>
        <v>33.938000000000002</v>
      </c>
      <c r="N225" s="39">
        <f t="shared" si="686"/>
        <v>117.50900000000001</v>
      </c>
      <c r="O225" s="39">
        <f t="shared" si="686"/>
        <v>264.76250000000005</v>
      </c>
      <c r="P225" s="39">
        <f t="shared" si="686"/>
        <v>377.92499999999995</v>
      </c>
      <c r="Q225" s="39">
        <f t="shared" si="686"/>
        <v>224.25</v>
      </c>
      <c r="R225" s="39"/>
      <c r="S225" s="4"/>
      <c r="T225" s="4"/>
      <c r="U225" s="39">
        <f t="shared" ref="U225:BQ225" si="687">-U242</f>
        <v>20.748000000000005</v>
      </c>
      <c r="V225" s="39">
        <f t="shared" si="687"/>
        <v>21.372999999999998</v>
      </c>
      <c r="W225" s="39">
        <f t="shared" si="687"/>
        <v>17.369000000000007</v>
      </c>
      <c r="X225" s="39">
        <f t="shared" si="687"/>
        <v>25.97</v>
      </c>
      <c r="Y225" s="39">
        <f t="shared" si="687"/>
        <v>27.780999999999999</v>
      </c>
      <c r="Z225" s="39">
        <f t="shared" si="687"/>
        <v>43.57</v>
      </c>
      <c r="AA225" s="39">
        <f t="shared" si="687"/>
        <v>62.51</v>
      </c>
      <c r="AB225" s="39">
        <f t="shared" si="687"/>
        <v>63.661999999999999</v>
      </c>
      <c r="AC225" s="39">
        <f t="shared" si="687"/>
        <v>70.385000000000005</v>
      </c>
      <c r="AD225" s="39">
        <f t="shared" si="687"/>
        <v>63.503000000000014</v>
      </c>
      <c r="AE225" s="39">
        <f t="shared" si="687"/>
        <v>51.207999999999998</v>
      </c>
      <c r="AF225" s="39">
        <f t="shared" si="687"/>
        <v>46.335000000000001</v>
      </c>
      <c r="AG225" s="39">
        <f t="shared" si="687"/>
        <v>54.928000000000004</v>
      </c>
      <c r="AH225" s="39">
        <f t="shared" si="687"/>
        <v>35.677999999999997</v>
      </c>
      <c r="AI225" s="39">
        <f t="shared" si="687"/>
        <v>33.37700000000001</v>
      </c>
      <c r="AJ225" s="39">
        <f t="shared" si="687"/>
        <v>19.5</v>
      </c>
      <c r="AK225" s="39">
        <f t="shared" si="687"/>
        <v>23.7</v>
      </c>
      <c r="AL225" s="39">
        <f t="shared" si="687"/>
        <v>15.5</v>
      </c>
      <c r="AM225" s="39">
        <f t="shared" si="687"/>
        <v>9.1300000000000008</v>
      </c>
      <c r="AN225" s="39">
        <f t="shared" si="687"/>
        <v>10.368</v>
      </c>
      <c r="AO225" s="39">
        <f t="shared" si="687"/>
        <v>46.5</v>
      </c>
      <c r="AP225" s="39">
        <f t="shared" si="687"/>
        <v>49.237999999999992</v>
      </c>
      <c r="AQ225" s="39">
        <f t="shared" si="687"/>
        <v>81.400000000000006</v>
      </c>
      <c r="AR225" s="39">
        <f t="shared" si="687"/>
        <v>92.317999999999998</v>
      </c>
      <c r="AS225" s="39">
        <f t="shared" si="687"/>
        <v>111.44500000000001</v>
      </c>
      <c r="AT225" s="39">
        <f t="shared" si="687"/>
        <v>101.96599999999999</v>
      </c>
      <c r="AU225" s="39">
        <f t="shared" si="687"/>
        <v>110.67099999999998</v>
      </c>
      <c r="AV225" s="39">
        <f t="shared" si="687"/>
        <v>121.408</v>
      </c>
      <c r="AW225" s="39">
        <f t="shared" si="687"/>
        <v>82.793999999999997</v>
      </c>
      <c r="AX225" s="39">
        <f t="shared" si="687"/>
        <v>69.599999999999994</v>
      </c>
      <c r="AY225" s="39">
        <f t="shared" si="687"/>
        <v>55.1</v>
      </c>
      <c r="AZ225" s="39">
        <f t="shared" si="687"/>
        <v>53.04</v>
      </c>
      <c r="BA225" s="39">
        <f t="shared" si="687"/>
        <v>55.449999999999996</v>
      </c>
      <c r="BB225" s="39">
        <f t="shared" si="687"/>
        <v>51.364000000000026</v>
      </c>
      <c r="BC225" s="39">
        <f t="shared" si="687"/>
        <v>41.826999999999991</v>
      </c>
      <c r="BD225" s="39">
        <f t="shared" si="687"/>
        <v>40.295000000000002</v>
      </c>
      <c r="BE225" s="39">
        <f t="shared" si="687"/>
        <v>72.509</v>
      </c>
      <c r="BF225" s="39">
        <f t="shared" si="687"/>
        <v>124.669</v>
      </c>
      <c r="BG225" s="39">
        <f t="shared" si="687"/>
        <v>134.029</v>
      </c>
      <c r="BH225" s="39">
        <f t="shared" si="687"/>
        <v>103.492</v>
      </c>
      <c r="BI225" s="39">
        <f t="shared" si="687"/>
        <v>35.855000000000004</v>
      </c>
      <c r="BJ225" s="39">
        <f t="shared" si="687"/>
        <v>15.85499999999999</v>
      </c>
      <c r="BK225" s="39">
        <f t="shared" si="687"/>
        <v>12.22399999999999</v>
      </c>
      <c r="BL225" s="39">
        <f t="shared" si="687"/>
        <v>9.5809999999999995</v>
      </c>
      <c r="BM225" s="39">
        <f t="shared" si="687"/>
        <v>8.708000000000002</v>
      </c>
      <c r="BN225" s="39">
        <f t="shared" si="687"/>
        <v>6.6280000000000001</v>
      </c>
      <c r="BO225" s="39">
        <f t="shared" si="687"/>
        <v>9.0210000000000008</v>
      </c>
      <c r="BP225" s="39">
        <f t="shared" si="687"/>
        <v>11.707000000000001</v>
      </c>
      <c r="BQ225" s="39">
        <f t="shared" si="687"/>
        <v>18.937999999999999</v>
      </c>
      <c r="BR225" s="39">
        <f>-BR242</f>
        <v>44.371000000000002</v>
      </c>
      <c r="BS225" s="39">
        <f>-BS242</f>
        <v>42.493000000000002</v>
      </c>
      <c r="BT225" s="39">
        <f>SUM(BT223:BT224)</f>
        <v>85.09375</v>
      </c>
      <c r="BU225" s="39">
        <f>SUM(BU223:BU224)</f>
        <v>85.642187500000006</v>
      </c>
      <c r="BV225" s="39">
        <f>SUM(BV223:BV224)</f>
        <v>46.739062500000003</v>
      </c>
      <c r="BW225" s="39">
        <f t="shared" ref="BW225:CE225" si="688">SUM(BW223:BW224)</f>
        <v>47.287500000000001</v>
      </c>
      <c r="BX225" s="39">
        <f t="shared" si="688"/>
        <v>47.287500000000001</v>
      </c>
      <c r="BY225" s="39">
        <f t="shared" si="688"/>
        <v>47.287500000000001</v>
      </c>
      <c r="BZ225" s="39">
        <f t="shared" si="688"/>
        <v>139.48124999999999</v>
      </c>
      <c r="CA225" s="39">
        <f t="shared" si="688"/>
        <v>143.86875000000001</v>
      </c>
      <c r="CB225" s="39">
        <f t="shared" si="688"/>
        <v>56.0625</v>
      </c>
      <c r="CC225" s="39">
        <f t="shared" si="688"/>
        <v>56.0625</v>
      </c>
      <c r="CD225" s="39">
        <f t="shared" si="688"/>
        <v>56.0625</v>
      </c>
      <c r="CE225" s="39">
        <f t="shared" si="688"/>
        <v>56.0625</v>
      </c>
      <c r="CF225" s="4"/>
      <c r="CG225" s="4"/>
      <c r="CH225" s="4"/>
      <c r="CI225" s="4"/>
      <c r="CJ225" s="4"/>
      <c r="CK225" s="4"/>
      <c r="CL225" s="4"/>
      <c r="CM225" s="4"/>
      <c r="CN225" s="240">
        <f t="shared" si="629"/>
        <v>218</v>
      </c>
    </row>
    <row r="226" spans="1:92" hidden="1" outlineLevel="2">
      <c r="A226" s="144"/>
      <c r="B226" s="45" t="s">
        <v>314</v>
      </c>
      <c r="C226" s="39"/>
      <c r="D226" s="39">
        <f t="shared" ref="D226:Q226" si="689">D224*1000/D76</f>
        <v>641.13701431492848</v>
      </c>
      <c r="E226" s="39">
        <f t="shared" si="689"/>
        <v>416.97011101622547</v>
      </c>
      <c r="F226" s="39">
        <f t="shared" si="689"/>
        <v>201.93333333333334</v>
      </c>
      <c r="G226" s="39">
        <f t="shared" si="689"/>
        <v>430.68525311812181</v>
      </c>
      <c r="H226" s="39">
        <f t="shared" si="689"/>
        <v>448.39789574366324</v>
      </c>
      <c r="I226" s="39">
        <f t="shared" si="689"/>
        <v>290.38181818181829</v>
      </c>
      <c r="J226" s="39">
        <f t="shared" si="689"/>
        <v>239.82877697841727</v>
      </c>
      <c r="K226" s="39">
        <f t="shared" si="689"/>
        <v>432.50772330423104</v>
      </c>
      <c r="L226" s="39">
        <f t="shared" si="689"/>
        <v>-13.011630693233574</v>
      </c>
      <c r="M226" s="39">
        <f t="shared" si="689"/>
        <v>60.665134099616864</v>
      </c>
      <c r="N226" s="39">
        <f t="shared" si="689"/>
        <v>157.73681781953943</v>
      </c>
      <c r="O226" s="39">
        <f t="shared" si="689"/>
        <v>249.7493403693932</v>
      </c>
      <c r="P226" s="39">
        <f t="shared" si="689"/>
        <v>289.21182266009845</v>
      </c>
      <c r="Q226" s="39">
        <f t="shared" si="689"/>
        <v>97.173913043478265</v>
      </c>
      <c r="R226" s="39"/>
      <c r="S226" s="4"/>
      <c r="T226" s="4"/>
      <c r="U226" s="39">
        <f t="shared" ref="U226:AZ226" si="690">U224*4*1000/U76</f>
        <v>721.66956521739144</v>
      </c>
      <c r="V226" s="39">
        <f t="shared" si="690"/>
        <v>743.40869565217383</v>
      </c>
      <c r="W226" s="39">
        <f t="shared" si="690"/>
        <v>604.13913043478283</v>
      </c>
      <c r="X226" s="39">
        <f t="shared" si="690"/>
        <v>903.304347826087</v>
      </c>
      <c r="Y226" s="39">
        <f t="shared" si="690"/>
        <v>-538.64242424242423</v>
      </c>
      <c r="Z226" s="39">
        <f t="shared" si="690"/>
        <v>1056.2424242424242</v>
      </c>
      <c r="AA226" s="39">
        <f t="shared" si="690"/>
        <v>1515.3939393939395</v>
      </c>
      <c r="AB226" s="39">
        <f t="shared" si="690"/>
        <v>1543.3212121212121</v>
      </c>
      <c r="AC226" s="39">
        <f t="shared" si="690"/>
        <v>-525.68265682656818</v>
      </c>
      <c r="AD226" s="39">
        <f t="shared" si="690"/>
        <v>937.31365313653157</v>
      </c>
      <c r="AE226" s="39">
        <f t="shared" si="690"/>
        <v>755.83763837638378</v>
      </c>
      <c r="AF226" s="39">
        <f t="shared" si="690"/>
        <v>683.9114391143911</v>
      </c>
      <c r="AG226" s="39">
        <f t="shared" si="690"/>
        <v>345.70666666666671</v>
      </c>
      <c r="AH226" s="39">
        <f t="shared" si="690"/>
        <v>475.70666666666665</v>
      </c>
      <c r="AI226" s="39">
        <f t="shared" si="690"/>
        <v>445.02666666666676</v>
      </c>
      <c r="AJ226" s="39">
        <f t="shared" si="690"/>
        <v>260</v>
      </c>
      <c r="AK226" s="39">
        <f t="shared" si="690"/>
        <v>316</v>
      </c>
      <c r="AL226" s="39">
        <f t="shared" si="690"/>
        <v>206.66666666666666</v>
      </c>
      <c r="AM226" s="39">
        <f t="shared" si="690"/>
        <v>121.73333333333333</v>
      </c>
      <c r="AN226" s="39">
        <f t="shared" si="690"/>
        <v>138.24</v>
      </c>
      <c r="AO226" s="39">
        <f t="shared" si="690"/>
        <v>620</v>
      </c>
      <c r="AP226" s="39">
        <f t="shared" si="690"/>
        <v>-8.7085714285715135</v>
      </c>
      <c r="AQ226" s="39">
        <f t="shared" si="690"/>
        <v>178.20823244552065</v>
      </c>
      <c r="AR226" s="39">
        <f t="shared" si="690"/>
        <v>346.82150537634408</v>
      </c>
      <c r="AS226" s="39">
        <f t="shared" si="690"/>
        <v>658.1414141414142</v>
      </c>
      <c r="AT226" s="39">
        <f t="shared" si="690"/>
        <v>496.91902071563089</v>
      </c>
      <c r="AU226" s="39">
        <f t="shared" si="690"/>
        <v>277.8066666666665</v>
      </c>
      <c r="AV226" s="39">
        <f t="shared" si="690"/>
        <v>372.16969696969699</v>
      </c>
      <c r="AW226" s="39">
        <f t="shared" si="690"/>
        <v>501.78181818181821</v>
      </c>
      <c r="AX226" s="39">
        <f t="shared" si="690"/>
        <v>421.81818181818181</v>
      </c>
      <c r="AY226" s="39">
        <f t="shared" si="690"/>
        <v>333.93939393939394</v>
      </c>
      <c r="AZ226" s="39">
        <f t="shared" si="690"/>
        <v>194.35294117647058</v>
      </c>
      <c r="BA226" s="39">
        <f t="shared" ref="BA226:BR226" si="691">BA224*4*1000/BA76</f>
        <v>326.17647058823525</v>
      </c>
      <c r="BB226" s="39">
        <f t="shared" si="691"/>
        <v>120.36056338028183</v>
      </c>
      <c r="BC226" s="39">
        <f t="shared" si="691"/>
        <v>235.64507042253518</v>
      </c>
      <c r="BD226" s="39">
        <f t="shared" si="691"/>
        <v>227.01408450704224</v>
      </c>
      <c r="BE226" s="39">
        <f t="shared" si="691"/>
        <v>347.27222222222224</v>
      </c>
      <c r="BF226" s="39">
        <f t="shared" si="691"/>
        <v>504.90133333333335</v>
      </c>
      <c r="BG226" s="39">
        <f t="shared" si="691"/>
        <v>431.22305764411027</v>
      </c>
      <c r="BH226" s="39">
        <f t="shared" si="691"/>
        <v>23.56613548429408</v>
      </c>
      <c r="BI226" s="39">
        <f t="shared" si="691"/>
        <v>73.553590817434497</v>
      </c>
      <c r="BJ226" s="39">
        <f t="shared" si="691"/>
        <v>11.336898395721862</v>
      </c>
      <c r="BK226" s="39">
        <f t="shared" si="691"/>
        <v>105.83102918586783</v>
      </c>
      <c r="BL226" s="39">
        <f t="shared" si="691"/>
        <v>105.08828828828828</v>
      </c>
      <c r="BM226" s="39">
        <f t="shared" si="691"/>
        <v>69.317412935323404</v>
      </c>
      <c r="BN226" s="39">
        <f t="shared" si="691"/>
        <v>58.915555555555557</v>
      </c>
      <c r="BO226" s="39">
        <f t="shared" si="691"/>
        <v>80.186666666666667</v>
      </c>
      <c r="BP226" s="39">
        <f t="shared" si="691"/>
        <v>85.141818181818181</v>
      </c>
      <c r="BQ226" s="39">
        <f t="shared" si="691"/>
        <v>109.19207207207207</v>
      </c>
      <c r="BR226" s="39">
        <f t="shared" si="691"/>
        <v>120.18369548466637</v>
      </c>
      <c r="BS226" s="39">
        <f t="shared" ref="BS226" si="692">BS224*4*1000/BS76</f>
        <v>118.88864864864867</v>
      </c>
      <c r="BT226" s="189">
        <v>195</v>
      </c>
      <c r="BU226" s="189">
        <v>195</v>
      </c>
      <c r="BV226" s="189">
        <v>195</v>
      </c>
      <c r="BW226" s="189">
        <v>195</v>
      </c>
      <c r="BX226" s="189">
        <v>195</v>
      </c>
      <c r="BY226" s="189">
        <v>195</v>
      </c>
      <c r="BZ226" s="189">
        <v>195</v>
      </c>
      <c r="CA226" s="189">
        <v>195</v>
      </c>
      <c r="CB226" s="189">
        <v>195</v>
      </c>
      <c r="CC226" s="189">
        <v>195</v>
      </c>
      <c r="CD226" s="189">
        <v>195</v>
      </c>
      <c r="CE226" s="189">
        <v>195</v>
      </c>
      <c r="CF226" s="4"/>
      <c r="CG226" s="4"/>
      <c r="CH226" s="4"/>
      <c r="CI226" s="4"/>
      <c r="CJ226" s="4"/>
      <c r="CK226" s="4"/>
      <c r="CL226" s="4"/>
      <c r="CM226" s="4"/>
      <c r="CN226" s="240">
        <f t="shared" si="629"/>
        <v>219</v>
      </c>
    </row>
    <row r="227" spans="1:92" outlineLevel="1" collapsed="1">
      <c r="A227" s="144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4"/>
      <c r="T227" s="4"/>
      <c r="U227" s="4"/>
      <c r="V227" s="4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240">
        <f t="shared" si="629"/>
        <v>220</v>
      </c>
    </row>
    <row r="228" spans="1:92">
      <c r="A228" s="144" t="s">
        <v>33</v>
      </c>
      <c r="B228" s="40" t="s">
        <v>48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4"/>
      <c r="T228" s="4"/>
      <c r="U228" s="4"/>
      <c r="V228" s="4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240">
        <f t="shared" si="629"/>
        <v>221</v>
      </c>
    </row>
    <row r="229" spans="1:92" outlineLevel="1">
      <c r="A229" s="143"/>
      <c r="B229" s="17" t="s">
        <v>63</v>
      </c>
      <c r="C229" s="18">
        <f t="shared" ref="C229:Q229" si="693">C$6</f>
        <v>2006</v>
      </c>
      <c r="D229" s="18">
        <f t="shared" si="693"/>
        <v>2007</v>
      </c>
      <c r="E229" s="18">
        <f t="shared" si="693"/>
        <v>2008</v>
      </c>
      <c r="F229" s="18">
        <f t="shared" si="693"/>
        <v>2009</v>
      </c>
      <c r="G229" s="18">
        <f t="shared" si="693"/>
        <v>2010</v>
      </c>
      <c r="H229" s="18">
        <f t="shared" si="693"/>
        <v>2011</v>
      </c>
      <c r="I229" s="18">
        <f t="shared" si="693"/>
        <v>2012</v>
      </c>
      <c r="J229" s="18">
        <f t="shared" si="693"/>
        <v>2013</v>
      </c>
      <c r="K229" s="18">
        <f t="shared" si="693"/>
        <v>2014</v>
      </c>
      <c r="L229" s="18">
        <f t="shared" si="693"/>
        <v>2015</v>
      </c>
      <c r="M229" s="18">
        <f t="shared" si="693"/>
        <v>2016</v>
      </c>
      <c r="N229" s="18">
        <f t="shared" si="693"/>
        <v>2017</v>
      </c>
      <c r="O229" s="18" t="str">
        <f t="shared" si="693"/>
        <v>2018E</v>
      </c>
      <c r="P229" s="18" t="str">
        <f t="shared" si="693"/>
        <v>2019E</v>
      </c>
      <c r="Q229" s="18" t="str">
        <f t="shared" si="693"/>
        <v>2020E</v>
      </c>
      <c r="R229" s="27"/>
      <c r="S229" s="4"/>
      <c r="T229" s="4"/>
      <c r="U229" s="4"/>
      <c r="V229" s="4"/>
      <c r="W229" s="18" t="str">
        <f t="shared" ref="W229:CE229" si="694">W$6</f>
        <v>4Q05</v>
      </c>
      <c r="X229" s="18" t="str">
        <f t="shared" si="694"/>
        <v>1Q06</v>
      </c>
      <c r="Y229" s="18" t="str">
        <f t="shared" si="694"/>
        <v>2Q06</v>
      </c>
      <c r="Z229" s="18" t="str">
        <f t="shared" si="694"/>
        <v>3Q06</v>
      </c>
      <c r="AA229" s="18" t="str">
        <f t="shared" si="694"/>
        <v>4Q06</v>
      </c>
      <c r="AB229" s="18" t="str">
        <f t="shared" si="694"/>
        <v>1Q07</v>
      </c>
      <c r="AC229" s="18" t="str">
        <f t="shared" si="694"/>
        <v>2Q07</v>
      </c>
      <c r="AD229" s="18" t="str">
        <f t="shared" si="694"/>
        <v>3Q07</v>
      </c>
      <c r="AE229" s="18" t="str">
        <f t="shared" si="694"/>
        <v>4Q07</v>
      </c>
      <c r="AF229" s="18" t="str">
        <f t="shared" si="694"/>
        <v>1Q08</v>
      </c>
      <c r="AG229" s="18" t="str">
        <f t="shared" si="694"/>
        <v>2Q08</v>
      </c>
      <c r="AH229" s="18" t="str">
        <f t="shared" si="694"/>
        <v>3Q08</v>
      </c>
      <c r="AI229" s="18" t="str">
        <f t="shared" si="694"/>
        <v>4Q08</v>
      </c>
      <c r="AJ229" s="18" t="str">
        <f t="shared" si="694"/>
        <v>1Q09</v>
      </c>
      <c r="AK229" s="18" t="str">
        <f t="shared" si="694"/>
        <v>2Q09</v>
      </c>
      <c r="AL229" s="18" t="str">
        <f t="shared" si="694"/>
        <v>3Q09</v>
      </c>
      <c r="AM229" s="18" t="str">
        <f t="shared" si="694"/>
        <v>4Q09</v>
      </c>
      <c r="AN229" s="18" t="str">
        <f t="shared" si="694"/>
        <v>1Q10</v>
      </c>
      <c r="AO229" s="18" t="str">
        <f t="shared" si="694"/>
        <v>2Q10</v>
      </c>
      <c r="AP229" s="18" t="str">
        <f t="shared" si="694"/>
        <v>3Q10</v>
      </c>
      <c r="AQ229" s="18" t="str">
        <f t="shared" si="694"/>
        <v>4Q10</v>
      </c>
      <c r="AR229" s="18" t="str">
        <f t="shared" si="694"/>
        <v>1Q11</v>
      </c>
      <c r="AS229" s="18" t="str">
        <f t="shared" si="694"/>
        <v>2Q11</v>
      </c>
      <c r="AT229" s="18" t="str">
        <f t="shared" si="694"/>
        <v>3Q11</v>
      </c>
      <c r="AU229" s="18" t="str">
        <f t="shared" si="694"/>
        <v>4Q11</v>
      </c>
      <c r="AV229" s="18" t="str">
        <f t="shared" si="694"/>
        <v>1Q12</v>
      </c>
      <c r="AW229" s="18" t="str">
        <f t="shared" si="694"/>
        <v>2Q12</v>
      </c>
      <c r="AX229" s="18" t="str">
        <f t="shared" si="694"/>
        <v>3Q12</v>
      </c>
      <c r="AY229" s="18" t="str">
        <f t="shared" si="694"/>
        <v>4Q12</v>
      </c>
      <c r="AZ229" s="18" t="str">
        <f t="shared" si="694"/>
        <v>1Q13</v>
      </c>
      <c r="BA229" s="18" t="str">
        <f t="shared" si="694"/>
        <v>2Q13</v>
      </c>
      <c r="BB229" s="18" t="str">
        <f t="shared" si="694"/>
        <v>3Q13</v>
      </c>
      <c r="BC229" s="18" t="str">
        <f t="shared" si="694"/>
        <v>4Q13</v>
      </c>
      <c r="BD229" s="18" t="str">
        <f t="shared" si="694"/>
        <v>1Q14</v>
      </c>
      <c r="BE229" s="18" t="str">
        <f t="shared" si="694"/>
        <v>2Q14</v>
      </c>
      <c r="BF229" s="18" t="str">
        <f t="shared" si="694"/>
        <v>3Q14</v>
      </c>
      <c r="BG229" s="18" t="str">
        <f t="shared" si="694"/>
        <v>4Q14</v>
      </c>
      <c r="BH229" s="18" t="str">
        <f t="shared" si="694"/>
        <v>1Q15</v>
      </c>
      <c r="BI229" s="18" t="str">
        <f t="shared" si="694"/>
        <v>2Q15</v>
      </c>
      <c r="BJ229" s="18" t="str">
        <f t="shared" si="694"/>
        <v>3Q15</v>
      </c>
      <c r="BK229" s="18" t="str">
        <f t="shared" si="694"/>
        <v>4Q15</v>
      </c>
      <c r="BL229" s="18" t="str">
        <f t="shared" si="694"/>
        <v>1Q16</v>
      </c>
      <c r="BM229" s="18" t="str">
        <f t="shared" si="694"/>
        <v>2Q16</v>
      </c>
      <c r="BN229" s="18" t="str">
        <f t="shared" si="694"/>
        <v>3Q16</v>
      </c>
      <c r="BO229" s="18" t="str">
        <f t="shared" si="694"/>
        <v>4Q16</v>
      </c>
      <c r="BP229" s="18" t="str">
        <f t="shared" si="694"/>
        <v>1Q17</v>
      </c>
      <c r="BQ229" s="18" t="str">
        <f t="shared" si="694"/>
        <v>2Q17</v>
      </c>
      <c r="BR229" s="18" t="str">
        <f t="shared" si="694"/>
        <v>3Q17</v>
      </c>
      <c r="BS229" s="18" t="str">
        <f t="shared" si="694"/>
        <v>4Q17</v>
      </c>
      <c r="BT229" s="18" t="str">
        <f t="shared" si="694"/>
        <v>1Q18E</v>
      </c>
      <c r="BU229" s="18" t="str">
        <f t="shared" si="694"/>
        <v>2Q18E</v>
      </c>
      <c r="BV229" s="18" t="str">
        <f t="shared" si="694"/>
        <v>3Q18E</v>
      </c>
      <c r="BW229" s="18" t="str">
        <f t="shared" si="694"/>
        <v>4Q18E</v>
      </c>
      <c r="BX229" s="18" t="str">
        <f t="shared" si="694"/>
        <v>1Q19E</v>
      </c>
      <c r="BY229" s="18" t="str">
        <f t="shared" si="694"/>
        <v>2Q19E</v>
      </c>
      <c r="BZ229" s="18" t="str">
        <f t="shared" si="694"/>
        <v>3Q19E</v>
      </c>
      <c r="CA229" s="18" t="str">
        <f t="shared" si="694"/>
        <v>4Q19E</v>
      </c>
      <c r="CB229" s="18" t="str">
        <f t="shared" si="694"/>
        <v>1Q20E</v>
      </c>
      <c r="CC229" s="18" t="str">
        <f t="shared" si="694"/>
        <v>2Q20E</v>
      </c>
      <c r="CD229" s="18" t="str">
        <f t="shared" si="694"/>
        <v>3Q20E</v>
      </c>
      <c r="CE229" s="18" t="str">
        <f t="shared" si="694"/>
        <v>4Q20E</v>
      </c>
      <c r="CF229" s="4"/>
      <c r="CG229" s="4"/>
      <c r="CH229" s="4"/>
      <c r="CI229" s="4"/>
      <c r="CJ229" s="4"/>
      <c r="CK229" s="4"/>
      <c r="CL229" s="4"/>
      <c r="CM229" s="4"/>
      <c r="CN229" s="240">
        <f t="shared" si="629"/>
        <v>222</v>
      </c>
    </row>
    <row r="230" spans="1:92" outlineLevel="1">
      <c r="A230" s="143"/>
      <c r="B230" s="206" t="s">
        <v>109</v>
      </c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4"/>
      <c r="T230" s="4"/>
      <c r="U230" s="4"/>
      <c r="V230" s="4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240">
        <f t="shared" si="629"/>
        <v>223</v>
      </c>
    </row>
    <row r="231" spans="1:92" outlineLevel="1">
      <c r="A231" s="143"/>
      <c r="B231" s="4" t="s">
        <v>41</v>
      </c>
      <c r="C231" s="23">
        <f t="shared" ref="C231:F240" si="695">SUMIF($T$5:$BT$5,C$5,$T231:$BT231)</f>
        <v>110.79400000000001</v>
      </c>
      <c r="D231" s="23">
        <f t="shared" si="695"/>
        <v>87.049000000000007</v>
      </c>
      <c r="E231" s="23">
        <f t="shared" si="695"/>
        <v>83.402999999999992</v>
      </c>
      <c r="F231" s="23">
        <f t="shared" si="695"/>
        <v>-22.744999999999997</v>
      </c>
      <c r="G231" s="23">
        <f t="shared" ref="G231:O240" si="696">SUMIF($T$5:$CF$5,G$5,$T231:$CF231)</f>
        <v>146.74200000000002</v>
      </c>
      <c r="H231" s="23">
        <f t="shared" si="696"/>
        <v>296.38099999999991</v>
      </c>
      <c r="I231" s="23">
        <f t="shared" si="696"/>
        <v>276.71999999999997</v>
      </c>
      <c r="J231" s="23">
        <f t="shared" si="696"/>
        <v>166.89499999999998</v>
      </c>
      <c r="K231" s="23">
        <f t="shared" si="696"/>
        <v>245.19300000000001</v>
      </c>
      <c r="L231" s="23">
        <f t="shared" si="696"/>
        <v>-99.560999999999993</v>
      </c>
      <c r="M231" s="23">
        <f t="shared" si="696"/>
        <v>-141.24600000000001</v>
      </c>
      <c r="N231" s="23">
        <f t="shared" si="696"/>
        <v>162.511</v>
      </c>
      <c r="O231" s="23">
        <f t="shared" si="696"/>
        <v>340.83098806212377</v>
      </c>
      <c r="P231" s="23">
        <f t="shared" ref="P231:Q240" si="697">SUMIF($T$5:$CF$5,P$5,$T231:$CF231)</f>
        <v>424.54966887715818</v>
      </c>
      <c r="Q231" s="23">
        <f t="shared" si="697"/>
        <v>442.1582906712577</v>
      </c>
      <c r="R231" s="23"/>
      <c r="S231" s="23"/>
      <c r="T231" s="23"/>
      <c r="U231" s="23"/>
      <c r="V231" s="23"/>
      <c r="W231" s="23">
        <f t="shared" ref="W231:BB231" si="698">W33</f>
        <v>21.512999999999998</v>
      </c>
      <c r="X231" s="23">
        <f t="shared" si="698"/>
        <v>24.900000000000006</v>
      </c>
      <c r="Y231" s="23">
        <f t="shared" si="698"/>
        <v>27.614000000000001</v>
      </c>
      <c r="Z231" s="23">
        <f t="shared" si="698"/>
        <v>28.770000000000007</v>
      </c>
      <c r="AA231" s="23">
        <f t="shared" si="698"/>
        <v>29.509999999999994</v>
      </c>
      <c r="AB231" s="23">
        <f t="shared" si="698"/>
        <v>28.045000000000002</v>
      </c>
      <c r="AC231" s="23">
        <f t="shared" si="698"/>
        <v>23.814999999999998</v>
      </c>
      <c r="AD231" s="23">
        <f t="shared" si="698"/>
        <v>14.892999999999997</v>
      </c>
      <c r="AE231" s="23">
        <f t="shared" si="698"/>
        <v>20.296000000000006</v>
      </c>
      <c r="AF231" s="23">
        <f t="shared" si="698"/>
        <v>14.757</v>
      </c>
      <c r="AG231" s="23">
        <f t="shared" si="698"/>
        <v>22.457999999999995</v>
      </c>
      <c r="AH231" s="23">
        <f t="shared" si="698"/>
        <v>25.779999999999994</v>
      </c>
      <c r="AI231" s="23">
        <f t="shared" si="698"/>
        <v>20.408000000000001</v>
      </c>
      <c r="AJ231" s="23">
        <f t="shared" si="698"/>
        <v>4.4660000000000002</v>
      </c>
      <c r="AK231" s="23">
        <f t="shared" si="698"/>
        <v>-11.623999999999999</v>
      </c>
      <c r="AL231" s="23">
        <f t="shared" si="698"/>
        <v>-10.384999999999998</v>
      </c>
      <c r="AM231" s="23">
        <f t="shared" si="698"/>
        <v>-5.202</v>
      </c>
      <c r="AN231" s="23">
        <f t="shared" si="698"/>
        <v>13.4</v>
      </c>
      <c r="AO231" s="23">
        <f t="shared" si="698"/>
        <v>31.602000000000007</v>
      </c>
      <c r="AP231" s="23">
        <f t="shared" si="698"/>
        <v>46.269000000000005</v>
      </c>
      <c r="AQ231" s="23">
        <f t="shared" si="698"/>
        <v>55.470999999999997</v>
      </c>
      <c r="AR231" s="23">
        <f t="shared" si="698"/>
        <v>65.524000000000001</v>
      </c>
      <c r="AS231" s="23">
        <f t="shared" si="698"/>
        <v>73.164999999999992</v>
      </c>
      <c r="AT231" s="23">
        <f t="shared" si="698"/>
        <v>83.110999999999962</v>
      </c>
      <c r="AU231" s="23">
        <f t="shared" si="698"/>
        <v>74.580999999999975</v>
      </c>
      <c r="AV231" s="23">
        <f t="shared" si="698"/>
        <v>82.159000000000006</v>
      </c>
      <c r="AW231" s="23">
        <f t="shared" si="698"/>
        <v>73.139999999999986</v>
      </c>
      <c r="AX231" s="23">
        <f t="shared" si="698"/>
        <v>66.039999999999992</v>
      </c>
      <c r="AY231" s="23">
        <f t="shared" si="698"/>
        <v>55.381</v>
      </c>
      <c r="AZ231" s="23">
        <f t="shared" si="698"/>
        <v>35.076000000000001</v>
      </c>
      <c r="BA231" s="23">
        <f t="shared" si="698"/>
        <v>40.416000000000011</v>
      </c>
      <c r="BB231" s="23">
        <f t="shared" si="698"/>
        <v>53.760000000000005</v>
      </c>
      <c r="BC231" s="23">
        <f t="shared" ref="BC231:CE231" si="699">BC33</f>
        <v>37.642999999999986</v>
      </c>
      <c r="BD231" s="23">
        <f t="shared" si="699"/>
        <v>39.387999999999998</v>
      </c>
      <c r="BE231" s="23">
        <f t="shared" si="699"/>
        <v>63.283000000000001</v>
      </c>
      <c r="BF231" s="23">
        <f t="shared" si="699"/>
        <v>64.885000000000019</v>
      </c>
      <c r="BG231" s="23">
        <f t="shared" si="699"/>
        <v>77.637</v>
      </c>
      <c r="BH231" s="23">
        <f t="shared" si="699"/>
        <v>7.5480000000000009</v>
      </c>
      <c r="BI231" s="23">
        <f t="shared" si="699"/>
        <v>-34.054999999999993</v>
      </c>
      <c r="BJ231" s="23">
        <f t="shared" si="699"/>
        <v>-35.173000000000002</v>
      </c>
      <c r="BK231" s="23">
        <f t="shared" si="699"/>
        <v>-37.881</v>
      </c>
      <c r="BL231" s="23">
        <f t="shared" si="699"/>
        <v>-32.511000000000017</v>
      </c>
      <c r="BM231" s="23">
        <f t="shared" si="699"/>
        <v>-48.685999999999993</v>
      </c>
      <c r="BN231" s="23">
        <f t="shared" si="699"/>
        <v>-38.942000000000007</v>
      </c>
      <c r="BO231" s="23">
        <f t="shared" si="699"/>
        <v>-21.107000000000006</v>
      </c>
      <c r="BP231" s="23">
        <f t="shared" si="699"/>
        <v>3.6339999999999999</v>
      </c>
      <c r="BQ231" s="23">
        <f t="shared" si="699"/>
        <v>43.839999999999996</v>
      </c>
      <c r="BR231" s="23">
        <f t="shared" si="699"/>
        <v>57.334000000000003</v>
      </c>
      <c r="BS231" s="23">
        <f t="shared" si="699"/>
        <v>57.703000000000003</v>
      </c>
      <c r="BT231" s="23">
        <f t="shared" si="699"/>
        <v>59.6599780434954</v>
      </c>
      <c r="BU231" s="23">
        <f t="shared" si="699"/>
        <v>85.502980523430978</v>
      </c>
      <c r="BV231" s="23">
        <f t="shared" si="699"/>
        <v>94.446862319208364</v>
      </c>
      <c r="BW231" s="23">
        <f t="shared" si="699"/>
        <v>101.22116717598905</v>
      </c>
      <c r="BX231" s="23">
        <f t="shared" si="699"/>
        <v>102.23917694702816</v>
      </c>
      <c r="BY231" s="23">
        <f t="shared" si="699"/>
        <v>102.91105209260559</v>
      </c>
      <c r="BZ231" s="23">
        <f t="shared" si="699"/>
        <v>108.33698402991983</v>
      </c>
      <c r="CA231" s="23">
        <f t="shared" si="699"/>
        <v>111.06245580760458</v>
      </c>
      <c r="CB231" s="23">
        <f t="shared" si="699"/>
        <v>109.34639419580517</v>
      </c>
      <c r="CC231" s="23">
        <f t="shared" si="699"/>
        <v>109.89487503218993</v>
      </c>
      <c r="CD231" s="23">
        <f t="shared" si="699"/>
        <v>110.8716103140975</v>
      </c>
      <c r="CE231" s="23">
        <f t="shared" si="699"/>
        <v>112.04541112916506</v>
      </c>
      <c r="CF231" s="4"/>
      <c r="CG231" s="4"/>
      <c r="CH231" s="4"/>
      <c r="CI231" s="4"/>
      <c r="CJ231" s="4"/>
      <c r="CK231" s="4"/>
      <c r="CL231" s="4"/>
      <c r="CM231" s="4"/>
      <c r="CN231" s="240">
        <f t="shared" si="629"/>
        <v>224</v>
      </c>
    </row>
    <row r="232" spans="1:92" outlineLevel="1">
      <c r="A232" s="143"/>
      <c r="B232" s="4" t="s">
        <v>52</v>
      </c>
      <c r="C232" s="23">
        <f t="shared" si="695"/>
        <v>46.710999999999999</v>
      </c>
      <c r="D232" s="23">
        <f t="shared" si="695"/>
        <v>78.506</v>
      </c>
      <c r="E232" s="23">
        <f t="shared" si="695"/>
        <v>118.40300000000001</v>
      </c>
      <c r="F232" s="23">
        <f t="shared" si="695"/>
        <v>130.58000000000001</v>
      </c>
      <c r="G232" s="23">
        <f t="shared" si="696"/>
        <v>133.36000000000001</v>
      </c>
      <c r="H232" s="23">
        <f t="shared" si="696"/>
        <v>177.38200000000001</v>
      </c>
      <c r="I232" s="23">
        <f t="shared" si="696"/>
        <v>214.80199999999999</v>
      </c>
      <c r="J232" s="23">
        <f t="shared" si="696"/>
        <v>213.12799999999999</v>
      </c>
      <c r="K232" s="23">
        <f t="shared" si="696"/>
        <v>230.81300000000002</v>
      </c>
      <c r="L232" s="23">
        <f t="shared" si="696"/>
        <v>272.55599999999998</v>
      </c>
      <c r="M232" s="23">
        <f t="shared" si="696"/>
        <v>217.25799999999998</v>
      </c>
      <c r="N232" s="23">
        <f t="shared" si="696"/>
        <v>163.53699999999998</v>
      </c>
      <c r="O232" s="23">
        <f t="shared" si="696"/>
        <v>171.48822321481941</v>
      </c>
      <c r="P232" s="23">
        <f t="shared" si="697"/>
        <v>192.28704856272643</v>
      </c>
      <c r="Q232" s="23">
        <f t="shared" si="697"/>
        <v>244.46131178354906</v>
      </c>
      <c r="R232" s="23"/>
      <c r="S232" s="23"/>
      <c r="T232" s="23"/>
      <c r="U232" s="23"/>
      <c r="V232" s="23"/>
      <c r="W232" s="23">
        <f t="shared" ref="W232:BG232" si="700">-W59</f>
        <v>10.379</v>
      </c>
      <c r="X232" s="23">
        <f t="shared" si="700"/>
        <v>10.705</v>
      </c>
      <c r="Y232" s="23">
        <f t="shared" si="700"/>
        <v>11.597</v>
      </c>
      <c r="Z232" s="23">
        <f t="shared" si="700"/>
        <v>11.571999999999999</v>
      </c>
      <c r="AA232" s="23">
        <f t="shared" si="700"/>
        <v>12.837</v>
      </c>
      <c r="AB232" s="23">
        <f t="shared" si="700"/>
        <v>15.263</v>
      </c>
      <c r="AC232" s="23">
        <f t="shared" si="700"/>
        <v>18.695</v>
      </c>
      <c r="AD232" s="23">
        <f t="shared" si="700"/>
        <v>20.846</v>
      </c>
      <c r="AE232" s="23">
        <f t="shared" si="700"/>
        <v>23.702000000000002</v>
      </c>
      <c r="AF232" s="23">
        <f t="shared" si="700"/>
        <v>27.326000000000001</v>
      </c>
      <c r="AG232" s="23">
        <f t="shared" si="700"/>
        <v>29.177</v>
      </c>
      <c r="AH232" s="23">
        <f t="shared" si="700"/>
        <v>30.445</v>
      </c>
      <c r="AI232" s="23">
        <f t="shared" si="700"/>
        <v>31.454999999999998</v>
      </c>
      <c r="AJ232" s="23">
        <f t="shared" si="700"/>
        <v>32.020000000000003</v>
      </c>
      <c r="AK232" s="23">
        <f t="shared" si="700"/>
        <v>32.375999999999998</v>
      </c>
      <c r="AL232" s="23">
        <f t="shared" si="700"/>
        <v>33.289000000000001</v>
      </c>
      <c r="AM232" s="23">
        <f t="shared" si="700"/>
        <v>32.895000000000003</v>
      </c>
      <c r="AN232" s="23">
        <f t="shared" si="700"/>
        <v>32.261000000000003</v>
      </c>
      <c r="AO232" s="23">
        <f t="shared" si="700"/>
        <v>33.384</v>
      </c>
      <c r="AP232" s="23">
        <f t="shared" si="700"/>
        <v>33.091000000000001</v>
      </c>
      <c r="AQ232" s="23">
        <f t="shared" si="700"/>
        <v>34.624000000000002</v>
      </c>
      <c r="AR232" s="23">
        <f t="shared" si="700"/>
        <v>39.536999999999999</v>
      </c>
      <c r="AS232" s="23">
        <f t="shared" si="700"/>
        <v>44.893000000000001</v>
      </c>
      <c r="AT232" s="23">
        <f t="shared" si="700"/>
        <v>46.475999999999999</v>
      </c>
      <c r="AU232" s="23">
        <f t="shared" si="700"/>
        <v>46.475999999999999</v>
      </c>
      <c r="AV232" s="23">
        <f t="shared" si="700"/>
        <v>51.604999999999997</v>
      </c>
      <c r="AW232" s="23">
        <f t="shared" si="700"/>
        <v>53.95</v>
      </c>
      <c r="AX232" s="23">
        <f t="shared" si="700"/>
        <v>53.95</v>
      </c>
      <c r="AY232" s="23">
        <f t="shared" si="700"/>
        <v>55.296999999999997</v>
      </c>
      <c r="AZ232" s="23">
        <f t="shared" si="700"/>
        <v>52.820999999999998</v>
      </c>
      <c r="BA232" s="23">
        <f t="shared" si="700"/>
        <v>52.767000000000003</v>
      </c>
      <c r="BB232" s="23">
        <f t="shared" si="700"/>
        <v>53.210999999999999</v>
      </c>
      <c r="BC232" s="23">
        <f t="shared" si="700"/>
        <v>54.329000000000001</v>
      </c>
      <c r="BD232" s="23">
        <f t="shared" si="700"/>
        <v>55.505000000000003</v>
      </c>
      <c r="BE232" s="23">
        <f t="shared" si="700"/>
        <v>56.517000000000003</v>
      </c>
      <c r="BF232" s="23">
        <f t="shared" si="700"/>
        <v>57.219000000000001</v>
      </c>
      <c r="BG232" s="23">
        <f t="shared" si="700"/>
        <v>61.572000000000003</v>
      </c>
      <c r="BH232" s="23">
        <v>67.555000000000007</v>
      </c>
      <c r="BI232" s="23">
        <f t="shared" ref="BI232:CE232" si="701">-BI59</f>
        <v>69.801000000000002</v>
      </c>
      <c r="BJ232" s="23">
        <f t="shared" si="701"/>
        <v>69.046999999999997</v>
      </c>
      <c r="BK232" s="23">
        <f t="shared" si="701"/>
        <v>66.153000000000006</v>
      </c>
      <c r="BL232" s="23">
        <f t="shared" si="701"/>
        <v>60.636000000000003</v>
      </c>
      <c r="BM232" s="23">
        <f t="shared" si="701"/>
        <v>56.28</v>
      </c>
      <c r="BN232" s="23">
        <f t="shared" si="701"/>
        <v>51.975000000000001</v>
      </c>
      <c r="BO232" s="23">
        <f t="shared" si="701"/>
        <v>48.366999999999997</v>
      </c>
      <c r="BP232" s="23">
        <f t="shared" si="701"/>
        <v>44.662999999999997</v>
      </c>
      <c r="BQ232" s="23">
        <f t="shared" si="701"/>
        <v>41.262999999999998</v>
      </c>
      <c r="BR232" s="23">
        <f t="shared" si="701"/>
        <v>39.587000000000003</v>
      </c>
      <c r="BS232" s="23">
        <f t="shared" si="701"/>
        <v>38.024000000000001</v>
      </c>
      <c r="BT232" s="23">
        <f t="shared" si="701"/>
        <v>37.961234087913972</v>
      </c>
      <c r="BU232" s="23">
        <f t="shared" si="701"/>
        <v>41.991636472289443</v>
      </c>
      <c r="BV232" s="23">
        <f t="shared" si="701"/>
        <v>45.724288581706638</v>
      </c>
      <c r="BW232" s="23">
        <f t="shared" si="701"/>
        <v>45.81106407290936</v>
      </c>
      <c r="BX232" s="23">
        <f t="shared" si="701"/>
        <v>45.937317271275063</v>
      </c>
      <c r="BY232" s="23">
        <f t="shared" si="701"/>
        <v>46.052774288238581</v>
      </c>
      <c r="BZ232" s="23">
        <f t="shared" si="701"/>
        <v>46.158358328394947</v>
      </c>
      <c r="CA232" s="23">
        <f t="shared" si="701"/>
        <v>54.13859867481785</v>
      </c>
      <c r="CB232" s="23">
        <f t="shared" si="701"/>
        <v>61.811616099263233</v>
      </c>
      <c r="CC232" s="23">
        <f t="shared" si="701"/>
        <v>61.319996868120519</v>
      </c>
      <c r="CD232" s="23">
        <f t="shared" si="701"/>
        <v>60.870417050386109</v>
      </c>
      <c r="CE232" s="23">
        <f t="shared" si="701"/>
        <v>60.459281765779188</v>
      </c>
      <c r="CF232" s="4"/>
      <c r="CG232" s="4"/>
      <c r="CH232" s="4"/>
      <c r="CI232" s="4"/>
      <c r="CJ232" s="4"/>
      <c r="CK232" s="4"/>
      <c r="CL232" s="4"/>
      <c r="CM232" s="4"/>
      <c r="CN232" s="240">
        <f t="shared" si="629"/>
        <v>225</v>
      </c>
    </row>
    <row r="233" spans="1:92" outlineLevel="1">
      <c r="A233" s="143"/>
      <c r="B233" s="4" t="s">
        <v>111</v>
      </c>
      <c r="C233" s="23">
        <f t="shared" si="695"/>
        <v>2.8170000000000002</v>
      </c>
      <c r="D233" s="23">
        <f t="shared" si="695"/>
        <v>15.738000000000001</v>
      </c>
      <c r="E233" s="23">
        <f t="shared" si="695"/>
        <v>27.199000000000002</v>
      </c>
      <c r="F233" s="23">
        <f t="shared" si="695"/>
        <v>1.669</v>
      </c>
      <c r="G233" s="23">
        <f t="shared" si="696"/>
        <v>22.262</v>
      </c>
      <c r="H233" s="23">
        <f t="shared" si="696"/>
        <v>77.073999999999998</v>
      </c>
      <c r="I233" s="23">
        <f t="shared" si="696"/>
        <v>4.8209999999999997</v>
      </c>
      <c r="J233" s="23">
        <f t="shared" si="696"/>
        <v>-13.06</v>
      </c>
      <c r="K233" s="23">
        <f t="shared" si="696"/>
        <v>12.353999999999999</v>
      </c>
      <c r="L233" s="23">
        <f t="shared" si="696"/>
        <v>-33.030999999999992</v>
      </c>
      <c r="M233" s="23">
        <f t="shared" si="696"/>
        <v>-34.209000000000003</v>
      </c>
      <c r="N233" s="23">
        <f t="shared" si="696"/>
        <v>-42.609000000000002</v>
      </c>
      <c r="O233" s="23">
        <f t="shared" si="696"/>
        <v>0</v>
      </c>
      <c r="P233" s="23">
        <f t="shared" si="697"/>
        <v>0</v>
      </c>
      <c r="Q233" s="23">
        <f t="shared" si="697"/>
        <v>0</v>
      </c>
      <c r="R233" s="23"/>
      <c r="S233" s="23"/>
      <c r="T233" s="23"/>
      <c r="U233" s="23"/>
      <c r="V233" s="23"/>
      <c r="W233" s="194">
        <v>1.0049999999999999</v>
      </c>
      <c r="X233" s="194">
        <v>0.115</v>
      </c>
      <c r="Y233" s="194">
        <v>0.13600000000000001</v>
      </c>
      <c r="Z233" s="194">
        <v>-0.249</v>
      </c>
      <c r="AA233" s="194">
        <v>2.8149999999999999</v>
      </c>
      <c r="AB233" s="194">
        <v>2.0550000000000002</v>
      </c>
      <c r="AC233" s="194">
        <v>-2.5710000000000002</v>
      </c>
      <c r="AD233" s="194">
        <v>4.4540000000000006</v>
      </c>
      <c r="AE233" s="194">
        <v>11.8</v>
      </c>
      <c r="AF233" s="194">
        <v>0.58599999999999997</v>
      </c>
      <c r="AG233" s="194">
        <v>0.20700000000000007</v>
      </c>
      <c r="AH233" s="194">
        <v>16.632000000000001</v>
      </c>
      <c r="AI233" s="194">
        <v>9.7740000000000009</v>
      </c>
      <c r="AJ233" s="194">
        <v>-0.50599999999999934</v>
      </c>
      <c r="AK233" s="194">
        <v>-2.7940000000000023</v>
      </c>
      <c r="AL233" s="194">
        <v>8.1110000000000007</v>
      </c>
      <c r="AM233" s="194">
        <v>-3.141999999999999</v>
      </c>
      <c r="AN233" s="194">
        <v>-3.6459999999999999</v>
      </c>
      <c r="AO233" s="194">
        <f>-9.424-AN233</f>
        <v>-5.7779999999999996</v>
      </c>
      <c r="AP233" s="194">
        <f>-5.447-AO233-AN233</f>
        <v>3.9769999999999994</v>
      </c>
      <c r="AQ233" s="194">
        <f>22.262-SUM(AN233:AP233)</f>
        <v>27.709</v>
      </c>
      <c r="AR233" s="194">
        <v>-2.21</v>
      </c>
      <c r="AS233" s="194">
        <f>7.996-AR233</f>
        <v>10.206</v>
      </c>
      <c r="AT233" s="194">
        <f>57.587-AS233-AR233</f>
        <v>49.591000000000001</v>
      </c>
      <c r="AU233" s="194">
        <f>77.074-AT233-AS233-AR233</f>
        <v>19.486999999999998</v>
      </c>
      <c r="AV233" s="194">
        <v>-11.29</v>
      </c>
      <c r="AW233" s="194">
        <f>6.931-AV233</f>
        <v>18.221</v>
      </c>
      <c r="AX233" s="194">
        <f>7.294-AW233-AV233</f>
        <v>0.36299999999999955</v>
      </c>
      <c r="AY233" s="194">
        <f>4.821-AX233-AW233-AV233</f>
        <v>-2.4730000000000008</v>
      </c>
      <c r="AZ233" s="194">
        <v>-5.0090000000000003</v>
      </c>
      <c r="BA233" s="194">
        <f>-15.635-AZ233</f>
        <v>-10.625999999999999</v>
      </c>
      <c r="BB233" s="194">
        <f>-10.579-BA233-AZ233</f>
        <v>5.0559999999999992</v>
      </c>
      <c r="BC233" s="194">
        <f>-13.06-BB233-BA233-AZ233</f>
        <v>-2.4809999999999999</v>
      </c>
      <c r="BD233" s="194">
        <f>-10.192</f>
        <v>-10.192</v>
      </c>
      <c r="BE233" s="194">
        <f>-23.255-BD233</f>
        <v>-13.062999999999999</v>
      </c>
      <c r="BF233" s="194">
        <f>-35.508-BE233-BD233</f>
        <v>-12.253000000000004</v>
      </c>
      <c r="BG233" s="194">
        <f>12.354-BF233-BE233-BD233</f>
        <v>47.862000000000002</v>
      </c>
      <c r="BH233" s="194">
        <v>-18.413</v>
      </c>
      <c r="BI233" s="194">
        <f>-26.802-BH233</f>
        <v>-8.3889999999999993</v>
      </c>
      <c r="BJ233" s="194">
        <f>-52.038-BI233-BH233</f>
        <v>-25.236000000000001</v>
      </c>
      <c r="BK233" s="194">
        <f>-33.031-BJ233-BI233-BH233</f>
        <v>19.007000000000001</v>
      </c>
      <c r="BL233" s="194">
        <v>-8.423</v>
      </c>
      <c r="BM233" s="194">
        <f>-21.008-BL233</f>
        <v>-12.584999999999999</v>
      </c>
      <c r="BN233" s="194">
        <f>-31.677-BM233-BL233</f>
        <v>-10.668999999999999</v>
      </c>
      <c r="BO233" s="194">
        <f>-34.209-BN233-BM233-BL233</f>
        <v>-2.5320000000000071</v>
      </c>
      <c r="BP233" s="194">
        <v>-11.667</v>
      </c>
      <c r="BQ233" s="194">
        <f>-20.759-BP233</f>
        <v>-9.0920000000000005</v>
      </c>
      <c r="BR233" s="194">
        <f>-28.163-BQ233-BP233</f>
        <v>-7.4039999999999981</v>
      </c>
      <c r="BS233" s="194">
        <f>-42.609-BR233-BQ233-BP233</f>
        <v>-14.446000000000007</v>
      </c>
      <c r="BT233" s="23">
        <f>BS259-BT259+BT275-BS275</f>
        <v>0</v>
      </c>
      <c r="BU233" s="23">
        <f>BT259-BU259+BU275-BT275</f>
        <v>0</v>
      </c>
      <c r="BV233" s="23">
        <f>BU259-BV259+BV275-BU275</f>
        <v>0</v>
      </c>
      <c r="BW233" s="23">
        <f>BV259-BW259+BW275-BV275</f>
        <v>0</v>
      </c>
      <c r="BX233" s="23">
        <f t="shared" ref="BX233:CE233" si="702">BW259-BX259+BX275-BW275</f>
        <v>0</v>
      </c>
      <c r="BY233" s="23">
        <f t="shared" si="702"/>
        <v>0</v>
      </c>
      <c r="BZ233" s="23">
        <f t="shared" si="702"/>
        <v>0</v>
      </c>
      <c r="CA233" s="23">
        <f t="shared" si="702"/>
        <v>0</v>
      </c>
      <c r="CB233" s="23">
        <f t="shared" si="702"/>
        <v>0</v>
      </c>
      <c r="CC233" s="23">
        <f t="shared" si="702"/>
        <v>0</v>
      </c>
      <c r="CD233" s="23">
        <f t="shared" si="702"/>
        <v>0</v>
      </c>
      <c r="CE233" s="23">
        <f t="shared" si="702"/>
        <v>0</v>
      </c>
      <c r="CF233" s="4"/>
      <c r="CG233" s="4"/>
      <c r="CH233" s="4"/>
      <c r="CI233" s="4"/>
      <c r="CJ233" s="4"/>
      <c r="CK233" s="4"/>
      <c r="CL233" s="4"/>
      <c r="CM233" s="4"/>
      <c r="CN233" s="240">
        <f t="shared" si="629"/>
        <v>226</v>
      </c>
    </row>
    <row r="234" spans="1:92" outlineLevel="1">
      <c r="A234" s="143"/>
      <c r="B234" s="4" t="s">
        <v>49</v>
      </c>
      <c r="C234" s="23">
        <f t="shared" si="695"/>
        <v>2.3839999999999999</v>
      </c>
      <c r="D234" s="23">
        <f t="shared" si="695"/>
        <v>3.1890000000000001</v>
      </c>
      <c r="E234" s="23">
        <f t="shared" si="695"/>
        <v>3.7320000000000007</v>
      </c>
      <c r="F234" s="23">
        <f t="shared" si="695"/>
        <v>4.4400000000000004</v>
      </c>
      <c r="G234" s="23">
        <f t="shared" si="696"/>
        <v>4.9089999999999998</v>
      </c>
      <c r="H234" s="23">
        <f t="shared" si="696"/>
        <v>8.0749999999999993</v>
      </c>
      <c r="I234" s="23">
        <f t="shared" si="696"/>
        <v>7.86</v>
      </c>
      <c r="J234" s="23">
        <f t="shared" si="696"/>
        <v>8.1769999999999996</v>
      </c>
      <c r="K234" s="23">
        <f t="shared" si="696"/>
        <v>9.0739999999999998</v>
      </c>
      <c r="L234" s="23">
        <f t="shared" si="696"/>
        <v>9.9600000000000009</v>
      </c>
      <c r="M234" s="23">
        <f t="shared" si="696"/>
        <v>10.218</v>
      </c>
      <c r="N234" s="23">
        <f t="shared" si="696"/>
        <v>11.09</v>
      </c>
      <c r="O234" s="23">
        <f t="shared" si="696"/>
        <v>8.2839999999999971</v>
      </c>
      <c r="P234" s="23">
        <f t="shared" si="697"/>
        <v>8.2839999999999971</v>
      </c>
      <c r="Q234" s="23">
        <f t="shared" si="697"/>
        <v>8.2839999999999971</v>
      </c>
      <c r="R234" s="23"/>
      <c r="S234" s="23"/>
      <c r="T234" s="23"/>
      <c r="U234" s="23"/>
      <c r="V234" s="23"/>
      <c r="W234" s="194">
        <v>0.30499999999999999</v>
      </c>
      <c r="X234" s="194">
        <v>0.7</v>
      </c>
      <c r="Y234" s="194">
        <v>0.77400000000000002</v>
      </c>
      <c r="Z234" s="194">
        <v>0.34200000000000008</v>
      </c>
      <c r="AA234" s="194">
        <v>0.56799999999999984</v>
      </c>
      <c r="AB234" s="194">
        <v>0.73499999999999999</v>
      </c>
      <c r="AC234" s="194">
        <v>0.83700000000000008</v>
      </c>
      <c r="AD234" s="194">
        <v>0.82899999999999974</v>
      </c>
      <c r="AE234" s="194">
        <v>0.78800000000000026</v>
      </c>
      <c r="AF234" s="194">
        <v>0.88900000000000001</v>
      </c>
      <c r="AG234" s="194">
        <v>0.92</v>
      </c>
      <c r="AH234" s="194">
        <v>0.91900000000000026</v>
      </c>
      <c r="AI234" s="194">
        <v>1.004</v>
      </c>
      <c r="AJ234" s="194">
        <v>1.004</v>
      </c>
      <c r="AK234" s="194">
        <v>1.004</v>
      </c>
      <c r="AL234" s="194">
        <v>1.004</v>
      </c>
      <c r="AM234" s="194">
        <v>1.4280000000000004</v>
      </c>
      <c r="AN234" s="194">
        <v>1.2410000000000001</v>
      </c>
      <c r="AO234" s="194">
        <f>2.642-AN234</f>
        <v>1.4009999999999998</v>
      </c>
      <c r="AP234" s="194">
        <f>3.862-AO234-AN234</f>
        <v>1.2200000000000002</v>
      </c>
      <c r="AQ234" s="194">
        <f>4.909-AP234-AO234-AN234</f>
        <v>1.0469999999999997</v>
      </c>
      <c r="AR234" s="194">
        <v>2.2149999999999999</v>
      </c>
      <c r="AS234" s="194">
        <f>3.821-AR234</f>
        <v>1.6060000000000003</v>
      </c>
      <c r="AT234" s="194">
        <f>5.423-AS234-AR234</f>
        <v>1.6019999999999999</v>
      </c>
      <c r="AU234" s="194">
        <f>8.075-AT234-AS234-AR234</f>
        <v>2.6519999999999992</v>
      </c>
      <c r="AV234" s="194">
        <v>1.901</v>
      </c>
      <c r="AW234" s="194">
        <f>3.902-AV234</f>
        <v>2.0010000000000003</v>
      </c>
      <c r="AX234" s="194">
        <f>5.904-AW234-AV234</f>
        <v>2.0019999999999998</v>
      </c>
      <c r="AY234" s="194">
        <f>7.86-AX234-AW234-AV234</f>
        <v>1.9560000000000002</v>
      </c>
      <c r="AZ234" s="194">
        <v>2.105</v>
      </c>
      <c r="BA234" s="194">
        <f>4.251-AZ234</f>
        <v>2.1460000000000004</v>
      </c>
      <c r="BB234" s="194">
        <f>6.397-BA234-AZ234</f>
        <v>2.1459999999999995</v>
      </c>
      <c r="BC234" s="194">
        <f>8.177-BB234-BA234-AZ234</f>
        <v>1.7800000000000002</v>
      </c>
      <c r="BD234" s="194">
        <f>2.32</f>
        <v>2.3199999999999998</v>
      </c>
      <c r="BE234" s="194">
        <f>4.717-BD234</f>
        <v>2.3969999999999998</v>
      </c>
      <c r="BF234" s="194">
        <f>7.115-BE234-BD234</f>
        <v>2.3980000000000001</v>
      </c>
      <c r="BG234" s="194">
        <f>9.074-BF234-BE234-BD234</f>
        <v>1.9590000000000001</v>
      </c>
      <c r="BH234" s="194">
        <v>2.5230000000000001</v>
      </c>
      <c r="BI234" s="194">
        <f>5.109-BH234</f>
        <v>2.5859999999999999</v>
      </c>
      <c r="BJ234" s="194">
        <f>7.695-BI234-BH234</f>
        <v>2.5859999999999999</v>
      </c>
      <c r="BK234" s="194">
        <f>9.96-BJ234-BI234-BH234</f>
        <v>2.2650000000000001</v>
      </c>
      <c r="BL234" s="194">
        <v>2.66</v>
      </c>
      <c r="BM234" s="194">
        <f>5.362-BL234</f>
        <v>2.702</v>
      </c>
      <c r="BN234" s="194">
        <f>8.065-BM234-BL234</f>
        <v>2.7029999999999994</v>
      </c>
      <c r="BO234" s="194">
        <f>10.218-BN234-BM234-BL234</f>
        <v>2.1530000000000005</v>
      </c>
      <c r="BP234" s="194">
        <v>2.6869999999999998</v>
      </c>
      <c r="BQ234" s="194">
        <f>6.012-BP234</f>
        <v>3.3249999999999997</v>
      </c>
      <c r="BR234" s="194">
        <f>9.019-BQ234-BP234</f>
        <v>3.007000000000001</v>
      </c>
      <c r="BS234" s="194">
        <f>11.09-BR234-BQ234-BP234</f>
        <v>2.0709999999999993</v>
      </c>
      <c r="BT234" s="111">
        <f>BS234</f>
        <v>2.0709999999999993</v>
      </c>
      <c r="BU234" s="111">
        <f>BT234</f>
        <v>2.0709999999999993</v>
      </c>
      <c r="BV234" s="111">
        <f>BU234</f>
        <v>2.0709999999999993</v>
      </c>
      <c r="BW234" s="111">
        <f>BV234</f>
        <v>2.0709999999999993</v>
      </c>
      <c r="BX234" s="111">
        <f t="shared" ref="BX234:CE234" si="703">BW234</f>
        <v>2.0709999999999993</v>
      </c>
      <c r="BY234" s="111">
        <f t="shared" si="703"/>
        <v>2.0709999999999993</v>
      </c>
      <c r="BZ234" s="111">
        <f t="shared" si="703"/>
        <v>2.0709999999999993</v>
      </c>
      <c r="CA234" s="111">
        <f t="shared" si="703"/>
        <v>2.0709999999999993</v>
      </c>
      <c r="CB234" s="111">
        <f t="shared" si="703"/>
        <v>2.0709999999999993</v>
      </c>
      <c r="CC234" s="111">
        <f t="shared" si="703"/>
        <v>2.0709999999999993</v>
      </c>
      <c r="CD234" s="111">
        <f t="shared" si="703"/>
        <v>2.0709999999999993</v>
      </c>
      <c r="CE234" s="111">
        <f t="shared" si="703"/>
        <v>2.0709999999999993</v>
      </c>
      <c r="CF234" s="207"/>
      <c r="CG234" s="4"/>
      <c r="CH234" s="4"/>
      <c r="CI234" s="4"/>
      <c r="CJ234" s="4"/>
      <c r="CK234" s="4"/>
      <c r="CL234" s="4"/>
      <c r="CM234" s="4"/>
      <c r="CN234" s="240">
        <f t="shared" si="629"/>
        <v>227</v>
      </c>
    </row>
    <row r="235" spans="1:92" outlineLevel="1">
      <c r="A235" s="143"/>
      <c r="B235" s="4" t="s">
        <v>50</v>
      </c>
      <c r="C235" s="23">
        <f t="shared" si="695"/>
        <v>-7.3689999999999998</v>
      </c>
      <c r="D235" s="23">
        <f t="shared" si="695"/>
        <v>-7.3749999999999991</v>
      </c>
      <c r="E235" s="23">
        <f t="shared" si="695"/>
        <v>-7.3750000000000009</v>
      </c>
      <c r="F235" s="23">
        <f t="shared" si="695"/>
        <v>-0.43800000000000061</v>
      </c>
      <c r="G235" s="23">
        <f t="shared" si="696"/>
        <v>-2.379</v>
      </c>
      <c r="H235" s="23">
        <f t="shared" si="696"/>
        <v>0.45999999999999996</v>
      </c>
      <c r="I235" s="23">
        <f t="shared" si="696"/>
        <v>-4.1720000000000077</v>
      </c>
      <c r="J235" s="23">
        <f t="shared" si="696"/>
        <v>6.1930000000000005</v>
      </c>
      <c r="K235" s="23">
        <f t="shared" si="696"/>
        <v>11.135999999999999</v>
      </c>
      <c r="L235" s="23">
        <f t="shared" si="696"/>
        <v>5.0069999999999997</v>
      </c>
      <c r="M235" s="23">
        <f t="shared" si="696"/>
        <v>-8.3469999999999995</v>
      </c>
      <c r="N235" s="23">
        <f t="shared" si="696"/>
        <v>-4.53</v>
      </c>
      <c r="O235" s="23">
        <f t="shared" si="696"/>
        <v>0</v>
      </c>
      <c r="P235" s="23">
        <f t="shared" si="697"/>
        <v>0</v>
      </c>
      <c r="Q235" s="23">
        <f t="shared" si="697"/>
        <v>0</v>
      </c>
      <c r="R235" s="23"/>
      <c r="S235" s="23"/>
      <c r="T235" s="23"/>
      <c r="U235" s="23"/>
      <c r="V235" s="23"/>
      <c r="W235" s="194">
        <v>-2.3000000000000742E-2</v>
      </c>
      <c r="X235" s="194">
        <v>-1.7130000000000001</v>
      </c>
      <c r="Y235" s="194">
        <v>-2.3629999999999995</v>
      </c>
      <c r="Z235" s="194">
        <v>-1.4270000000000005</v>
      </c>
      <c r="AA235" s="194">
        <f>-1.881+0.015</f>
        <v>-1.8660000000000001</v>
      </c>
      <c r="AB235" s="194">
        <v>-2.2439999999999998</v>
      </c>
      <c r="AC235" s="194">
        <f>-1.908</f>
        <v>-1.9079999999999999</v>
      </c>
      <c r="AD235" s="194">
        <f>-1.43</f>
        <v>-1.43</v>
      </c>
      <c r="AE235" s="194">
        <v>-1.7929999999999999</v>
      </c>
      <c r="AF235" s="194">
        <f>-1.975</f>
        <v>-1.9750000000000001</v>
      </c>
      <c r="AG235" s="194">
        <f>-1.873</f>
        <v>-1.873</v>
      </c>
      <c r="AH235" s="194">
        <v>-2.0930000000000004</v>
      </c>
      <c r="AI235" s="194">
        <f>-1.475+0.041</f>
        <v>-1.4340000000000002</v>
      </c>
      <c r="AJ235" s="194">
        <v>-3.3059999999999996</v>
      </c>
      <c r="AK235" s="194">
        <v>-7.800000000000179E-2</v>
      </c>
      <c r="AL235" s="194">
        <v>0.15500000000000203</v>
      </c>
      <c r="AM235" s="194">
        <v>2.7909999999999986</v>
      </c>
      <c r="AN235" s="194">
        <v>6.5000000000000058E-2</v>
      </c>
      <c r="AO235" s="194">
        <f>-0.596-AN235</f>
        <v>-0.66100000000000003</v>
      </c>
      <c r="AP235" s="194">
        <f>-0.642-1.574-AO235-AN235</f>
        <v>-1.62</v>
      </c>
      <c r="AQ235" s="194">
        <f>-3.758-0.651-AP235-AO235-AN235+1.628-0.108-0.92+1.43</f>
        <v>-0.16299999999999981</v>
      </c>
      <c r="AR235" s="194">
        <f>-1.411-2.278+0.417-0.193-0.157-0.737</f>
        <v>-4.359</v>
      </c>
      <c r="AS235" s="194">
        <f>-1.489-3.419+0.77+0.7+0.04-0.13-AR235</f>
        <v>0.83100000000000041</v>
      </c>
      <c r="AT235" s="194">
        <f>0.382+0.4+0.576+0.478+1.249+0.511+0.294+1.032-AS235-AR235</f>
        <v>8.4499999999999993</v>
      </c>
      <c r="AU235" s="194">
        <f>3.831-3.371-AT235-AS235-AR235</f>
        <v>-4.4619999999999997</v>
      </c>
      <c r="AV235" s="194">
        <f>1.404-2.067</f>
        <v>-0.66300000000000026</v>
      </c>
      <c r="AW235" s="194">
        <f>3.308-2.172-AV235</f>
        <v>1.7989999999999999</v>
      </c>
      <c r="AX235" s="194">
        <f>AX241-SUM(AX231:AX234,AX237:AX240)</f>
        <v>-1.4300000000000068</v>
      </c>
      <c r="AY235" s="194">
        <f>AY241-SUM(AY231:AY234,AY237:AY240)</f>
        <v>-3.8780000000000001</v>
      </c>
      <c r="AZ235" s="194">
        <f>2.64-3.232</f>
        <v>-0.59200000000000008</v>
      </c>
      <c r="BA235" s="194">
        <f>4.397-3.197-AZ235</f>
        <v>1.7920000000000003</v>
      </c>
      <c r="BB235" s="194">
        <f>5.665-3.157-BA235-AZ235</f>
        <v>1.3079999999999998</v>
      </c>
      <c r="BC235" s="194">
        <f>9.371-3.178-BB235-BA235-AZ235</f>
        <v>3.6850000000000005</v>
      </c>
      <c r="BD235" s="194">
        <f>-4.455+2.232</f>
        <v>-2.2229999999999999</v>
      </c>
      <c r="BE235" s="194">
        <f>3.637-4.416-BD235</f>
        <v>1.4439999999999995</v>
      </c>
      <c r="BF235" s="194">
        <f>-4.378+11.321-BE235-BD235</f>
        <v>7.7220000000000004</v>
      </c>
      <c r="BG235" s="194">
        <f>-4.336+15.472-BF235-BE235-BD235</f>
        <v>4.1929999999999996</v>
      </c>
      <c r="BH235" s="194">
        <f>-0.958-1.46</f>
        <v>-2.4180000000000001</v>
      </c>
      <c r="BI235" s="194">
        <f>-1.41-2.676-BH235</f>
        <v>-1.6680000000000001</v>
      </c>
      <c r="BJ235" s="194">
        <f>-1.41+1.115-BI235-BH235</f>
        <v>3.7910000000000004</v>
      </c>
      <c r="BK235" s="194">
        <f>-1.41+6.417-BJ235-BI235-BH235</f>
        <v>5.3019999999999996</v>
      </c>
      <c r="BL235" s="194">
        <f>-1.256-0.403</f>
        <v>-1.659</v>
      </c>
      <c r="BM235" s="194">
        <f>-2.771-0.285-BL235</f>
        <v>-1.397</v>
      </c>
      <c r="BN235" s="194">
        <f>-3.919-0.36-BM235-BL235</f>
        <v>-1.2229999999999996</v>
      </c>
      <c r="BO235" s="194">
        <f>-7.92-0.427-BN235-BM235-BL235</f>
        <v>-4.0679999999999996</v>
      </c>
      <c r="BP235" s="194">
        <v>-1.5169999999999999</v>
      </c>
      <c r="BQ235" s="194">
        <f>-5.276-BP235</f>
        <v>-3.7589999999999999</v>
      </c>
      <c r="BR235" s="194">
        <f>-5.779-BQ235-BP235</f>
        <v>-0.50300000000000011</v>
      </c>
      <c r="BS235" s="194">
        <f>-4.53-BR235-BQ235-BP235</f>
        <v>1.2489999999999997</v>
      </c>
      <c r="BT235" s="23">
        <v>0</v>
      </c>
      <c r="BU235" s="23">
        <v>0</v>
      </c>
      <c r="BV235" s="23">
        <v>0</v>
      </c>
      <c r="BW235" s="23">
        <v>0</v>
      </c>
      <c r="BX235" s="23">
        <v>0</v>
      </c>
      <c r="BY235" s="23">
        <v>0</v>
      </c>
      <c r="BZ235" s="23">
        <v>0</v>
      </c>
      <c r="CA235" s="23">
        <v>0</v>
      </c>
      <c r="CB235" s="23">
        <v>0</v>
      </c>
      <c r="CC235" s="23">
        <v>0</v>
      </c>
      <c r="CD235" s="23">
        <v>0</v>
      </c>
      <c r="CE235" s="23">
        <v>0</v>
      </c>
      <c r="CF235" s="4"/>
      <c r="CG235" s="4"/>
      <c r="CH235" s="4"/>
      <c r="CI235" s="4"/>
      <c r="CJ235" s="4"/>
      <c r="CK235" s="4"/>
      <c r="CL235" s="4"/>
      <c r="CM235" s="4"/>
      <c r="CN235" s="240">
        <f t="shared" si="629"/>
        <v>228</v>
      </c>
    </row>
    <row r="236" spans="1:92" outlineLevel="1">
      <c r="A236" s="143"/>
      <c r="B236" s="208" t="s">
        <v>113</v>
      </c>
      <c r="C236" s="23">
        <f t="shared" si="695"/>
        <v>0</v>
      </c>
      <c r="D236" s="23">
        <f t="shared" si="695"/>
        <v>0</v>
      </c>
      <c r="E236" s="23">
        <f t="shared" si="695"/>
        <v>0</v>
      </c>
      <c r="F236" s="23">
        <f t="shared" si="695"/>
        <v>0</v>
      </c>
      <c r="G236" s="23">
        <f t="shared" si="696"/>
        <v>0</v>
      </c>
      <c r="H236" s="23">
        <f t="shared" si="696"/>
        <v>0</v>
      </c>
      <c r="I236" s="23">
        <f t="shared" si="696"/>
        <v>0</v>
      </c>
      <c r="J236" s="23">
        <f t="shared" si="696"/>
        <v>0</v>
      </c>
      <c r="K236" s="23">
        <f t="shared" si="696"/>
        <v>0</v>
      </c>
      <c r="L236" s="23">
        <f t="shared" si="696"/>
        <v>0</v>
      </c>
      <c r="M236" s="23">
        <f t="shared" si="696"/>
        <v>0</v>
      </c>
      <c r="N236" s="23">
        <f t="shared" si="696"/>
        <v>0</v>
      </c>
      <c r="O236" s="23">
        <f t="shared" si="696"/>
        <v>0</v>
      </c>
      <c r="P236" s="23">
        <f t="shared" si="697"/>
        <v>0</v>
      </c>
      <c r="Q236" s="23">
        <f t="shared" si="697"/>
        <v>0</v>
      </c>
      <c r="R236" s="23"/>
      <c r="S236" s="23"/>
      <c r="T236" s="23"/>
      <c r="U236" s="23"/>
      <c r="V236" s="23"/>
      <c r="W236" s="194"/>
      <c r="X236" s="194"/>
      <c r="Y236" s="194"/>
      <c r="Z236" s="194"/>
      <c r="AA236" s="194"/>
      <c r="AB236" s="194"/>
      <c r="AC236" s="194"/>
      <c r="AD236" s="194"/>
      <c r="AE236" s="194"/>
      <c r="AF236" s="194"/>
      <c r="AG236" s="194"/>
      <c r="AH236" s="194"/>
      <c r="AI236" s="194"/>
      <c r="AJ236" s="194"/>
      <c r="AK236" s="194"/>
      <c r="AL236" s="194"/>
      <c r="AM236" s="194"/>
      <c r="AN236" s="194"/>
      <c r="AO236" s="194"/>
      <c r="AP236" s="194"/>
      <c r="AQ236" s="194"/>
      <c r="AR236" s="194"/>
      <c r="AS236" s="194"/>
      <c r="AT236" s="194"/>
      <c r="AU236" s="194"/>
      <c r="AV236" s="194"/>
      <c r="AW236" s="194"/>
      <c r="AX236" s="194"/>
      <c r="AY236" s="194"/>
      <c r="AZ236" s="194"/>
      <c r="BA236" s="194"/>
      <c r="BB236" s="194"/>
      <c r="BC236" s="194"/>
      <c r="BD236" s="194"/>
      <c r="BE236" s="194"/>
      <c r="BF236" s="194"/>
      <c r="BG236" s="194"/>
      <c r="BH236" s="194"/>
      <c r="BI236" s="194"/>
      <c r="BJ236" s="194"/>
      <c r="BK236" s="194"/>
      <c r="BL236" s="194"/>
      <c r="BM236" s="194"/>
      <c r="BN236" s="194"/>
      <c r="BO236" s="194"/>
      <c r="BP236" s="194"/>
      <c r="BQ236" s="194"/>
      <c r="BR236" s="194"/>
      <c r="BS236" s="19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240">
        <f t="shared" si="629"/>
        <v>229</v>
      </c>
    </row>
    <row r="237" spans="1:92" outlineLevel="1">
      <c r="A237" s="143"/>
      <c r="B237" s="4" t="s">
        <v>53</v>
      </c>
      <c r="C237" s="23">
        <f t="shared" si="695"/>
        <v>-41.093000000000004</v>
      </c>
      <c r="D237" s="23">
        <f t="shared" si="695"/>
        <v>-27.497</v>
      </c>
      <c r="E237" s="23">
        <f t="shared" si="695"/>
        <v>-34.508000000000003</v>
      </c>
      <c r="F237" s="23">
        <f t="shared" si="695"/>
        <v>80.034999999999997</v>
      </c>
      <c r="G237" s="23">
        <f t="shared" si="696"/>
        <v>-163.16200000000001</v>
      </c>
      <c r="H237" s="23">
        <f t="shared" si="696"/>
        <v>-167.31200000000001</v>
      </c>
      <c r="I237" s="23">
        <f t="shared" si="696"/>
        <v>73.808999999999997</v>
      </c>
      <c r="J237" s="23">
        <f t="shared" si="696"/>
        <v>-49.958999999999996</v>
      </c>
      <c r="K237" s="23">
        <f t="shared" si="696"/>
        <v>-198.02099999999999</v>
      </c>
      <c r="L237" s="23">
        <f t="shared" si="696"/>
        <v>401.75300000000004</v>
      </c>
      <c r="M237" s="23">
        <f t="shared" si="696"/>
        <v>64.715000000000003</v>
      </c>
      <c r="N237" s="23">
        <f t="shared" si="696"/>
        <v>-208.642</v>
      </c>
      <c r="O237" s="23">
        <f t="shared" si="696"/>
        <v>-78.335389997362711</v>
      </c>
      <c r="P237" s="23">
        <f t="shared" si="697"/>
        <v>-52.79006170267013</v>
      </c>
      <c r="Q237" s="23">
        <f t="shared" si="697"/>
        <v>-20.11847877464794</v>
      </c>
      <c r="R237" s="23"/>
      <c r="S237" s="23"/>
      <c r="T237" s="23"/>
      <c r="U237" s="23"/>
      <c r="V237" s="23"/>
      <c r="W237" s="194">
        <v>-8.5950000000000006</v>
      </c>
      <c r="X237" s="194">
        <v>-8.7370000000000001</v>
      </c>
      <c r="Y237" s="194">
        <v>-15.96</v>
      </c>
      <c r="Z237" s="194">
        <v>-6.4879999999999995</v>
      </c>
      <c r="AA237" s="194">
        <v>-9.9080000000000048</v>
      </c>
      <c r="AB237" s="194">
        <v>-14.419</v>
      </c>
      <c r="AC237" s="194">
        <v>-2.1159999999999997</v>
      </c>
      <c r="AD237" s="194">
        <v>4.8770000000000007</v>
      </c>
      <c r="AE237" s="194">
        <v>-15.839</v>
      </c>
      <c r="AF237" s="194">
        <v>2.1789999999999998</v>
      </c>
      <c r="AG237" s="194">
        <v>-19.399999999999999</v>
      </c>
      <c r="AH237" s="194">
        <v>-25.336000000000002</v>
      </c>
      <c r="AI237" s="194">
        <v>8.0489999999999995</v>
      </c>
      <c r="AJ237" s="194">
        <v>57.068000000000012</v>
      </c>
      <c r="AK237" s="194">
        <v>32.030999999999992</v>
      </c>
      <c r="AL237" s="194">
        <v>3.2039999999999935</v>
      </c>
      <c r="AM237" s="194">
        <v>-12.268000000000001</v>
      </c>
      <c r="AN237" s="194">
        <v>-68.891000000000005</v>
      </c>
      <c r="AO237" s="194">
        <f>AN257-AO257</f>
        <v>-18.724999999999994</v>
      </c>
      <c r="AP237" s="194">
        <f>-149.313-AO237-AN237</f>
        <v>-61.696999999999989</v>
      </c>
      <c r="AQ237" s="194">
        <f>-163.162-AP237-AO237-AN237</f>
        <v>-13.849000000000018</v>
      </c>
      <c r="AR237" s="194">
        <v>-62.908999999999999</v>
      </c>
      <c r="AS237" s="194">
        <f>-106.22-AR237</f>
        <v>-43.311</v>
      </c>
      <c r="AT237" s="194">
        <f>-143.422-AS237-AR237</f>
        <v>-37.201999999999991</v>
      </c>
      <c r="AU237" s="194">
        <f>-167.312-AT237-AS237-AR237</f>
        <v>-23.890000000000008</v>
      </c>
      <c r="AV237" s="194">
        <v>35.6</v>
      </c>
      <c r="AW237" s="194">
        <f>47.766-AV237:AV237</f>
        <v>12.165999999999997</v>
      </c>
      <c r="AX237" s="194">
        <f>83.234-AW237-AV237</f>
        <v>35.467999999999996</v>
      </c>
      <c r="AY237" s="194">
        <f>73.809-AX237-AW237-AV237</f>
        <v>-9.4249999999999972</v>
      </c>
      <c r="AZ237" s="194">
        <v>12.324999999999999</v>
      </c>
      <c r="BA237" s="194">
        <f>6.416-AZ237</f>
        <v>-5.9089999999999989</v>
      </c>
      <c r="BB237" s="194">
        <f>-2.677-BA237-AZ237</f>
        <v>-9.093</v>
      </c>
      <c r="BC237" s="194">
        <f>-49.959-BB237-BA237-AZ237</f>
        <v>-47.281999999999996</v>
      </c>
      <c r="BD237" s="194">
        <v>-31.042999999999999</v>
      </c>
      <c r="BE237" s="194">
        <f>-128.862-BD237</f>
        <v>-97.818999999999988</v>
      </c>
      <c r="BF237" s="194">
        <f>-154.687-BE237-BD237</f>
        <v>-25.825000000000024</v>
      </c>
      <c r="BG237" s="194">
        <f>-198.021-BF237-BE237-BD237</f>
        <v>-43.333999999999982</v>
      </c>
      <c r="BH237" s="194">
        <v>203.70599999999999</v>
      </c>
      <c r="BI237" s="194">
        <f>334.886-BH237</f>
        <v>131.18000000000004</v>
      </c>
      <c r="BJ237" s="194">
        <f>348.939-BI237-BH237</f>
        <v>14.052999999999997</v>
      </c>
      <c r="BK237" s="194">
        <f>401.753-BJ237-BI237-BH237</f>
        <v>52.813999999999993</v>
      </c>
      <c r="BL237" s="194">
        <v>56.887</v>
      </c>
      <c r="BM237" s="194">
        <f>103.085-BL237</f>
        <v>46.197999999999993</v>
      </c>
      <c r="BN237" s="194">
        <f>89.173-BM237-BL237</f>
        <v>-13.911999999999992</v>
      </c>
      <c r="BO237" s="194">
        <f>64.715-BN237-BM237-BL237</f>
        <v>-24.457999999999998</v>
      </c>
      <c r="BP237" s="194">
        <v>-77.406000000000006</v>
      </c>
      <c r="BQ237" s="194">
        <f>-174.22-BP237</f>
        <v>-96.813999999999993</v>
      </c>
      <c r="BR237" s="194">
        <f>-206.201-BQ237-BP237</f>
        <v>-31.980999999999995</v>
      </c>
      <c r="BS237" s="194">
        <f>-208.642-BR237-BQ237-BP237</f>
        <v>-2.4410000000000025</v>
      </c>
      <c r="BT237" s="23">
        <f t="shared" ref="BT237:BW238" si="704">BS257-BT257</f>
        <v>30.672216732851325</v>
      </c>
      <c r="BU237" s="23">
        <f t="shared" si="704"/>
        <v>-61.93376189633392</v>
      </c>
      <c r="BV237" s="23">
        <f t="shared" si="704"/>
        <v>-32.332031951467229</v>
      </c>
      <c r="BW237" s="23">
        <f t="shared" si="704"/>
        <v>-14.741812882412887</v>
      </c>
      <c r="BX237" s="23">
        <f t="shared" ref="BX237:CE238" si="705">BW257-BX257</f>
        <v>-3.6911669272769245</v>
      </c>
      <c r="BY237" s="23">
        <f t="shared" si="705"/>
        <v>-2.2028886154981819</v>
      </c>
      <c r="BZ237" s="23">
        <f t="shared" si="705"/>
        <v>-17.600303089629392</v>
      </c>
      <c r="CA237" s="23">
        <f t="shared" si="705"/>
        <v>-29.295703070265631</v>
      </c>
      <c r="CB237" s="23">
        <f t="shared" si="705"/>
        <v>-14.67462766026091</v>
      </c>
      <c r="CC237" s="23">
        <f t="shared" si="705"/>
        <v>-0.85202834243591496</v>
      </c>
      <c r="CD237" s="23">
        <f t="shared" si="705"/>
        <v>-1.9196979314976943</v>
      </c>
      <c r="CE237" s="23">
        <f t="shared" si="705"/>
        <v>-2.6721248404534208</v>
      </c>
      <c r="CF237" s="4"/>
      <c r="CG237" s="4"/>
      <c r="CH237" s="4"/>
      <c r="CI237" s="4"/>
      <c r="CJ237" s="4"/>
      <c r="CK237" s="4"/>
      <c r="CL237" s="4"/>
      <c r="CM237" s="4"/>
      <c r="CN237" s="240">
        <f t="shared" si="629"/>
        <v>230</v>
      </c>
    </row>
    <row r="238" spans="1:92" outlineLevel="1">
      <c r="A238" s="143"/>
      <c r="B238" s="4" t="s">
        <v>67</v>
      </c>
      <c r="C238" s="23">
        <f t="shared" si="695"/>
        <v>-7.8860000000000001</v>
      </c>
      <c r="D238" s="23">
        <f t="shared" si="695"/>
        <v>-8.3160000000000007</v>
      </c>
      <c r="E238" s="23">
        <f t="shared" si="695"/>
        <v>-20.376999999999999</v>
      </c>
      <c r="F238" s="23">
        <f t="shared" si="695"/>
        <v>-5.798</v>
      </c>
      <c r="G238" s="23">
        <f t="shared" si="696"/>
        <v>-8.1300000000000008</v>
      </c>
      <c r="H238" s="23">
        <f t="shared" si="696"/>
        <v>-36.511000000000003</v>
      </c>
      <c r="I238" s="23">
        <f t="shared" si="696"/>
        <v>-40.353999999999999</v>
      </c>
      <c r="J238" s="23">
        <f t="shared" si="696"/>
        <v>14.077999999999999</v>
      </c>
      <c r="K238" s="23">
        <f t="shared" si="696"/>
        <v>-29.707999999999998</v>
      </c>
      <c r="L238" s="23">
        <f t="shared" si="696"/>
        <v>26.667000000000002</v>
      </c>
      <c r="M238" s="23">
        <f t="shared" si="696"/>
        <v>20.293999999999997</v>
      </c>
      <c r="N238" s="23">
        <f t="shared" si="696"/>
        <v>-6.2750000000000004</v>
      </c>
      <c r="O238" s="23">
        <f t="shared" si="696"/>
        <v>-34.714471841247942</v>
      </c>
      <c r="P238" s="23">
        <f t="shared" si="697"/>
        <v>-18.914195437760782</v>
      </c>
      <c r="Q238" s="23">
        <f t="shared" si="697"/>
        <v>-7.5372981180826173</v>
      </c>
      <c r="R238" s="23"/>
      <c r="S238" s="23"/>
      <c r="T238" s="23"/>
      <c r="U238" s="23"/>
      <c r="V238" s="23"/>
      <c r="W238" s="194">
        <v>-0.9029999999999998</v>
      </c>
      <c r="X238" s="194">
        <v>-1.788</v>
      </c>
      <c r="Y238" s="194">
        <v>-1.4339999999999999</v>
      </c>
      <c r="Z238" s="194">
        <v>-2.0319999999999996</v>
      </c>
      <c r="AA238" s="194">
        <v>-2.6320000000000006</v>
      </c>
      <c r="AB238" s="194">
        <v>-2.8109999999999999</v>
      </c>
      <c r="AC238" s="194">
        <v>-0.98200000000000021</v>
      </c>
      <c r="AD238" s="194">
        <v>-3.0990000000000002</v>
      </c>
      <c r="AE238" s="194">
        <v>-1.4240000000000004</v>
      </c>
      <c r="AF238" s="194">
        <v>-4.851</v>
      </c>
      <c r="AG238" s="194">
        <v>-1.28</v>
      </c>
      <c r="AH238" s="194">
        <v>-4.9670000000000005</v>
      </c>
      <c r="AI238" s="194">
        <v>-9.2789999999999981</v>
      </c>
      <c r="AJ238" s="194">
        <v>-6.8319999999999936</v>
      </c>
      <c r="AK238" s="194">
        <v>2.5670000000000002</v>
      </c>
      <c r="AL238" s="194">
        <v>-1.3850000000000051</v>
      </c>
      <c r="AM238" s="194">
        <v>-0.14800000000000146</v>
      </c>
      <c r="AN238" s="194">
        <v>-2.2810000000000001</v>
      </c>
      <c r="AO238" s="194">
        <f>AN258-AO258</f>
        <v>0.54899999999999949</v>
      </c>
      <c r="AP238" s="194">
        <f>-6.057-AO238-AN238</f>
        <v>-4.3249999999999993</v>
      </c>
      <c r="AQ238" s="194">
        <f>-8.13-AP238-AO238-AN238</f>
        <v>-2.0730000000000008</v>
      </c>
      <c r="AR238" s="194">
        <v>-7.218</v>
      </c>
      <c r="AS238" s="194">
        <f>-14.567-AR238</f>
        <v>-7.3490000000000002</v>
      </c>
      <c r="AT238" s="194">
        <f>-29.319-AS238-AR238</f>
        <v>-14.751999999999999</v>
      </c>
      <c r="AU238" s="194">
        <f>-36.511-AT238-AS238-AR238</f>
        <v>-7.1920000000000037</v>
      </c>
      <c r="AV238" s="194">
        <v>-11.291</v>
      </c>
      <c r="AW238" s="194">
        <f>-18.621-AV238</f>
        <v>-7.3299999999999983</v>
      </c>
      <c r="AX238" s="194">
        <f>-41.961-AW238-AV238</f>
        <v>-23.34</v>
      </c>
      <c r="AY238" s="194">
        <f>-40.354-AX238-AW238-AV238</f>
        <v>1.6069999999999993</v>
      </c>
      <c r="AZ238" s="194">
        <v>8.0169999999999995</v>
      </c>
      <c r="BA238" s="194">
        <f>6.276-AZ238</f>
        <v>-1.7409999999999997</v>
      </c>
      <c r="BB238" s="194">
        <f>12.392-BA238-AZ238</f>
        <v>6.1159999999999997</v>
      </c>
      <c r="BC238" s="194">
        <f>14.078-BB238-BA238-AZ238</f>
        <v>1.6859999999999999</v>
      </c>
      <c r="BD238" s="194">
        <f>-9.421</f>
        <v>-9.4209999999999994</v>
      </c>
      <c r="BE238" s="194">
        <f>-12.261-BD238</f>
        <v>-2.84</v>
      </c>
      <c r="BF238" s="194">
        <f>-27.746-BE238-BD238</f>
        <v>-15.484999999999999</v>
      </c>
      <c r="BG238" s="194">
        <f>-29.708-BF238-BE238-BD238</f>
        <v>-1.9619999999999997</v>
      </c>
      <c r="BH238" s="194">
        <v>1.2170000000000001</v>
      </c>
      <c r="BI238" s="194">
        <f>-1.767-BH238</f>
        <v>-2.984</v>
      </c>
      <c r="BJ238" s="194">
        <f>18.629-BI238-BH238</f>
        <v>20.396000000000001</v>
      </c>
      <c r="BK238" s="194">
        <f>26.667-BJ238-BI238-BH238</f>
        <v>8.0380000000000003</v>
      </c>
      <c r="BL238" s="194">
        <v>10.500999999999999</v>
      </c>
      <c r="BM238" s="194">
        <f>12.827-BM239</f>
        <v>18.975999999999999</v>
      </c>
      <c r="BN238" s="194">
        <f>17.843-BM238-BL238</f>
        <v>-11.633999999999999</v>
      </c>
      <c r="BO238" s="194">
        <f>20.294-BN238-BM238-BL238</f>
        <v>2.4509999999999987</v>
      </c>
      <c r="BP238" s="194">
        <v>-3.5950000000000002</v>
      </c>
      <c r="BQ238" s="194">
        <f>-4.193-BP238</f>
        <v>-0.59799999999999942</v>
      </c>
      <c r="BR238" s="194">
        <f>-4.73-BQ238-BP238</f>
        <v>-0.53700000000000125</v>
      </c>
      <c r="BS238" s="194">
        <f>-6.275-BR238-BQ238-BP238</f>
        <v>-1.5450000000000004</v>
      </c>
      <c r="BT238" s="23">
        <f t="shared" si="704"/>
        <v>-2.4898806628456072</v>
      </c>
      <c r="BU238" s="23">
        <f t="shared" si="704"/>
        <v>-17.357060883605044</v>
      </c>
      <c r="BV238" s="23">
        <f t="shared" si="704"/>
        <v>-10.674013840041567</v>
      </c>
      <c r="BW238" s="23">
        <f t="shared" si="704"/>
        <v>-4.1935164547557235</v>
      </c>
      <c r="BX238" s="23">
        <f t="shared" si="705"/>
        <v>-1.3337146572571612</v>
      </c>
      <c r="BY238" s="23">
        <f t="shared" si="705"/>
        <v>-0.75373420645604483</v>
      </c>
      <c r="BZ238" s="23">
        <f t="shared" si="705"/>
        <v>-6.3222449982702642</v>
      </c>
      <c r="CA238" s="23">
        <f t="shared" si="705"/>
        <v>-10.504501575777311</v>
      </c>
      <c r="CB238" s="23">
        <f t="shared" si="705"/>
        <v>-5.3574623405368982</v>
      </c>
      <c r="CC238" s="23">
        <f t="shared" si="705"/>
        <v>-0.41132253840092403</v>
      </c>
      <c r="CD238" s="23">
        <f t="shared" si="705"/>
        <v>-0.7476969954618653</v>
      </c>
      <c r="CE238" s="23">
        <f t="shared" si="705"/>
        <v>-1.0208162436829298</v>
      </c>
      <c r="CF238" s="4"/>
      <c r="CG238" s="4"/>
      <c r="CH238" s="4"/>
      <c r="CI238" s="4"/>
      <c r="CJ238" s="4"/>
      <c r="CK238" s="4"/>
      <c r="CL238" s="4"/>
      <c r="CM238" s="4"/>
      <c r="CN238" s="240">
        <f t="shared" si="629"/>
        <v>231</v>
      </c>
    </row>
    <row r="239" spans="1:92" outlineLevel="1">
      <c r="A239" s="143"/>
      <c r="B239" s="4" t="s">
        <v>54</v>
      </c>
      <c r="C239" s="23">
        <f t="shared" si="695"/>
        <v>8.9580000000000002</v>
      </c>
      <c r="D239" s="23">
        <f t="shared" si="695"/>
        <v>7.8259999999999996</v>
      </c>
      <c r="E239" s="23">
        <f t="shared" si="695"/>
        <v>9.6909999999999989</v>
      </c>
      <c r="F239" s="23">
        <f t="shared" si="695"/>
        <v>-5.7109999999999985</v>
      </c>
      <c r="G239" s="23">
        <f t="shared" si="696"/>
        <v>14.191000000000003</v>
      </c>
      <c r="H239" s="23">
        <f t="shared" si="696"/>
        <v>30.102000000000004</v>
      </c>
      <c r="I239" s="23">
        <f t="shared" si="696"/>
        <v>-4.9290000000000003</v>
      </c>
      <c r="J239" s="23">
        <f t="shared" si="696"/>
        <v>14.062000000000001</v>
      </c>
      <c r="K239" s="23">
        <f t="shared" si="696"/>
        <v>36.420999999999992</v>
      </c>
      <c r="L239" s="23">
        <f t="shared" si="696"/>
        <v>-62.445999999999998</v>
      </c>
      <c r="M239" s="23">
        <f t="shared" si="696"/>
        <v>-6.25</v>
      </c>
      <c r="N239" s="23">
        <f t="shared" si="696"/>
        <v>29.175999999999995</v>
      </c>
      <c r="O239" s="23">
        <f t="shared" si="696"/>
        <v>44.228930816740032</v>
      </c>
      <c r="P239" s="23">
        <f t="shared" si="697"/>
        <v>18.675266199302825</v>
      </c>
      <c r="Q239" s="23">
        <f t="shared" si="697"/>
        <v>7.4420849272646592</v>
      </c>
      <c r="R239" s="23"/>
      <c r="S239" s="23"/>
      <c r="T239" s="23"/>
      <c r="U239" s="23"/>
      <c r="V239" s="23"/>
      <c r="W239" s="194">
        <v>-3.7259999999999973</v>
      </c>
      <c r="X239" s="194">
        <v>0.629</v>
      </c>
      <c r="Y239" s="194">
        <v>-0.39400000000000002</v>
      </c>
      <c r="Z239" s="194">
        <v>4.5569999999999995</v>
      </c>
      <c r="AA239" s="194">
        <v>4.1660000000000004</v>
      </c>
      <c r="AB239" s="194">
        <v>5.6879999999999997</v>
      </c>
      <c r="AC239" s="194">
        <v>-8.0869999999999997</v>
      </c>
      <c r="AD239" s="194">
        <v>3.6379999999999999</v>
      </c>
      <c r="AE239" s="194">
        <v>6.5869999999999997</v>
      </c>
      <c r="AF239" s="194">
        <v>4.8470000000000004</v>
      </c>
      <c r="AG239" s="194">
        <v>1.855</v>
      </c>
      <c r="AH239" s="194">
        <v>6.7639999999999993</v>
      </c>
      <c r="AI239" s="194">
        <v>-3.7749999999999999</v>
      </c>
      <c r="AJ239" s="194">
        <v>-10.583999999999996</v>
      </c>
      <c r="AK239" s="194">
        <v>-14.572000000000003</v>
      </c>
      <c r="AL239" s="194">
        <v>0.48899999999999721</v>
      </c>
      <c r="AM239" s="194">
        <v>18.956000000000003</v>
      </c>
      <c r="AN239" s="194">
        <v>-1.345</v>
      </c>
      <c r="AO239" s="194">
        <f>AO270-AN270</f>
        <v>9.1879999999999953</v>
      </c>
      <c r="AP239" s="194">
        <f>12.6-AO239-AN239</f>
        <v>4.7570000000000041</v>
      </c>
      <c r="AQ239" s="194">
        <f>14.191-AP239-AO239-AN239</f>
        <v>1.5910000000000022</v>
      </c>
      <c r="AR239" s="194">
        <v>15.438000000000001</v>
      </c>
      <c r="AS239" s="194">
        <f>31.557-AR239</f>
        <v>16.119</v>
      </c>
      <c r="AT239" s="194">
        <f>54.5-AS239-AR239</f>
        <v>22.942999999999998</v>
      </c>
      <c r="AU239" s="194">
        <f>30.102-AT239-AS239-AR239</f>
        <v>-24.397999999999996</v>
      </c>
      <c r="AV239" s="194">
        <f>12.583</f>
        <v>12.583</v>
      </c>
      <c r="AW239" s="194">
        <f>8.399-AV239</f>
        <v>-4.1840000000000011</v>
      </c>
      <c r="AX239" s="194">
        <f>4.394-AW239-AV239</f>
        <v>-4.004999999999999</v>
      </c>
      <c r="AY239" s="194">
        <f>-4.929-AX239-AW239-AV239</f>
        <v>-9.3230000000000004</v>
      </c>
      <c r="AZ239" s="194">
        <v>4.5780000000000003</v>
      </c>
      <c r="BA239" s="194">
        <f>7.09-AZ239</f>
        <v>2.5119999999999996</v>
      </c>
      <c r="BB239" s="194">
        <f>10.924-BA239-AZ239</f>
        <v>3.8339999999999987</v>
      </c>
      <c r="BC239" s="194">
        <f>14.062-BB239-BA239-AZ239</f>
        <v>3.1380000000000017</v>
      </c>
      <c r="BD239" s="194">
        <v>19.507999999999999</v>
      </c>
      <c r="BE239" s="194">
        <f>33.231-BD239</f>
        <v>13.723000000000003</v>
      </c>
      <c r="BF239" s="194">
        <f>53.17-BE239-BD239</f>
        <v>19.939000000000004</v>
      </c>
      <c r="BG239" s="194">
        <f>36.421-BF239-BE239-BD239</f>
        <v>-16.749000000000006</v>
      </c>
      <c r="BH239" s="194">
        <v>-57.944000000000003</v>
      </c>
      <c r="BI239" s="194">
        <f>-66.262-BH239</f>
        <v>-8.3179999999999978</v>
      </c>
      <c r="BJ239" s="194">
        <f>-63.2-BI239-BH239</f>
        <v>3.0619999999999976</v>
      </c>
      <c r="BK239" s="194">
        <f>-62.446-BJ239-BI239-BH239</f>
        <v>0.75400000000000489</v>
      </c>
      <c r="BL239" s="194">
        <v>-29.41</v>
      </c>
      <c r="BM239" s="194">
        <f>-35.559-BL239</f>
        <v>-6.1489999999999974</v>
      </c>
      <c r="BN239" s="194">
        <f>-21.603-BM239-BL239</f>
        <v>13.955999999999996</v>
      </c>
      <c r="BO239" s="194">
        <f>-6.25-BN239-BM239-BL239</f>
        <v>15.353000000000002</v>
      </c>
      <c r="BP239" s="194">
        <v>19.774999999999999</v>
      </c>
      <c r="BQ239" s="194">
        <f>27.76-BP239</f>
        <v>7.985000000000003</v>
      </c>
      <c r="BR239" s="194">
        <f>47.151-BQ239-BP239</f>
        <v>19.390999999999998</v>
      </c>
      <c r="BS239" s="194">
        <f>29.176-BR239-BQ239-BP239</f>
        <v>-17.975000000000001</v>
      </c>
      <c r="BT239" s="23">
        <f>BT270-BS270</f>
        <v>12.411409400052378</v>
      </c>
      <c r="BU239" s="23">
        <f>BU270-BT270</f>
        <v>17.137801790484517</v>
      </c>
      <c r="BV239" s="23">
        <f>BV270-BU270</f>
        <v>10.539176806846939</v>
      </c>
      <c r="BW239" s="23">
        <f>BW270-BV270</f>
        <v>4.1405428193561988</v>
      </c>
      <c r="BX239" s="23">
        <f t="shared" ref="BX239:CE239" si="706">BX270-BW270</f>
        <v>1.3168668125562135</v>
      </c>
      <c r="BY239" s="23">
        <f t="shared" si="706"/>
        <v>0.74421283185986908</v>
      </c>
      <c r="BZ239" s="23">
        <f t="shared" si="706"/>
        <v>6.2423806874803915</v>
      </c>
      <c r="CA239" s="23">
        <f t="shared" si="706"/>
        <v>10.371805867406351</v>
      </c>
      <c r="CB239" s="23">
        <f t="shared" si="706"/>
        <v>5.2897854255286063</v>
      </c>
      <c r="CC239" s="23">
        <f t="shared" si="706"/>
        <v>0.40612660071570872</v>
      </c>
      <c r="CD239" s="23">
        <f t="shared" si="706"/>
        <v>0.73825188454975432</v>
      </c>
      <c r="CE239" s="23">
        <f t="shared" si="706"/>
        <v>1.0079210164705898</v>
      </c>
      <c r="CF239" s="4"/>
      <c r="CG239" s="4"/>
      <c r="CH239" s="4"/>
      <c r="CI239" s="4"/>
      <c r="CJ239" s="4"/>
      <c r="CK239" s="4"/>
      <c r="CL239" s="4"/>
      <c r="CM239" s="4"/>
      <c r="CN239" s="240">
        <f t="shared" si="629"/>
        <v>232</v>
      </c>
    </row>
    <row r="240" spans="1:92" outlineLevel="1">
      <c r="A240" s="143"/>
      <c r="B240" s="4" t="s">
        <v>55</v>
      </c>
      <c r="C240" s="23">
        <f t="shared" si="695"/>
        <v>2.9120000000000008</v>
      </c>
      <c r="D240" s="23">
        <f t="shared" si="695"/>
        <v>-7.2350000000000012</v>
      </c>
      <c r="E240" s="23">
        <f t="shared" si="695"/>
        <v>-2.8479999999999999</v>
      </c>
      <c r="F240" s="23">
        <f t="shared" si="695"/>
        <v>-13.563000000000004</v>
      </c>
      <c r="G240" s="23">
        <f t="shared" si="696"/>
        <v>20.970999999999997</v>
      </c>
      <c r="H240" s="23">
        <f t="shared" si="696"/>
        <v>-5.1350000000000016</v>
      </c>
      <c r="I240" s="23">
        <f t="shared" si="696"/>
        <v>31.376000000000005</v>
      </c>
      <c r="J240" s="23">
        <f t="shared" si="696"/>
        <v>6.1099999999999994</v>
      </c>
      <c r="K240" s="23">
        <f t="shared" si="696"/>
        <v>5.4949999999999406</v>
      </c>
      <c r="L240" s="23">
        <f t="shared" si="696"/>
        <v>-47.113000000000007</v>
      </c>
      <c r="M240" s="23">
        <f t="shared" si="696"/>
        <v>-20.728999999999992</v>
      </c>
      <c r="N240" s="23">
        <f t="shared" si="696"/>
        <v>29.446000000000012</v>
      </c>
      <c r="O240" s="23">
        <f t="shared" si="696"/>
        <v>0</v>
      </c>
      <c r="P240" s="23">
        <f t="shared" si="697"/>
        <v>0</v>
      </c>
      <c r="Q240" s="23">
        <f t="shared" si="697"/>
        <v>0</v>
      </c>
      <c r="R240" s="23"/>
      <c r="S240" s="23"/>
      <c r="T240" s="23"/>
      <c r="U240" s="23"/>
      <c r="V240" s="23"/>
      <c r="W240" s="23">
        <v>-8.9160000000000004</v>
      </c>
      <c r="X240" s="23">
        <v>-2.5259999999999998</v>
      </c>
      <c r="Y240" s="23">
        <v>1.7320000000000002</v>
      </c>
      <c r="Z240" s="23">
        <v>9.5179999999999989</v>
      </c>
      <c r="AA240" s="23">
        <v>-5.8119999999999994</v>
      </c>
      <c r="AB240" s="23">
        <v>-8.027000000000001</v>
      </c>
      <c r="AC240" s="23">
        <v>0.40399999999999925</v>
      </c>
      <c r="AD240" s="23">
        <v>2.214</v>
      </c>
      <c r="AE240" s="23">
        <v>-1.8259999999999992</v>
      </c>
      <c r="AF240" s="23">
        <v>2.968</v>
      </c>
      <c r="AG240" s="23">
        <v>10.360999999999999</v>
      </c>
      <c r="AH240" s="23">
        <v>-10.404</v>
      </c>
      <c r="AI240" s="23">
        <v>-5.7729999999999988</v>
      </c>
      <c r="AJ240" s="23">
        <v>-2.8569999999999967</v>
      </c>
      <c r="AK240" s="23">
        <v>-9.768000000000006</v>
      </c>
      <c r="AL240" s="23">
        <v>1.1110000000000015</v>
      </c>
      <c r="AM240" s="23">
        <v>-2.0490000000000013</v>
      </c>
      <c r="AN240" s="23">
        <v>17.750999999999998</v>
      </c>
      <c r="AO240" s="23">
        <f>AN260-AO260+AO271-AN271</f>
        <v>12.073</v>
      </c>
      <c r="AP240" s="23">
        <f>18.038+1.875+13.147+11.803+0.838+2.94-0.047-AO240-AN240</f>
        <v>18.770000000000003</v>
      </c>
      <c r="AQ240" s="23">
        <f>1.584-0.852+5.141+13.173+0.826+0.987+0.112-AP240-AO240-AN240</f>
        <v>-27.623000000000005</v>
      </c>
      <c r="AR240" s="23">
        <f>18.793-0.903+20.509-0.882+0.783+1.671-0.069-(0.537-0.249)</f>
        <v>39.614000000000004</v>
      </c>
      <c r="AS240" s="23">
        <f>20.066-9.093+13.293+1.198+0.877+2.648-0.069-AR240</f>
        <v>-10.694000000000006</v>
      </c>
      <c r="AT240" s="23">
        <f>18.311-11.344-1.803+4.197+0.9+3.151+1.008-AS240-AR240</f>
        <v>-14.499999999999996</v>
      </c>
      <c r="AU240" s="23">
        <f>9.817-2.783-30.524+4.917+9.799+0.603+2.078+0.958-AT240-AS240-AR240</f>
        <v>-19.555000000000003</v>
      </c>
      <c r="AV240" s="23">
        <f>12.311+1.153+0.578-4.197+24.698-6.929+0.394+0.635-0.908-2.027+0.254-1.542</f>
        <v>24.419999999999995</v>
      </c>
      <c r="AW240" s="23">
        <f>12.449+2.478-6.864-3.661-7.841524-0.281-1.056+3.368-2.148+0.23-0.666-AV240</f>
        <v>-28.412523999999994</v>
      </c>
      <c r="AX240" s="23">
        <f>10.286+3.353+19.721-4.233-9.152-0.236+0.609+6.249-1.097-1.371+1.791-0.065-AW240-AV240</f>
        <v>29.847524</v>
      </c>
      <c r="AY240" s="23">
        <f>9.295-2.284+26.189-4.277-1.627+0.408+2.26+1.412-AX240-AW240-AV240</f>
        <v>5.5210000000000043</v>
      </c>
      <c r="AZ240" s="23">
        <f t="shared" ref="AZ240:BS240" si="707">AZ241-SUM(AZ231:AZ239)</f>
        <v>-20.012</v>
      </c>
      <c r="BA240" s="23">
        <f t="shared" si="707"/>
        <v>29.981999999999985</v>
      </c>
      <c r="BB240" s="23">
        <f t="shared" si="707"/>
        <v>-13.449000000000012</v>
      </c>
      <c r="BC240" s="23">
        <f t="shared" si="707"/>
        <v>9.5890000000000271</v>
      </c>
      <c r="BD240" s="23">
        <f t="shared" si="707"/>
        <v>14.02600000000001</v>
      </c>
      <c r="BE240" s="23">
        <f t="shared" si="707"/>
        <v>-10.022000000000027</v>
      </c>
      <c r="BF240" s="23">
        <f t="shared" si="707"/>
        <v>16.186000000000007</v>
      </c>
      <c r="BG240" s="23">
        <f t="shared" si="707"/>
        <v>-14.69500000000005</v>
      </c>
      <c r="BH240" s="23">
        <f t="shared" si="707"/>
        <v>-3.1819999999999311</v>
      </c>
      <c r="BI240" s="23">
        <f t="shared" si="707"/>
        <v>-4.5280000000000484</v>
      </c>
      <c r="BJ240" s="23">
        <f t="shared" si="707"/>
        <v>-10.457999999999949</v>
      </c>
      <c r="BK240" s="23">
        <f t="shared" si="707"/>
        <v>-28.945000000000078</v>
      </c>
      <c r="BL240" s="23">
        <f t="shared" si="707"/>
        <v>-5.2089999999999961</v>
      </c>
      <c r="BM240" s="23">
        <f t="shared" si="707"/>
        <v>-16.550000000000004</v>
      </c>
      <c r="BN240" s="23">
        <f t="shared" si="707"/>
        <v>10.045000000000009</v>
      </c>
      <c r="BO240" s="23">
        <f t="shared" si="707"/>
        <v>-9.0150000000000006</v>
      </c>
      <c r="BP240" s="23">
        <f t="shared" si="707"/>
        <v>10.977000000000016</v>
      </c>
      <c r="BQ240" s="23">
        <f t="shared" si="707"/>
        <v>54.967999999999989</v>
      </c>
      <c r="BR240" s="23">
        <f t="shared" si="707"/>
        <v>1.7279999999999802</v>
      </c>
      <c r="BS240" s="23">
        <f t="shared" si="707"/>
        <v>-38.226999999999975</v>
      </c>
      <c r="BT240" s="23">
        <f>BS260-BT260+BT271-BS271</f>
        <v>0</v>
      </c>
      <c r="BU240" s="23">
        <f>BT260-BU260+BU271-BT271</f>
        <v>0</v>
      </c>
      <c r="BV240" s="23">
        <f>BU260-BV260+BV271-BU271</f>
        <v>0</v>
      </c>
      <c r="BW240" s="23">
        <f>BV260-BW260+BW271-BV271</f>
        <v>0</v>
      </c>
      <c r="BX240" s="23">
        <f t="shared" ref="BX240:CE240" si="708">BW260-BX260+BX271-BW271</f>
        <v>0</v>
      </c>
      <c r="BY240" s="23">
        <f t="shared" si="708"/>
        <v>0</v>
      </c>
      <c r="BZ240" s="23">
        <f t="shared" si="708"/>
        <v>0</v>
      </c>
      <c r="CA240" s="23">
        <f t="shared" si="708"/>
        <v>0</v>
      </c>
      <c r="CB240" s="23">
        <f t="shared" si="708"/>
        <v>0</v>
      </c>
      <c r="CC240" s="23">
        <f t="shared" si="708"/>
        <v>0</v>
      </c>
      <c r="CD240" s="23">
        <f t="shared" si="708"/>
        <v>0</v>
      </c>
      <c r="CE240" s="23">
        <f t="shared" si="708"/>
        <v>0</v>
      </c>
      <c r="CF240" s="4"/>
      <c r="CG240" s="4"/>
      <c r="CH240" s="4"/>
      <c r="CI240" s="4"/>
      <c r="CJ240" s="4"/>
      <c r="CK240" s="4"/>
      <c r="CL240" s="4"/>
      <c r="CM240" s="4"/>
      <c r="CN240" s="240">
        <f t="shared" si="629"/>
        <v>233</v>
      </c>
    </row>
    <row r="241" spans="1:92" outlineLevel="1">
      <c r="A241" s="143"/>
      <c r="B241" s="19" t="s">
        <v>56</v>
      </c>
      <c r="C241" s="55">
        <f t="shared" ref="C241:M241" si="709">SUM(C231:C240)</f>
        <v>118.22799999999999</v>
      </c>
      <c r="D241" s="55">
        <f t="shared" si="709"/>
        <v>141.88499999999999</v>
      </c>
      <c r="E241" s="55">
        <f t="shared" si="709"/>
        <v>177.31999999999996</v>
      </c>
      <c r="F241" s="55">
        <f t="shared" si="709"/>
        <v>168.46899999999997</v>
      </c>
      <c r="G241" s="55">
        <f t="shared" si="709"/>
        <v>168.76400000000001</v>
      </c>
      <c r="H241" s="55">
        <f t="shared" si="709"/>
        <v>380.51599999999996</v>
      </c>
      <c r="I241" s="55">
        <f t="shared" si="709"/>
        <v>559.93299999999988</v>
      </c>
      <c r="J241" s="55">
        <f t="shared" si="709"/>
        <v>365.62399999999997</v>
      </c>
      <c r="K241" s="55">
        <f t="shared" si="709"/>
        <v>322.75700000000006</v>
      </c>
      <c r="L241" s="55">
        <f t="shared" si="709"/>
        <v>473.79200000000009</v>
      </c>
      <c r="M241" s="55">
        <f t="shared" si="709"/>
        <v>101.70400000000001</v>
      </c>
      <c r="N241" s="55">
        <f>SUM(N231:N240)</f>
        <v>133.70400000000001</v>
      </c>
      <c r="O241" s="55">
        <f>SUM(O231:O240)</f>
        <v>451.78228025507258</v>
      </c>
      <c r="P241" s="55">
        <f>SUM(P231:P240)</f>
        <v>572.09172649875654</v>
      </c>
      <c r="Q241" s="55">
        <f>SUM(Q231:Q240)</f>
        <v>674.68991048934095</v>
      </c>
      <c r="R241" s="108"/>
      <c r="S241" s="23"/>
      <c r="T241" s="23"/>
      <c r="U241" s="23"/>
      <c r="V241" s="23"/>
      <c r="W241" s="55">
        <f>SUM(W231:W240)</f>
        <v>11.038999999999998</v>
      </c>
      <c r="X241" s="55">
        <f t="shared" ref="X241:AW241" si="710">SUM(X231:X240)</f>
        <v>22.285000000000007</v>
      </c>
      <c r="Y241" s="55">
        <f t="shared" si="710"/>
        <v>21.702000000000002</v>
      </c>
      <c r="Z241" s="55">
        <f t="shared" si="710"/>
        <v>44.563000000000002</v>
      </c>
      <c r="AA241" s="55">
        <f t="shared" si="710"/>
        <v>29.67799999999999</v>
      </c>
      <c r="AB241" s="55">
        <f t="shared" si="710"/>
        <v>24.284999999999997</v>
      </c>
      <c r="AC241" s="55">
        <f t="shared" si="710"/>
        <v>28.087000000000003</v>
      </c>
      <c r="AD241" s="55">
        <f t="shared" si="710"/>
        <v>47.222000000000001</v>
      </c>
      <c r="AE241" s="55">
        <f t="shared" si="710"/>
        <v>42.291000000000004</v>
      </c>
      <c r="AF241" s="55">
        <f t="shared" si="710"/>
        <v>46.725999999999999</v>
      </c>
      <c r="AG241" s="55">
        <f t="shared" si="710"/>
        <v>42.42499999999999</v>
      </c>
      <c r="AH241" s="55">
        <f t="shared" si="710"/>
        <v>37.739999999999995</v>
      </c>
      <c r="AI241" s="55">
        <f t="shared" si="710"/>
        <v>50.429000000000009</v>
      </c>
      <c r="AJ241" s="55">
        <f t="shared" si="710"/>
        <v>70.473000000000013</v>
      </c>
      <c r="AK241" s="55">
        <f t="shared" si="710"/>
        <v>29.141999999999982</v>
      </c>
      <c r="AL241" s="55">
        <f t="shared" si="710"/>
        <v>35.592999999999996</v>
      </c>
      <c r="AM241" s="55">
        <f t="shared" si="710"/>
        <v>33.261000000000003</v>
      </c>
      <c r="AN241" s="55">
        <f t="shared" si="710"/>
        <v>-11.445000000000007</v>
      </c>
      <c r="AO241" s="55">
        <f t="shared" si="710"/>
        <v>63.033000000000008</v>
      </c>
      <c r="AP241" s="55">
        <f t="shared" si="710"/>
        <v>40.442000000000036</v>
      </c>
      <c r="AQ241" s="55">
        <f t="shared" si="710"/>
        <v>76.73399999999998</v>
      </c>
      <c r="AR241" s="55">
        <f t="shared" si="710"/>
        <v>85.632000000000033</v>
      </c>
      <c r="AS241" s="55">
        <f t="shared" si="710"/>
        <v>85.465999999999951</v>
      </c>
      <c r="AT241" s="55">
        <f t="shared" si="710"/>
        <v>145.71899999999994</v>
      </c>
      <c r="AU241" s="55">
        <f t="shared" si="710"/>
        <v>63.698999999999955</v>
      </c>
      <c r="AV241" s="55">
        <f t="shared" si="710"/>
        <v>185.024</v>
      </c>
      <c r="AW241" s="55">
        <f t="shared" si="710"/>
        <v>121.35047600000001</v>
      </c>
      <c r="AX241" s="209">
        <f>465.27-AW241-AV241</f>
        <v>158.89552399999997</v>
      </c>
      <c r="AY241" s="209">
        <f>559.933-AX241-AW241-AV241</f>
        <v>94.663000000000011</v>
      </c>
      <c r="AZ241" s="209">
        <v>89.308999999999997</v>
      </c>
      <c r="BA241" s="209">
        <f>200.648-AZ241</f>
        <v>111.339</v>
      </c>
      <c r="BB241" s="209">
        <f>303.537-BA241-AZ241</f>
        <v>102.88899999999998</v>
      </c>
      <c r="BC241" s="209">
        <f>365.624-BB241-BA241-AZ241</f>
        <v>62.087000000000018</v>
      </c>
      <c r="BD241" s="209">
        <v>77.867999999999995</v>
      </c>
      <c r="BE241" s="209">
        <f>91.488-BD241</f>
        <v>13.620000000000005</v>
      </c>
      <c r="BF241" s="209">
        <f>206.274-BE241-BD241</f>
        <v>114.786</v>
      </c>
      <c r="BG241" s="209">
        <f>322.757-BF241-BE241-BD241</f>
        <v>116.483</v>
      </c>
      <c r="BH241" s="209">
        <v>200.59200000000001</v>
      </c>
      <c r="BI241" s="209">
        <f>344.217-BH241</f>
        <v>143.62499999999997</v>
      </c>
      <c r="BJ241" s="209">
        <f>386.285-BI241-BH241</f>
        <v>42.06800000000004</v>
      </c>
      <c r="BK241" s="209">
        <f>473.792-BJ241-BI241-BH241</f>
        <v>87.50699999999992</v>
      </c>
      <c r="BL241" s="209">
        <v>53.472000000000001</v>
      </c>
      <c r="BM241" s="209">
        <f>92.261-BL241</f>
        <v>38.788999999999994</v>
      </c>
      <c r="BN241" s="209">
        <f>94.56-BM241-BL241</f>
        <v>2.2990000000000066</v>
      </c>
      <c r="BO241" s="209">
        <f>101.704-BN241-BM241-BL241</f>
        <v>7.1439999999999912</v>
      </c>
      <c r="BP241" s="209">
        <v>-12.449</v>
      </c>
      <c r="BQ241" s="209">
        <f>28.669-BP241</f>
        <v>41.118000000000002</v>
      </c>
      <c r="BR241" s="209">
        <f>109.291-BQ241-BP241</f>
        <v>80.622</v>
      </c>
      <c r="BS241" s="209">
        <f>133.704-BR241-BQ241-BP241</f>
        <v>24.413000000000004</v>
      </c>
      <c r="BT241" s="55">
        <f>SUM(BT231:BT240)</f>
        <v>140.28595760146749</v>
      </c>
      <c r="BU241" s="55">
        <f>SUM(BU231:BU240)</f>
        <v>67.412596006265986</v>
      </c>
      <c r="BV241" s="55">
        <f>SUM(BV231:BV240)</f>
        <v>109.77528191625314</v>
      </c>
      <c r="BW241" s="55">
        <f>SUM(BW231:BW240)</f>
        <v>134.30844473108601</v>
      </c>
      <c r="BX241" s="55">
        <f t="shared" ref="BX241:CE241" si="711">SUM(BX231:BX240)</f>
        <v>146.53947944632534</v>
      </c>
      <c r="BY241" s="55">
        <f t="shared" si="711"/>
        <v>148.82241639074982</v>
      </c>
      <c r="BZ241" s="55">
        <f t="shared" si="711"/>
        <v>138.88617495789552</v>
      </c>
      <c r="CA241" s="55">
        <f t="shared" si="711"/>
        <v>137.84365570378583</v>
      </c>
      <c r="CB241" s="55">
        <f t="shared" si="711"/>
        <v>158.4867057197992</v>
      </c>
      <c r="CC241" s="55">
        <f t="shared" si="711"/>
        <v>172.42864762018931</v>
      </c>
      <c r="CD241" s="55">
        <f t="shared" si="711"/>
        <v>171.88388432207378</v>
      </c>
      <c r="CE241" s="55">
        <f t="shared" si="711"/>
        <v>171.89067282727848</v>
      </c>
      <c r="CF241" s="4"/>
      <c r="CG241" s="4"/>
      <c r="CH241" s="4"/>
      <c r="CI241" s="4"/>
      <c r="CJ241" s="4"/>
      <c r="CK241" s="4"/>
      <c r="CL241" s="4"/>
      <c r="CM241" s="4"/>
      <c r="CN241" s="240">
        <f t="shared" si="629"/>
        <v>234</v>
      </c>
    </row>
    <row r="242" spans="1:92" outlineLevel="1">
      <c r="A242" s="143"/>
      <c r="B242" s="4" t="s">
        <v>51</v>
      </c>
      <c r="C242" s="23">
        <f>SUMIF($T$5:$BT$5,C$5,$T242:$BT242)</f>
        <v>-159.83099999999999</v>
      </c>
      <c r="D242" s="23">
        <f>SUMIF($T$5:$BT$5,D$5,$T242:$BT242)</f>
        <v>-248.75800000000001</v>
      </c>
      <c r="E242" s="23">
        <f>SUMIF($T$5:$BT$5,E$5,$T242:$BT242)</f>
        <v>-170.31800000000001</v>
      </c>
      <c r="F242" s="23">
        <f>SUMIF($T$5:$BT$5,F$5,$T242:$BT242)</f>
        <v>-67.83</v>
      </c>
      <c r="G242" s="23">
        <f t="shared" ref="G242:Q242" si="712">SUMIF($T$5:$CF$5,G$5,$T242:$CF242)</f>
        <v>-187.506</v>
      </c>
      <c r="H242" s="23">
        <f t="shared" si="712"/>
        <v>-416.4</v>
      </c>
      <c r="I242" s="23">
        <f t="shared" si="712"/>
        <v>-328.90200000000004</v>
      </c>
      <c r="J242" s="23">
        <f t="shared" si="712"/>
        <v>-201.68100000000001</v>
      </c>
      <c r="K242" s="23">
        <f t="shared" si="712"/>
        <v>-371.50200000000001</v>
      </c>
      <c r="L242" s="23">
        <f t="shared" si="712"/>
        <v>-167.42599999999999</v>
      </c>
      <c r="M242" s="23">
        <f t="shared" si="712"/>
        <v>-33.938000000000002</v>
      </c>
      <c r="N242" s="23">
        <f t="shared" si="712"/>
        <v>-117.50900000000001</v>
      </c>
      <c r="O242" s="23">
        <f t="shared" si="712"/>
        <v>-264.76250000000005</v>
      </c>
      <c r="P242" s="23">
        <f t="shared" si="712"/>
        <v>-377.92499999999995</v>
      </c>
      <c r="Q242" s="23">
        <f t="shared" si="712"/>
        <v>-224.25</v>
      </c>
      <c r="R242" s="23"/>
      <c r="S242" s="23"/>
      <c r="T242" s="194">
        <v>-13.318</v>
      </c>
      <c r="U242" s="194">
        <f>-34.066-T242</f>
        <v>-20.748000000000005</v>
      </c>
      <c r="V242" s="194">
        <f>-55.439-SUM(T242:U242)</f>
        <v>-21.372999999999998</v>
      </c>
      <c r="W242" s="194">
        <v>-17.369000000000007</v>
      </c>
      <c r="X242" s="194">
        <v>-25.97</v>
      </c>
      <c r="Y242" s="194">
        <v>-27.780999999999999</v>
      </c>
      <c r="Z242" s="194">
        <v>-43.57</v>
      </c>
      <c r="AA242" s="194">
        <v>-62.51</v>
      </c>
      <c r="AB242" s="194">
        <v>-63.661999999999999</v>
      </c>
      <c r="AC242" s="194">
        <v>-70.385000000000005</v>
      </c>
      <c r="AD242" s="194">
        <v>-63.503000000000014</v>
      </c>
      <c r="AE242" s="194">
        <v>-51.207999999999998</v>
      </c>
      <c r="AF242" s="194">
        <v>-46.335000000000001</v>
      </c>
      <c r="AG242" s="194">
        <v>-54.928000000000004</v>
      </c>
      <c r="AH242" s="194">
        <v>-35.677999999999997</v>
      </c>
      <c r="AI242" s="194">
        <v>-33.37700000000001</v>
      </c>
      <c r="AJ242" s="194">
        <v>-19.5</v>
      </c>
      <c r="AK242" s="194">
        <v>-23.7</v>
      </c>
      <c r="AL242" s="194">
        <v>-15.5</v>
      </c>
      <c r="AM242" s="194">
        <v>-9.1300000000000008</v>
      </c>
      <c r="AN242" s="194">
        <v>-10.368</v>
      </c>
      <c r="AO242" s="194">
        <v>-46.5</v>
      </c>
      <c r="AP242" s="194">
        <f>-106.106-AO242-AN242</f>
        <v>-49.237999999999992</v>
      </c>
      <c r="AQ242" s="194">
        <v>-81.400000000000006</v>
      </c>
      <c r="AR242" s="194">
        <v>-92.317999999999998</v>
      </c>
      <c r="AS242" s="194">
        <f>-203.763-AR242</f>
        <v>-111.44500000000001</v>
      </c>
      <c r="AT242" s="194">
        <f>-305.729-AS242-AR242</f>
        <v>-101.96599999999999</v>
      </c>
      <c r="AU242" s="194">
        <f>-416.4-AT242-AS242-AR242</f>
        <v>-110.67099999999998</v>
      </c>
      <c r="AV242" s="194">
        <v>-121.408</v>
      </c>
      <c r="AW242" s="194">
        <f>-204.202-AV242</f>
        <v>-82.793999999999997</v>
      </c>
      <c r="AX242" s="194">
        <v>-69.599999999999994</v>
      </c>
      <c r="AY242" s="194">
        <v>-55.1</v>
      </c>
      <c r="AZ242" s="194">
        <v>-53.04</v>
      </c>
      <c r="BA242" s="194">
        <f>-108.49-AZ242</f>
        <v>-55.449999999999996</v>
      </c>
      <c r="BB242" s="194">
        <f>-159.854-BA242-AZ242</f>
        <v>-51.364000000000026</v>
      </c>
      <c r="BC242" s="194">
        <f>-201.681-BB242-BA242-AZ242</f>
        <v>-41.826999999999991</v>
      </c>
      <c r="BD242" s="194">
        <v>-40.295000000000002</v>
      </c>
      <c r="BE242" s="194">
        <f>-112.804-BD242</f>
        <v>-72.509</v>
      </c>
      <c r="BF242" s="194">
        <f>-237.473-BE242-BD242</f>
        <v>-124.669</v>
      </c>
      <c r="BG242" s="194">
        <f>-371.502-BF242-BE242-BD242</f>
        <v>-134.029</v>
      </c>
      <c r="BH242" s="194">
        <v>-103.492</v>
      </c>
      <c r="BI242" s="194">
        <f>-139.347-BH242</f>
        <v>-35.855000000000004</v>
      </c>
      <c r="BJ242" s="194">
        <f>-155.202-BI242-BH242</f>
        <v>-15.85499999999999</v>
      </c>
      <c r="BK242" s="194">
        <f>-167.426-BJ242-BI242-BH242</f>
        <v>-12.22399999999999</v>
      </c>
      <c r="BL242" s="194">
        <v>-9.5809999999999995</v>
      </c>
      <c r="BM242" s="194">
        <f>-18.289-BL242</f>
        <v>-8.708000000000002</v>
      </c>
      <c r="BN242" s="194">
        <f>-24.917-BM242-BL242</f>
        <v>-6.6280000000000001</v>
      </c>
      <c r="BO242" s="194">
        <f>-33.938-BN242-BM242-BL242</f>
        <v>-9.0210000000000008</v>
      </c>
      <c r="BP242" s="194">
        <v>-11.707000000000001</v>
      </c>
      <c r="BQ242" s="194">
        <f>-30.645-BP242</f>
        <v>-18.937999999999999</v>
      </c>
      <c r="BR242" s="194">
        <f>-75.016-BQ242-BP242</f>
        <v>-44.371000000000002</v>
      </c>
      <c r="BS242" s="194">
        <f>-117.509-BR242-BQ242-BP242</f>
        <v>-42.493000000000002</v>
      </c>
      <c r="BT242" s="23">
        <f t="shared" ref="BT242:CE242" si="713">-BT225</f>
        <v>-85.09375</v>
      </c>
      <c r="BU242" s="23">
        <f t="shared" si="713"/>
        <v>-85.642187500000006</v>
      </c>
      <c r="BV242" s="23">
        <f t="shared" si="713"/>
        <v>-46.739062500000003</v>
      </c>
      <c r="BW242" s="23">
        <f t="shared" si="713"/>
        <v>-47.287500000000001</v>
      </c>
      <c r="BX242" s="23">
        <f t="shared" si="713"/>
        <v>-47.287500000000001</v>
      </c>
      <c r="BY242" s="23">
        <f t="shared" si="713"/>
        <v>-47.287500000000001</v>
      </c>
      <c r="BZ242" s="23">
        <f t="shared" si="713"/>
        <v>-139.48124999999999</v>
      </c>
      <c r="CA242" s="23">
        <f t="shared" si="713"/>
        <v>-143.86875000000001</v>
      </c>
      <c r="CB242" s="23">
        <f t="shared" si="713"/>
        <v>-56.0625</v>
      </c>
      <c r="CC242" s="23">
        <f t="shared" si="713"/>
        <v>-56.0625</v>
      </c>
      <c r="CD242" s="23">
        <f t="shared" si="713"/>
        <v>-56.0625</v>
      </c>
      <c r="CE242" s="23">
        <f t="shared" si="713"/>
        <v>-56.0625</v>
      </c>
      <c r="CF242" s="4"/>
      <c r="CG242" s="4"/>
      <c r="CH242" s="4"/>
      <c r="CI242" s="4"/>
      <c r="CJ242" s="4"/>
      <c r="CK242" s="4"/>
      <c r="CL242" s="4"/>
      <c r="CM242" s="4"/>
      <c r="CN242" s="240">
        <f t="shared" si="629"/>
        <v>235</v>
      </c>
    </row>
    <row r="243" spans="1:92" outlineLevel="1">
      <c r="A243" s="143"/>
      <c r="B243" s="12" t="s">
        <v>57</v>
      </c>
      <c r="C243" s="54">
        <f t="shared" ref="C243:M243" si="714">C241+C242</f>
        <v>-41.602999999999994</v>
      </c>
      <c r="D243" s="54">
        <f t="shared" si="714"/>
        <v>-106.87300000000002</v>
      </c>
      <c r="E243" s="54">
        <f t="shared" si="714"/>
        <v>7.0019999999999527</v>
      </c>
      <c r="F243" s="54">
        <f t="shared" si="714"/>
        <v>100.63899999999997</v>
      </c>
      <c r="G243" s="54">
        <f t="shared" si="714"/>
        <v>-18.74199999999999</v>
      </c>
      <c r="H243" s="54">
        <f t="shared" si="714"/>
        <v>-35.884000000000015</v>
      </c>
      <c r="I243" s="54">
        <f t="shared" si="714"/>
        <v>231.03099999999984</v>
      </c>
      <c r="J243" s="54">
        <f t="shared" si="714"/>
        <v>163.94299999999996</v>
      </c>
      <c r="K243" s="54">
        <f t="shared" si="714"/>
        <v>-48.744999999999948</v>
      </c>
      <c r="L243" s="54">
        <f t="shared" si="714"/>
        <v>306.3660000000001</v>
      </c>
      <c r="M243" s="54">
        <f t="shared" si="714"/>
        <v>67.766000000000005</v>
      </c>
      <c r="N243" s="54">
        <f>N241+N242</f>
        <v>16.194999999999993</v>
      </c>
      <c r="O243" s="54">
        <f>O241+O242</f>
        <v>187.01978025507253</v>
      </c>
      <c r="P243" s="54">
        <f>P241+P242</f>
        <v>194.16672649875659</v>
      </c>
      <c r="Q243" s="54">
        <f>Q241+Q242</f>
        <v>450.43991048934095</v>
      </c>
      <c r="R243" s="69"/>
      <c r="S243" s="23"/>
      <c r="T243" s="23"/>
      <c r="U243" s="23"/>
      <c r="V243" s="23"/>
      <c r="W243" s="54">
        <f>W241+W242</f>
        <v>-6.330000000000009</v>
      </c>
      <c r="X243" s="54">
        <f t="shared" ref="X243:BD243" si="715">X241+X242</f>
        <v>-3.6849999999999916</v>
      </c>
      <c r="Y243" s="54">
        <f t="shared" si="715"/>
        <v>-6.0789999999999971</v>
      </c>
      <c r="Z243" s="54">
        <f t="shared" si="715"/>
        <v>0.9930000000000021</v>
      </c>
      <c r="AA243" s="54">
        <f t="shared" si="715"/>
        <v>-32.832000000000008</v>
      </c>
      <c r="AB243" s="54">
        <f t="shared" si="715"/>
        <v>-39.377000000000002</v>
      </c>
      <c r="AC243" s="54">
        <f t="shared" si="715"/>
        <v>-42.298000000000002</v>
      </c>
      <c r="AD243" s="54">
        <f t="shared" si="715"/>
        <v>-16.281000000000013</v>
      </c>
      <c r="AE243" s="54">
        <f t="shared" si="715"/>
        <v>-8.9169999999999945</v>
      </c>
      <c r="AF243" s="54">
        <f t="shared" si="715"/>
        <v>0.39099999999999824</v>
      </c>
      <c r="AG243" s="54">
        <f t="shared" si="715"/>
        <v>-12.503000000000014</v>
      </c>
      <c r="AH243" s="54">
        <f t="shared" si="715"/>
        <v>2.0619999999999976</v>
      </c>
      <c r="AI243" s="54">
        <f t="shared" si="715"/>
        <v>17.052</v>
      </c>
      <c r="AJ243" s="54">
        <f t="shared" si="715"/>
        <v>50.973000000000013</v>
      </c>
      <c r="AK243" s="54">
        <f t="shared" si="715"/>
        <v>5.4419999999999824</v>
      </c>
      <c r="AL243" s="54">
        <f t="shared" si="715"/>
        <v>20.092999999999996</v>
      </c>
      <c r="AM243" s="54">
        <f t="shared" si="715"/>
        <v>24.131</v>
      </c>
      <c r="AN243" s="54">
        <f t="shared" si="715"/>
        <v>-21.813000000000009</v>
      </c>
      <c r="AO243" s="54">
        <f t="shared" si="715"/>
        <v>16.533000000000008</v>
      </c>
      <c r="AP243" s="54">
        <f t="shared" si="715"/>
        <v>-8.7959999999999567</v>
      </c>
      <c r="AQ243" s="54">
        <f t="shared" si="715"/>
        <v>-4.6660000000000252</v>
      </c>
      <c r="AR243" s="54">
        <f t="shared" si="715"/>
        <v>-6.6859999999999644</v>
      </c>
      <c r="AS243" s="54">
        <f t="shared" si="715"/>
        <v>-25.979000000000056</v>
      </c>
      <c r="AT243" s="54">
        <f t="shared" si="715"/>
        <v>43.752999999999943</v>
      </c>
      <c r="AU243" s="54">
        <f t="shared" si="715"/>
        <v>-46.972000000000023</v>
      </c>
      <c r="AV243" s="54">
        <f t="shared" si="715"/>
        <v>63.616</v>
      </c>
      <c r="AW243" s="54">
        <f t="shared" si="715"/>
        <v>38.556476000000018</v>
      </c>
      <c r="AX243" s="54">
        <f t="shared" si="715"/>
        <v>89.295523999999972</v>
      </c>
      <c r="AY243" s="54">
        <f t="shared" si="715"/>
        <v>39.563000000000009</v>
      </c>
      <c r="AZ243" s="54">
        <f t="shared" si="715"/>
        <v>36.268999999999998</v>
      </c>
      <c r="BA243" s="54">
        <f t="shared" si="715"/>
        <v>55.889000000000003</v>
      </c>
      <c r="BB243" s="54">
        <f t="shared" si="715"/>
        <v>51.524999999999956</v>
      </c>
      <c r="BC243" s="54">
        <f t="shared" si="715"/>
        <v>20.260000000000026</v>
      </c>
      <c r="BD243" s="54">
        <f t="shared" si="715"/>
        <v>37.572999999999993</v>
      </c>
      <c r="BE243" s="54">
        <f t="shared" ref="BE243:BL243" si="716">BE241+BE242</f>
        <v>-58.888999999999996</v>
      </c>
      <c r="BF243" s="54">
        <f t="shared" si="716"/>
        <v>-9.8829999999999956</v>
      </c>
      <c r="BG243" s="54">
        <f t="shared" si="716"/>
        <v>-17.545999999999992</v>
      </c>
      <c r="BH243" s="54">
        <f t="shared" si="716"/>
        <v>97.100000000000009</v>
      </c>
      <c r="BI243" s="54">
        <f t="shared" si="716"/>
        <v>107.76999999999997</v>
      </c>
      <c r="BJ243" s="54">
        <f t="shared" si="716"/>
        <v>26.213000000000051</v>
      </c>
      <c r="BK243" s="54">
        <f t="shared" si="716"/>
        <v>75.28299999999993</v>
      </c>
      <c r="BL243" s="54">
        <f t="shared" si="716"/>
        <v>43.891000000000005</v>
      </c>
      <c r="BM243" s="54">
        <f t="shared" ref="BM243:BS243" si="717">BM241+BM242</f>
        <v>30.080999999999992</v>
      </c>
      <c r="BN243" s="54">
        <f t="shared" si="717"/>
        <v>-4.3289999999999935</v>
      </c>
      <c r="BO243" s="54">
        <f t="shared" si="717"/>
        <v>-1.8770000000000095</v>
      </c>
      <c r="BP243" s="54">
        <f t="shared" si="717"/>
        <v>-24.155999999999999</v>
      </c>
      <c r="BQ243" s="54">
        <f t="shared" si="717"/>
        <v>22.180000000000003</v>
      </c>
      <c r="BR243" s="54">
        <f t="shared" si="717"/>
        <v>36.250999999999998</v>
      </c>
      <c r="BS243" s="54">
        <f t="shared" si="717"/>
        <v>-18.079999999999998</v>
      </c>
      <c r="BT243" s="54">
        <f>BT241+BT242</f>
        <v>55.192207601467487</v>
      </c>
      <c r="BU243" s="54">
        <f>BU241+BU242</f>
        <v>-18.22959149373402</v>
      </c>
      <c r="BV243" s="54">
        <f>BV241+BV242</f>
        <v>63.036219416253132</v>
      </c>
      <c r="BW243" s="54">
        <f>BW241+BW242</f>
        <v>87.020944731086018</v>
      </c>
      <c r="BX243" s="54">
        <f t="shared" ref="BX243:CE243" si="718">BX241+BX242</f>
        <v>99.25197944632535</v>
      </c>
      <c r="BY243" s="54">
        <f t="shared" si="718"/>
        <v>101.53491639074983</v>
      </c>
      <c r="BZ243" s="54">
        <f t="shared" si="718"/>
        <v>-0.59507504210446882</v>
      </c>
      <c r="CA243" s="54">
        <f t="shared" si="718"/>
        <v>-6.0250942962141778</v>
      </c>
      <c r="CB243" s="54">
        <f t="shared" si="718"/>
        <v>102.4242057197992</v>
      </c>
      <c r="CC243" s="54">
        <f t="shared" si="718"/>
        <v>116.36614762018931</v>
      </c>
      <c r="CD243" s="54">
        <f t="shared" si="718"/>
        <v>115.82138432207378</v>
      </c>
      <c r="CE243" s="54">
        <f t="shared" si="718"/>
        <v>115.82817282727848</v>
      </c>
      <c r="CF243" s="4"/>
      <c r="CG243" s="4"/>
      <c r="CH243" s="4"/>
      <c r="CI243" s="4"/>
      <c r="CJ243" s="4"/>
      <c r="CK243" s="4"/>
      <c r="CL243" s="4"/>
      <c r="CM243" s="4"/>
      <c r="CN243" s="240">
        <f t="shared" si="629"/>
        <v>236</v>
      </c>
    </row>
    <row r="244" spans="1:92" outlineLevel="1">
      <c r="A244" s="143"/>
      <c r="B244" s="4" t="s">
        <v>59</v>
      </c>
      <c r="C244" s="23">
        <f t="shared" ref="C244:F250" si="719">SUMIF($T$5:$BT$5,C$5,$T244:$BT244)</f>
        <v>0</v>
      </c>
      <c r="D244" s="23">
        <f t="shared" si="719"/>
        <v>0</v>
      </c>
      <c r="E244" s="23">
        <f t="shared" si="719"/>
        <v>0</v>
      </c>
      <c r="F244" s="23">
        <f t="shared" si="719"/>
        <v>0</v>
      </c>
      <c r="G244" s="23">
        <f t="shared" ref="G244:O250" si="720">SUMIF($T$5:$CF$5,G$5,$T244:$CF244)</f>
        <v>0</v>
      </c>
      <c r="H244" s="23">
        <f t="shared" si="720"/>
        <v>0</v>
      </c>
      <c r="I244" s="23">
        <f t="shared" si="720"/>
        <v>0</v>
      </c>
      <c r="J244" s="23">
        <f t="shared" si="720"/>
        <v>-17.044</v>
      </c>
      <c r="K244" s="23">
        <f t="shared" si="720"/>
        <v>-2.5539999999999998</v>
      </c>
      <c r="L244" s="23">
        <f t="shared" si="720"/>
        <v>0</v>
      </c>
      <c r="M244" s="23">
        <f t="shared" si="720"/>
        <v>0</v>
      </c>
      <c r="N244" s="23">
        <f t="shared" si="720"/>
        <v>0</v>
      </c>
      <c r="O244" s="23">
        <f t="shared" si="720"/>
        <v>0</v>
      </c>
      <c r="P244" s="23">
        <f t="shared" ref="P244:Q250" si="721">SUMIF($T$5:$CF$5,P$5,$T244:$CF244)</f>
        <v>0</v>
      </c>
      <c r="Q244" s="23">
        <f t="shared" si="721"/>
        <v>0</v>
      </c>
      <c r="R244" s="23"/>
      <c r="S244" s="23"/>
      <c r="T244" s="23"/>
      <c r="U244" s="23"/>
      <c r="V244" s="23"/>
      <c r="W244" s="194">
        <v>-1.8710000000000004</v>
      </c>
      <c r="X244" s="194">
        <v>0</v>
      </c>
      <c r="Y244" s="194">
        <v>0</v>
      </c>
      <c r="Z244" s="194">
        <v>0</v>
      </c>
      <c r="AA244" s="194">
        <v>0</v>
      </c>
      <c r="AB244" s="194">
        <v>0</v>
      </c>
      <c r="AC244" s="194">
        <v>0</v>
      </c>
      <c r="AD244" s="194">
        <v>0</v>
      </c>
      <c r="AE244" s="194">
        <v>0</v>
      </c>
      <c r="AF244" s="194">
        <v>0</v>
      </c>
      <c r="AG244" s="194">
        <v>0</v>
      </c>
      <c r="AH244" s="194">
        <v>0</v>
      </c>
      <c r="AI244" s="194">
        <v>0</v>
      </c>
      <c r="AJ244" s="194">
        <v>0</v>
      </c>
      <c r="AK244" s="194">
        <v>0</v>
      </c>
      <c r="AL244" s="194">
        <v>0</v>
      </c>
      <c r="AM244" s="194">
        <v>0</v>
      </c>
      <c r="AN244" s="194">
        <v>0</v>
      </c>
      <c r="AO244" s="194">
        <v>0</v>
      </c>
      <c r="AP244" s="194">
        <v>0</v>
      </c>
      <c r="AQ244" s="194">
        <v>0</v>
      </c>
      <c r="AR244" s="194">
        <v>0</v>
      </c>
      <c r="AS244" s="194">
        <v>0</v>
      </c>
      <c r="AT244" s="194">
        <v>0</v>
      </c>
      <c r="AU244" s="194">
        <v>0</v>
      </c>
      <c r="AV244" s="194">
        <v>0</v>
      </c>
      <c r="AW244" s="194">
        <v>0</v>
      </c>
      <c r="AX244" s="194">
        <v>0</v>
      </c>
      <c r="AY244" s="194">
        <v>0</v>
      </c>
      <c r="AZ244" s="194">
        <v>0</v>
      </c>
      <c r="BA244" s="194">
        <v>0</v>
      </c>
      <c r="BB244" s="194">
        <v>0</v>
      </c>
      <c r="BC244" s="194">
        <f>-17.044-BB244-BA244-AZ244</f>
        <v>-17.044</v>
      </c>
      <c r="BD244" s="194">
        <v>0</v>
      </c>
      <c r="BE244" s="194">
        <f>0-BD244</f>
        <v>0</v>
      </c>
      <c r="BF244" s="194">
        <f>0-BE244-BD244</f>
        <v>0</v>
      </c>
      <c r="BG244" s="194">
        <f>-2.554-BF244-BE244-BD244</f>
        <v>-2.5539999999999998</v>
      </c>
      <c r="BH244" s="194">
        <v>0</v>
      </c>
      <c r="BI244" s="194">
        <v>0</v>
      </c>
      <c r="BJ244" s="194">
        <v>0</v>
      </c>
      <c r="BK244" s="194">
        <v>0</v>
      </c>
      <c r="BL244" s="194">
        <v>0</v>
      </c>
      <c r="BM244" s="194">
        <v>0</v>
      </c>
      <c r="BN244" s="194">
        <v>0</v>
      </c>
      <c r="BO244" s="194">
        <v>0</v>
      </c>
      <c r="BP244" s="194">
        <v>0</v>
      </c>
      <c r="BQ244" s="194">
        <v>0</v>
      </c>
      <c r="BR244" s="194">
        <v>0</v>
      </c>
      <c r="BS244" s="194">
        <v>0</v>
      </c>
      <c r="BT244" s="196">
        <v>0</v>
      </c>
      <c r="BU244" s="196">
        <v>0</v>
      </c>
      <c r="BV244" s="196">
        <v>0</v>
      </c>
      <c r="BW244" s="196">
        <v>0</v>
      </c>
      <c r="BX244" s="196">
        <v>0</v>
      </c>
      <c r="BY244" s="196">
        <v>0</v>
      </c>
      <c r="BZ244" s="196">
        <v>0</v>
      </c>
      <c r="CA244" s="196">
        <v>0</v>
      </c>
      <c r="CB244" s="196">
        <v>0</v>
      </c>
      <c r="CC244" s="196">
        <v>0</v>
      </c>
      <c r="CD244" s="196">
        <v>0</v>
      </c>
      <c r="CE244" s="196">
        <v>0</v>
      </c>
      <c r="CF244" s="4"/>
      <c r="CG244" s="4"/>
      <c r="CH244" s="4"/>
      <c r="CI244" s="4"/>
      <c r="CJ244" s="4"/>
      <c r="CK244" s="4"/>
      <c r="CL244" s="4"/>
      <c r="CM244" s="4"/>
      <c r="CN244" s="240">
        <f t="shared" si="629"/>
        <v>237</v>
      </c>
    </row>
    <row r="245" spans="1:92" outlineLevel="1">
      <c r="A245" s="143"/>
      <c r="B245" s="4" t="s">
        <v>60</v>
      </c>
      <c r="C245" s="23">
        <f t="shared" si="719"/>
        <v>8.7460000000000004</v>
      </c>
      <c r="D245" s="23">
        <f t="shared" si="719"/>
        <v>9.1340000000000003</v>
      </c>
      <c r="E245" s="23">
        <f t="shared" si="719"/>
        <v>11.365</v>
      </c>
      <c r="F245" s="23">
        <f t="shared" si="719"/>
        <v>6.6859999999999999</v>
      </c>
      <c r="G245" s="23">
        <f t="shared" si="720"/>
        <v>15.717000000000001</v>
      </c>
      <c r="H245" s="23">
        <f t="shared" si="720"/>
        <v>24.763000000000002</v>
      </c>
      <c r="I245" s="23">
        <f t="shared" si="720"/>
        <v>19.309000000000001</v>
      </c>
      <c r="J245" s="23">
        <f t="shared" si="720"/>
        <v>11.071</v>
      </c>
      <c r="K245" s="23">
        <f t="shared" si="720"/>
        <v>18.707000000000001</v>
      </c>
      <c r="L245" s="23">
        <f t="shared" si="720"/>
        <v>9.843</v>
      </c>
      <c r="M245" s="23">
        <f t="shared" si="720"/>
        <v>12.599</v>
      </c>
      <c r="N245" s="23">
        <f t="shared" si="720"/>
        <v>13.122999999999999</v>
      </c>
      <c r="O245" s="23">
        <f t="shared" si="720"/>
        <v>0</v>
      </c>
      <c r="P245" s="23">
        <f t="shared" si="721"/>
        <v>0</v>
      </c>
      <c r="Q245" s="23">
        <f t="shared" si="721"/>
        <v>0</v>
      </c>
      <c r="R245" s="23"/>
      <c r="S245" s="23"/>
      <c r="T245" s="23"/>
      <c r="U245" s="23"/>
      <c r="V245" s="23"/>
      <c r="W245" s="194">
        <v>0.81499999999999773</v>
      </c>
      <c r="X245" s="194">
        <v>1.357</v>
      </c>
      <c r="Y245" s="194">
        <v>2.5940000000000003</v>
      </c>
      <c r="Z245" s="194">
        <v>2.0109999999999992</v>
      </c>
      <c r="AA245" s="194">
        <v>2.7840000000000007</v>
      </c>
      <c r="AB245" s="194">
        <v>1.8220000000000001</v>
      </c>
      <c r="AC245" s="194">
        <v>2.14</v>
      </c>
      <c r="AD245" s="194">
        <v>2.3329999999999997</v>
      </c>
      <c r="AE245" s="194">
        <v>2.8390000000000004</v>
      </c>
      <c r="AF245" s="194">
        <v>2.4660000000000002</v>
      </c>
      <c r="AG245" s="194">
        <v>2.569</v>
      </c>
      <c r="AH245" s="194">
        <v>3.1080000000000005</v>
      </c>
      <c r="AI245" s="194">
        <v>3.2219999999999995</v>
      </c>
      <c r="AJ245" s="194">
        <v>0</v>
      </c>
      <c r="AK245" s="194">
        <v>0</v>
      </c>
      <c r="AL245" s="194">
        <v>0</v>
      </c>
      <c r="AM245" s="194">
        <v>6.6859999999999999</v>
      </c>
      <c r="AN245" s="194">
        <v>2.097</v>
      </c>
      <c r="AO245" s="194">
        <f>6.533-AN245</f>
        <v>4.4359999999999999</v>
      </c>
      <c r="AP245" s="194">
        <f>10.751-AO245-AN245</f>
        <v>4.218</v>
      </c>
      <c r="AQ245" s="194">
        <f>15.717-AP245-AO245-AN245</f>
        <v>4.9660000000000011</v>
      </c>
      <c r="AR245" s="194">
        <v>6.03</v>
      </c>
      <c r="AS245" s="194">
        <f>15.204-AR245</f>
        <v>9.1739999999999995</v>
      </c>
      <c r="AT245" s="194">
        <f>18.897-AS245-AR245</f>
        <v>3.6929999999999987</v>
      </c>
      <c r="AU245" s="194">
        <f>24.763-AT245-AS245-AR245</f>
        <v>5.8660000000000041</v>
      </c>
      <c r="AV245" s="194">
        <v>3.68</v>
      </c>
      <c r="AW245" s="194">
        <f>7.999-AV245</f>
        <v>4.3189999999999991</v>
      </c>
      <c r="AX245" s="194">
        <f>11.873-AW245-AV245</f>
        <v>3.8740000000000001</v>
      </c>
      <c r="AY245" s="194">
        <f>19.309-AX245-AW245-AV245</f>
        <v>7.4360000000000017</v>
      </c>
      <c r="AZ245" s="194">
        <v>2.9950000000000001</v>
      </c>
      <c r="BA245" s="194">
        <f>5.158-AZ245</f>
        <v>2.1630000000000003</v>
      </c>
      <c r="BB245" s="194">
        <f>8.578-BA245-AZ245</f>
        <v>3.419999999999999</v>
      </c>
      <c r="BC245" s="194">
        <f>11.071-BB245-BA245-AZ245</f>
        <v>2.4930000000000003</v>
      </c>
      <c r="BD245" s="194">
        <f>2.862</f>
        <v>2.8620000000000001</v>
      </c>
      <c r="BE245" s="194">
        <f>11.958-BD245</f>
        <v>9.0960000000000001</v>
      </c>
      <c r="BF245" s="194">
        <f>14.98-BE245-BD245</f>
        <v>3.0220000000000002</v>
      </c>
      <c r="BG245" s="194">
        <f>18.707-BF245-BE245-BD245</f>
        <v>3.7270000000000003</v>
      </c>
      <c r="BH245" s="194">
        <v>2.899</v>
      </c>
      <c r="BI245" s="194">
        <f>6.084-BH245</f>
        <v>3.1849999999999996</v>
      </c>
      <c r="BJ245" s="194">
        <f>7.935-BI245-BH245</f>
        <v>1.851</v>
      </c>
      <c r="BK245" s="194">
        <f>9.843-BJ245-BI245-BH245</f>
        <v>1.9080000000000004</v>
      </c>
      <c r="BL245" s="194">
        <v>2.0099999999999998</v>
      </c>
      <c r="BM245" s="194">
        <f>5.13-BL245</f>
        <v>3.12</v>
      </c>
      <c r="BN245" s="194">
        <f>7.141-BM245-BL245</f>
        <v>2.0110000000000001</v>
      </c>
      <c r="BO245" s="194">
        <f>12.599-BN245-BM245-BL245</f>
        <v>5.4580000000000011</v>
      </c>
      <c r="BP245" s="194">
        <v>2.4929999999999999</v>
      </c>
      <c r="BQ245" s="194">
        <f>8.407-BP245</f>
        <v>5.9139999999999997</v>
      </c>
      <c r="BR245" s="194">
        <f>10.532-BQ245-BP245</f>
        <v>2.1250000000000004</v>
      </c>
      <c r="BS245" s="194">
        <f>13.123-BR245-BQ245-BP245</f>
        <v>2.5909999999999997</v>
      </c>
      <c r="BT245" s="196">
        <v>0</v>
      </c>
      <c r="BU245" s="196">
        <v>0</v>
      </c>
      <c r="BV245" s="196">
        <v>0</v>
      </c>
      <c r="BW245" s="196">
        <v>0</v>
      </c>
      <c r="BX245" s="196">
        <v>0</v>
      </c>
      <c r="BY245" s="196">
        <v>0</v>
      </c>
      <c r="BZ245" s="196">
        <v>0</v>
      </c>
      <c r="CA245" s="196">
        <v>0</v>
      </c>
      <c r="CB245" s="196">
        <v>0</v>
      </c>
      <c r="CC245" s="196">
        <v>0</v>
      </c>
      <c r="CD245" s="196">
        <v>0</v>
      </c>
      <c r="CE245" s="196">
        <v>0</v>
      </c>
      <c r="CF245" s="4"/>
      <c r="CG245" s="4"/>
      <c r="CH245" s="4"/>
      <c r="CI245" s="4"/>
      <c r="CJ245" s="4"/>
      <c r="CK245" s="4"/>
      <c r="CL245" s="4"/>
      <c r="CM245" s="4"/>
      <c r="CN245" s="240">
        <f t="shared" si="629"/>
        <v>238</v>
      </c>
    </row>
    <row r="246" spans="1:92" outlineLevel="1">
      <c r="A246" s="143"/>
      <c r="B246" s="10" t="s">
        <v>58</v>
      </c>
      <c r="C246" s="23">
        <f t="shared" si="719"/>
        <v>35.6</v>
      </c>
      <c r="D246" s="23">
        <f t="shared" si="719"/>
        <v>120.80000000000003</v>
      </c>
      <c r="E246" s="23">
        <f t="shared" si="719"/>
        <v>18.050000000000011</v>
      </c>
      <c r="F246" s="23">
        <f t="shared" si="719"/>
        <v>-84.383999999999986</v>
      </c>
      <c r="G246" s="23">
        <f t="shared" si="720"/>
        <v>29.064000000000046</v>
      </c>
      <c r="H246" s="23">
        <f t="shared" si="720"/>
        <v>100.77000000000012</v>
      </c>
      <c r="I246" s="23">
        <f t="shared" si="720"/>
        <v>-96.300000000000068</v>
      </c>
      <c r="J246" s="23">
        <f t="shared" si="720"/>
        <v>-53.699999999999932</v>
      </c>
      <c r="K246" s="23">
        <f t="shared" si="720"/>
        <v>171.19999999999993</v>
      </c>
      <c r="L246" s="23">
        <f t="shared" si="720"/>
        <v>-224.5</v>
      </c>
      <c r="M246" s="23">
        <f t="shared" si="720"/>
        <v>0</v>
      </c>
      <c r="N246" s="23">
        <f t="shared" si="720"/>
        <v>0</v>
      </c>
      <c r="O246" s="23">
        <f t="shared" si="720"/>
        <v>0</v>
      </c>
      <c r="P246" s="23">
        <f t="shared" si="721"/>
        <v>0</v>
      </c>
      <c r="Q246" s="23">
        <f t="shared" si="721"/>
        <v>0</v>
      </c>
      <c r="R246" s="23"/>
      <c r="S246" s="23"/>
      <c r="T246" s="23"/>
      <c r="U246" s="23"/>
      <c r="V246" s="23"/>
      <c r="W246" s="194">
        <v>0</v>
      </c>
      <c r="X246" s="194">
        <v>0</v>
      </c>
      <c r="Y246" s="194">
        <v>2.0360000000000005</v>
      </c>
      <c r="Z246" s="194">
        <v>4.6140000000000017</v>
      </c>
      <c r="AA246" s="194">
        <v>28.95</v>
      </c>
      <c r="AB246" s="194">
        <v>43.85</v>
      </c>
      <c r="AC246" s="194">
        <v>45.7</v>
      </c>
      <c r="AD246" s="194">
        <v>23.7</v>
      </c>
      <c r="AE246" s="194">
        <v>7.5500000000000114</v>
      </c>
      <c r="AF246" s="194">
        <v>12.65</v>
      </c>
      <c r="AG246" s="194">
        <v>13.5</v>
      </c>
      <c r="AH246" s="194">
        <v>3.0500000000000114</v>
      </c>
      <c r="AI246" s="194">
        <v>-11.15</v>
      </c>
      <c r="AJ246" s="194">
        <v>-41.95</v>
      </c>
      <c r="AK246" s="194">
        <v>-8.9499999999999993</v>
      </c>
      <c r="AL246" s="194">
        <v>-16.933789999999998</v>
      </c>
      <c r="AM246" s="194">
        <v>-16.550209999999979</v>
      </c>
      <c r="AN246" s="194">
        <v>24</v>
      </c>
      <c r="AO246" s="194">
        <f>173.75-163.2-AN246</f>
        <v>-13.449999999999989</v>
      </c>
      <c r="AP246" s="194">
        <f>382.2-364.2-1.886-AO246-AN246</f>
        <v>5.5639999999999894</v>
      </c>
      <c r="AQ246" s="194">
        <f>(516.6-485.65-1.886)-AP246-AO246-AN246</f>
        <v>12.950000000000045</v>
      </c>
      <c r="AR246" s="194">
        <f>190.3-161.75</f>
        <v>28.550000000000011</v>
      </c>
      <c r="AS246" s="194">
        <f>402.55-350.7-0.415-AR246</f>
        <v>22.885000000000012</v>
      </c>
      <c r="AT246" s="194">
        <f>610.45-590.9-0.415-AS246-AR246</f>
        <v>-32.299999999999955</v>
      </c>
      <c r="AU246" s="194">
        <f>940.85-858.8-0.415</f>
        <v>81.635000000000062</v>
      </c>
      <c r="AV246" s="194">
        <f>282.1-304.6</f>
        <v>-22.5</v>
      </c>
      <c r="AW246" s="194">
        <f>450.85-492.15-AV246</f>
        <v>-18.799999999999955</v>
      </c>
      <c r="AX246" s="194">
        <f>606.55-726.15-AW246-AV246</f>
        <v>-78.300000000000068</v>
      </c>
      <c r="AY246" s="194">
        <f>844.05-940.35-AX246-AW246-AV246</f>
        <v>23.299999999999955</v>
      </c>
      <c r="AZ246" s="194">
        <f>227.6-247</f>
        <v>-19.400000000000006</v>
      </c>
      <c r="BA246" s="194">
        <f>-390.3+350.5-AZ246</f>
        <v>-20.400000000000006</v>
      </c>
      <c r="BB246" s="194">
        <f>500.7-556.3-BA246-AZ246</f>
        <v>-15.799999999999955</v>
      </c>
      <c r="BC246" s="194">
        <f>686.7-740.4-BB246-BA246-AZ246</f>
        <v>1.9000000000000341</v>
      </c>
      <c r="BD246" s="194">
        <f>216.4-188.9</f>
        <v>27.5</v>
      </c>
      <c r="BE246" s="194">
        <f>537.4-459.3-BD246</f>
        <v>50.599999999999966</v>
      </c>
      <c r="BF246" s="194">
        <f>826.8-728.1-BE246-BD246</f>
        <v>20.599999999999966</v>
      </c>
      <c r="BG246" s="194">
        <f>1168.1-996.9-BF246-BE246-BD246</f>
        <v>72.5</v>
      </c>
      <c r="BH246" s="194">
        <f>265.4-334.3</f>
        <v>-68.900000000000034</v>
      </c>
      <c r="BI246" s="194">
        <f>464.9-634.5-BH246</f>
        <v>-100.69999999999999</v>
      </c>
      <c r="BJ246" s="194">
        <f>588.4-793.4-BI246-BH246</f>
        <v>-35.399999999999977</v>
      </c>
      <c r="BK246" s="194">
        <f>613.3-837.8-BJ246-BI246-BH246</f>
        <v>-19.5</v>
      </c>
      <c r="BL246" s="194">
        <v>0</v>
      </c>
      <c r="BM246" s="194">
        <v>0</v>
      </c>
      <c r="BN246" s="194">
        <v>0</v>
      </c>
      <c r="BO246" s="194">
        <f t="shared" ref="BO246:BW246" si="722">+BO286-BN286</f>
        <v>0</v>
      </c>
      <c r="BP246" s="194">
        <f t="shared" si="722"/>
        <v>0</v>
      </c>
      <c r="BQ246" s="194">
        <v>0</v>
      </c>
      <c r="BR246" s="194">
        <v>0</v>
      </c>
      <c r="BS246" s="194">
        <v>0</v>
      </c>
      <c r="BT246" s="23">
        <f t="shared" si="722"/>
        <v>0</v>
      </c>
      <c r="BU246" s="23">
        <f t="shared" si="722"/>
        <v>0</v>
      </c>
      <c r="BV246" s="23">
        <f t="shared" si="722"/>
        <v>0</v>
      </c>
      <c r="BW246" s="23">
        <f t="shared" si="722"/>
        <v>0</v>
      </c>
      <c r="BX246" s="23">
        <f t="shared" ref="BX246:CE246" si="723">+BX286-BW286</f>
        <v>0</v>
      </c>
      <c r="BY246" s="23">
        <f t="shared" si="723"/>
        <v>0</v>
      </c>
      <c r="BZ246" s="23">
        <f t="shared" si="723"/>
        <v>0</v>
      </c>
      <c r="CA246" s="23">
        <f t="shared" si="723"/>
        <v>0</v>
      </c>
      <c r="CB246" s="23">
        <f t="shared" si="723"/>
        <v>0</v>
      </c>
      <c r="CC246" s="23">
        <f t="shared" si="723"/>
        <v>0</v>
      </c>
      <c r="CD246" s="23">
        <f t="shared" si="723"/>
        <v>0</v>
      </c>
      <c r="CE246" s="23">
        <f t="shared" si="723"/>
        <v>0</v>
      </c>
      <c r="CF246" s="4"/>
      <c r="CG246" s="4"/>
      <c r="CH246" s="4"/>
      <c r="CI246" s="4"/>
      <c r="CJ246" s="4"/>
      <c r="CK246" s="4"/>
      <c r="CL246" s="4"/>
      <c r="CM246" s="4"/>
      <c r="CN246" s="240">
        <f t="shared" si="629"/>
        <v>239</v>
      </c>
    </row>
    <row r="247" spans="1:92" outlineLevel="1">
      <c r="A247" s="143"/>
      <c r="B247" s="4" t="s">
        <v>61</v>
      </c>
      <c r="C247" s="23">
        <f t="shared" si="719"/>
        <v>-12.996</v>
      </c>
      <c r="D247" s="23">
        <f t="shared" si="719"/>
        <v>-19.472999999999999</v>
      </c>
      <c r="E247" s="23">
        <f t="shared" si="719"/>
        <v>-23.328000000000003</v>
      </c>
      <c r="F247" s="23">
        <f t="shared" si="719"/>
        <v>-21.556000000000001</v>
      </c>
      <c r="G247" s="23">
        <f t="shared" si="720"/>
        <v>-20.646999999999998</v>
      </c>
      <c r="H247" s="23">
        <f t="shared" si="720"/>
        <v>-47.326999999999998</v>
      </c>
      <c r="I247" s="23">
        <f t="shared" si="720"/>
        <v>-114.069</v>
      </c>
      <c r="J247" s="23">
        <f t="shared" si="720"/>
        <v>-87.789000000000001</v>
      </c>
      <c r="K247" s="23">
        <f t="shared" si="720"/>
        <v>-91.608000000000004</v>
      </c>
      <c r="L247" s="23">
        <f t="shared" si="720"/>
        <v>-33.598999999999997</v>
      </c>
      <c r="M247" s="23">
        <f t="shared" si="720"/>
        <v>-10.861000000000001</v>
      </c>
      <c r="N247" s="23">
        <f t="shared" si="720"/>
        <v>-43.319000000000003</v>
      </c>
      <c r="O247" s="23">
        <f t="shared" si="720"/>
        <v>-103.94090496000001</v>
      </c>
      <c r="P247" s="23">
        <f t="shared" si="721"/>
        <v>-121.26438912000002</v>
      </c>
      <c r="Q247" s="23">
        <f t="shared" si="721"/>
        <v>-121.26438912000002</v>
      </c>
      <c r="R247" s="23"/>
      <c r="S247" s="23"/>
      <c r="T247" s="23"/>
      <c r="U247" s="23"/>
      <c r="V247" s="23"/>
      <c r="W247" s="194">
        <v>-1.6840000000000002</v>
      </c>
      <c r="X247" s="194">
        <v>-3.17</v>
      </c>
      <c r="Y247" s="194">
        <v>-3.2439999999999998</v>
      </c>
      <c r="Z247" s="194">
        <v>-3.1880000000000006</v>
      </c>
      <c r="AA247" s="194">
        <v>-3.3940000000000001</v>
      </c>
      <c r="AB247" s="194">
        <v>-4.8860000000000001</v>
      </c>
      <c r="AC247" s="194">
        <v>-4.8589999999999991</v>
      </c>
      <c r="AD247" s="194">
        <v>-4.8630000000000013</v>
      </c>
      <c r="AE247" s="194">
        <v>-4.8650000000000002</v>
      </c>
      <c r="AF247" s="194">
        <v>-5.7939999999999996</v>
      </c>
      <c r="AG247" s="194">
        <v>-5.8479999999999999</v>
      </c>
      <c r="AH247" s="194">
        <v>-5.8560000000000016</v>
      </c>
      <c r="AI247" s="194">
        <v>-5.83</v>
      </c>
      <c r="AJ247" s="194">
        <v>-6.8393599400000005</v>
      </c>
      <c r="AK247" s="194">
        <v>-6.8393599400000005</v>
      </c>
      <c r="AL247" s="194">
        <v>-3.90820568</v>
      </c>
      <c r="AM247" s="194">
        <v>-3.96907444</v>
      </c>
      <c r="AN247" s="194">
        <v>-3.9359999999999999</v>
      </c>
      <c r="AO247" s="194">
        <f>-7.867-AN247</f>
        <v>-3.931</v>
      </c>
      <c r="AP247" s="194">
        <f>-13.766-AO247-AN247</f>
        <v>-5.8990000000000009</v>
      </c>
      <c r="AQ247" s="194">
        <f>-20.647-AP247-AO247-AN247</f>
        <v>-6.8809999999999967</v>
      </c>
      <c r="AR247" s="194">
        <v>-10.353999999999999</v>
      </c>
      <c r="AS247" s="194">
        <f>-20.68-AR247</f>
        <v>-10.326000000000001</v>
      </c>
      <c r="AT247" s="194">
        <f>-32.501-AS247-AR247</f>
        <v>-11.820999999999998</v>
      </c>
      <c r="AU247" s="194">
        <f>-47.327-AT247-AS247-AR247</f>
        <v>-14.826000000000001</v>
      </c>
      <c r="AV247" s="194">
        <v>-17.571000000000002</v>
      </c>
      <c r="AW247" s="194">
        <f>-52.623-AV247-AU247</f>
        <v>-20.225999999999992</v>
      </c>
      <c r="AX247" s="194">
        <f>-AX38*AX328</f>
        <v>-17.577760000000001</v>
      </c>
      <c r="AY247" s="194">
        <f>-114.069-AX247-AW247-AV247</f>
        <v>-58.694240000000008</v>
      </c>
      <c r="AZ247" s="194">
        <v>-22.015000000000001</v>
      </c>
      <c r="BA247" s="194">
        <f>-44.03-AZ247</f>
        <v>-22.015000000000001</v>
      </c>
      <c r="BB247" s="194">
        <f>-65.923-BA247-AZ247</f>
        <v>-21.893000000000001</v>
      </c>
      <c r="BC247" s="194">
        <f>-87.789-BB247-BA247-AZ247</f>
        <v>-21.866</v>
      </c>
      <c r="BD247" s="194">
        <v>-22.986000000000001</v>
      </c>
      <c r="BE247" s="194">
        <f>-45.883-BD247</f>
        <v>-22.897000000000002</v>
      </c>
      <c r="BF247" s="194">
        <f>-68.822-BE247-BD247</f>
        <v>-22.938999999999997</v>
      </c>
      <c r="BG247" s="194">
        <f>-91.608-BF247-BE247-BD247</f>
        <v>-22.786000000000005</v>
      </c>
      <c r="BH247" s="194">
        <v>-22.762</v>
      </c>
      <c r="BI247" s="194">
        <f>-33.599-BH247</f>
        <v>-10.836999999999996</v>
      </c>
      <c r="BJ247" s="194">
        <f>-33.599-BI247-BH247</f>
        <v>0</v>
      </c>
      <c r="BK247" s="194">
        <v>0</v>
      </c>
      <c r="BL247" s="194">
        <f>-BL38*BL328</f>
        <v>0</v>
      </c>
      <c r="BM247" s="194">
        <f>-BM38*BM328</f>
        <v>0</v>
      </c>
      <c r="BN247" s="194">
        <f>-BN38*BN328</f>
        <v>0</v>
      </c>
      <c r="BO247" s="194">
        <v>-10.861000000000001</v>
      </c>
      <c r="BP247" s="194">
        <f>-BP38*BP328</f>
        <v>0</v>
      </c>
      <c r="BQ247" s="194">
        <v>0</v>
      </c>
      <c r="BR247" s="194">
        <f>-13.026-BQ247-BP247</f>
        <v>-13.026</v>
      </c>
      <c r="BS247" s="194">
        <f>-43.319-BR247-BQ247-BP247</f>
        <v>-30.293000000000003</v>
      </c>
      <c r="BT247" s="23">
        <f t="shared" ref="BT247:CE247" si="724">-BT38*BT328</f>
        <v>-21.654355200000001</v>
      </c>
      <c r="BU247" s="23">
        <f t="shared" si="724"/>
        <v>-21.654355200000001</v>
      </c>
      <c r="BV247" s="23">
        <f t="shared" si="724"/>
        <v>-30.316097280000005</v>
      </c>
      <c r="BW247" s="23">
        <f t="shared" si="724"/>
        <v>-30.316097280000005</v>
      </c>
      <c r="BX247" s="23">
        <f t="shared" si="724"/>
        <v>-30.316097280000005</v>
      </c>
      <c r="BY247" s="23">
        <f t="shared" si="724"/>
        <v>-30.316097280000005</v>
      </c>
      <c r="BZ247" s="23">
        <f t="shared" si="724"/>
        <v>-30.316097280000005</v>
      </c>
      <c r="CA247" s="23">
        <f t="shared" si="724"/>
        <v>-30.316097280000005</v>
      </c>
      <c r="CB247" s="23">
        <f t="shared" si="724"/>
        <v>-30.316097280000005</v>
      </c>
      <c r="CC247" s="23">
        <f t="shared" si="724"/>
        <v>-30.316097280000005</v>
      </c>
      <c r="CD247" s="23">
        <f t="shared" si="724"/>
        <v>-30.316097280000005</v>
      </c>
      <c r="CE247" s="23">
        <f t="shared" si="724"/>
        <v>-30.316097280000005</v>
      </c>
      <c r="CF247" s="4"/>
      <c r="CG247" s="4"/>
      <c r="CH247" s="4"/>
      <c r="CI247" s="4"/>
      <c r="CJ247" s="4"/>
      <c r="CK247" s="4"/>
      <c r="CL247" s="4"/>
      <c r="CM247" s="4"/>
      <c r="CN247" s="240">
        <f t="shared" si="629"/>
        <v>240</v>
      </c>
    </row>
    <row r="248" spans="1:92" outlineLevel="1">
      <c r="A248" s="143"/>
      <c r="B248" s="4" t="s">
        <v>62</v>
      </c>
      <c r="C248" s="23">
        <f t="shared" si="719"/>
        <v>1.3410000000000002</v>
      </c>
      <c r="D248" s="23">
        <f t="shared" si="719"/>
        <v>0.63600000000000001</v>
      </c>
      <c r="E248" s="23">
        <f t="shared" si="719"/>
        <v>0.34699999999999998</v>
      </c>
      <c r="F248" s="23">
        <f t="shared" si="719"/>
        <v>1.5430000000000001</v>
      </c>
      <c r="G248" s="23">
        <f t="shared" si="720"/>
        <v>0.24</v>
      </c>
      <c r="H248" s="23">
        <f t="shared" si="720"/>
        <v>3.9910000000000001</v>
      </c>
      <c r="I248" s="23">
        <f t="shared" si="720"/>
        <v>2.1720000000000002</v>
      </c>
      <c r="J248" s="23">
        <f t="shared" si="720"/>
        <v>0</v>
      </c>
      <c r="K248" s="23">
        <f t="shared" si="720"/>
        <v>4.3360000000000003</v>
      </c>
      <c r="L248" s="23">
        <f t="shared" si="720"/>
        <v>1.41</v>
      </c>
      <c r="M248" s="23">
        <f t="shared" si="720"/>
        <v>0</v>
      </c>
      <c r="N248" s="23">
        <f t="shared" si="720"/>
        <v>0</v>
      </c>
      <c r="O248" s="23">
        <f t="shared" si="720"/>
        <v>0</v>
      </c>
      <c r="P248" s="23">
        <f t="shared" si="721"/>
        <v>0</v>
      </c>
      <c r="Q248" s="23">
        <f t="shared" si="721"/>
        <v>0</v>
      </c>
      <c r="R248" s="23"/>
      <c r="S248" s="23"/>
      <c r="T248" s="23"/>
      <c r="U248" s="23"/>
      <c r="V248" s="23"/>
      <c r="W248" s="194">
        <v>0.29200000000000004</v>
      </c>
      <c r="X248" s="194">
        <v>0.54500000000000004</v>
      </c>
      <c r="Y248" s="194">
        <v>0.43</v>
      </c>
      <c r="Z248" s="194">
        <v>0.155</v>
      </c>
      <c r="AA248" s="194">
        <v>0.21100000000000008</v>
      </c>
      <c r="AB248" s="194">
        <v>0.34399999999999997</v>
      </c>
      <c r="AC248" s="194">
        <v>0.15600000000000003</v>
      </c>
      <c r="AD248" s="194">
        <v>5.2000000000000046E-2</v>
      </c>
      <c r="AE248" s="194">
        <v>8.3999999999999964E-2</v>
      </c>
      <c r="AF248" s="194">
        <v>0.21</v>
      </c>
      <c r="AG248" s="194">
        <v>3.5000000000000003E-2</v>
      </c>
      <c r="AH248" s="194">
        <v>5.8999999999999997E-2</v>
      </c>
      <c r="AI248" s="194">
        <v>4.2999999999999983E-2</v>
      </c>
      <c r="AJ248" s="194">
        <v>0</v>
      </c>
      <c r="AK248" s="194">
        <v>0</v>
      </c>
      <c r="AL248" s="194">
        <v>0</v>
      </c>
      <c r="AM248" s="194">
        <v>1.5430000000000001</v>
      </c>
      <c r="AN248" s="194">
        <v>0.26200000000000001</v>
      </c>
      <c r="AO248" s="194">
        <f>0.596-AN248</f>
        <v>0.33399999999999996</v>
      </c>
      <c r="AP248" s="194">
        <f>0.127-AO248-AN248+0.642</f>
        <v>0.17300000000000004</v>
      </c>
      <c r="AQ248" s="194">
        <f>0.24-AP248-AO248-AN248</f>
        <v>-0.52900000000000003</v>
      </c>
      <c r="AR248" s="194">
        <f>0.324+2.278</f>
        <v>2.6019999999999999</v>
      </c>
      <c r="AS248" s="194">
        <f>0.572-AR248+3.419</f>
        <v>1.3890000000000002</v>
      </c>
      <c r="AT248" s="194">
        <v>0</v>
      </c>
      <c r="AU248" s="194">
        <v>0</v>
      </c>
      <c r="AV248" s="194">
        <v>0</v>
      </c>
      <c r="AW248" s="194">
        <f>2.172-AV248</f>
        <v>2.1720000000000002</v>
      </c>
      <c r="AX248" s="194">
        <v>0</v>
      </c>
      <c r="AY248" s="194">
        <v>0</v>
      </c>
      <c r="AZ248" s="194">
        <v>0</v>
      </c>
      <c r="BA248" s="194">
        <v>0</v>
      </c>
      <c r="BB248" s="194">
        <v>0</v>
      </c>
      <c r="BC248" s="194">
        <v>0</v>
      </c>
      <c r="BD248" s="194">
        <v>4.4550000000000001</v>
      </c>
      <c r="BE248" s="194">
        <f>4.416-BD248</f>
        <v>-3.8999999999999702E-2</v>
      </c>
      <c r="BF248" s="194">
        <f>4.378-BE248-BD248</f>
        <v>-3.8000000000000256E-2</v>
      </c>
      <c r="BG248" s="194">
        <f>4.336-BF248-BE248-BD248</f>
        <v>-4.1999999999999815E-2</v>
      </c>
      <c r="BH248" s="194">
        <v>1.46</v>
      </c>
      <c r="BI248" s="194">
        <f>1.41-BH248</f>
        <v>-5.0000000000000044E-2</v>
      </c>
      <c r="BJ248" s="194">
        <f>1.41-BI248-BH248</f>
        <v>0</v>
      </c>
      <c r="BK248" s="194">
        <f>1.41-BJ248-BI248-BH248</f>
        <v>0</v>
      </c>
      <c r="BL248" s="194">
        <v>0</v>
      </c>
      <c r="BM248" s="194">
        <v>0</v>
      </c>
      <c r="BN248" s="194">
        <v>0</v>
      </c>
      <c r="BO248" s="194">
        <v>0</v>
      </c>
      <c r="BP248" s="194">
        <v>0</v>
      </c>
      <c r="BQ248" s="194">
        <v>0</v>
      </c>
      <c r="BR248" s="194">
        <v>0</v>
      </c>
      <c r="BS248" s="194">
        <v>0</v>
      </c>
      <c r="BT248" s="196">
        <v>0</v>
      </c>
      <c r="BU248" s="196">
        <v>0</v>
      </c>
      <c r="BV248" s="196">
        <v>0</v>
      </c>
      <c r="BW248" s="196">
        <v>0</v>
      </c>
      <c r="BX248" s="196">
        <v>0</v>
      </c>
      <c r="BY248" s="196">
        <v>0</v>
      </c>
      <c r="BZ248" s="196">
        <v>0</v>
      </c>
      <c r="CA248" s="196">
        <v>0</v>
      </c>
      <c r="CB248" s="196">
        <v>0</v>
      </c>
      <c r="CC248" s="196">
        <v>0</v>
      </c>
      <c r="CD248" s="196">
        <v>0</v>
      </c>
      <c r="CE248" s="196">
        <v>0</v>
      </c>
      <c r="CF248" s="4"/>
      <c r="CG248" s="4"/>
      <c r="CH248" s="4"/>
      <c r="CI248" s="4"/>
      <c r="CJ248" s="4"/>
      <c r="CK248" s="4"/>
      <c r="CL248" s="4"/>
      <c r="CM248" s="4"/>
      <c r="CN248" s="240">
        <f t="shared" si="629"/>
        <v>241</v>
      </c>
    </row>
    <row r="249" spans="1:92" outlineLevel="1">
      <c r="A249" s="143"/>
      <c r="B249" s="4" t="s">
        <v>130</v>
      </c>
      <c r="C249" s="23">
        <f t="shared" si="719"/>
        <v>-2.024</v>
      </c>
      <c r="D249" s="23">
        <f t="shared" si="719"/>
        <v>-1.73</v>
      </c>
      <c r="E249" s="23">
        <f t="shared" si="719"/>
        <v>-17.489000000000004</v>
      </c>
      <c r="F249" s="23">
        <f t="shared" si="719"/>
        <v>-1.7470000000000001</v>
      </c>
      <c r="G249" s="23">
        <f t="shared" si="720"/>
        <v>-1.65</v>
      </c>
      <c r="H249" s="23">
        <f t="shared" si="720"/>
        <v>-34.418999999999997</v>
      </c>
      <c r="I249" s="23">
        <f t="shared" si="720"/>
        <v>-30.224</v>
      </c>
      <c r="J249" s="23">
        <f t="shared" si="720"/>
        <v>-25.122</v>
      </c>
      <c r="K249" s="23">
        <f t="shared" si="720"/>
        <v>-49.597000000000008</v>
      </c>
      <c r="L249" s="23">
        <f t="shared" si="720"/>
        <v>-4.093</v>
      </c>
      <c r="M249" s="23">
        <f t="shared" si="720"/>
        <v>-3.2570000000000001</v>
      </c>
      <c r="N249" s="23">
        <f t="shared" si="720"/>
        <v>-26.783999999999999</v>
      </c>
      <c r="O249" s="23">
        <f t="shared" si="720"/>
        <v>0</v>
      </c>
      <c r="P249" s="23">
        <f t="shared" si="721"/>
        <v>0</v>
      </c>
      <c r="Q249" s="23">
        <f t="shared" si="721"/>
        <v>0</v>
      </c>
      <c r="R249" s="23"/>
      <c r="S249" s="23"/>
      <c r="T249" s="23"/>
      <c r="U249" s="23"/>
      <c r="V249" s="23"/>
      <c r="W249" s="194">
        <v>0</v>
      </c>
      <c r="X249" s="194">
        <v>-1.1100000000000001</v>
      </c>
      <c r="Y249" s="194">
        <v>-0.83399999999999985</v>
      </c>
      <c r="Z249" s="194">
        <v>-7.5000000000000178E-2</v>
      </c>
      <c r="AA249" s="194">
        <v>-4.9999999999998934E-3</v>
      </c>
      <c r="AB249" s="194">
        <v>-1.165</v>
      </c>
      <c r="AC249" s="194">
        <v>-0.56499999999999995</v>
      </c>
      <c r="AD249" s="194">
        <v>0</v>
      </c>
      <c r="AE249" s="194">
        <v>0</v>
      </c>
      <c r="AF249" s="194">
        <v>-5.1929999999999996</v>
      </c>
      <c r="AG249" s="194">
        <v>-0.47800000000000065</v>
      </c>
      <c r="AH249" s="194">
        <v>-8.1850000000000005</v>
      </c>
      <c r="AI249" s="194">
        <v>-3.6330000000000027</v>
      </c>
      <c r="AJ249" s="194">
        <v>0</v>
      </c>
      <c r="AK249" s="194">
        <v>0</v>
      </c>
      <c r="AL249" s="194">
        <v>0</v>
      </c>
      <c r="AM249" s="194">
        <v>-1.7470000000000001</v>
      </c>
      <c r="AN249" s="194">
        <v>-1.2689999999999999</v>
      </c>
      <c r="AO249" s="194">
        <f>-1.643-AN249</f>
        <v>-0.37400000000000011</v>
      </c>
      <c r="AP249" s="194">
        <f>-1.647-AO249-AN249</f>
        <v>-4.0000000000000036E-3</v>
      </c>
      <c r="AQ249" s="194">
        <f>-1.65-AP249-AO249-AN249</f>
        <v>-2.9999999999998916E-3</v>
      </c>
      <c r="AR249" s="194">
        <v>-17.498999999999999</v>
      </c>
      <c r="AS249" s="194">
        <f>-18.857-AR249</f>
        <v>-1.3580000000000005</v>
      </c>
      <c r="AT249" s="194">
        <f>-18.857-AS249-AR249</f>
        <v>0</v>
      </c>
      <c r="AU249" s="194">
        <f>-34.419-AT249-AS249-AR249</f>
        <v>-15.561999999999994</v>
      </c>
      <c r="AV249" s="194">
        <v>-29.675000000000001</v>
      </c>
      <c r="AW249" s="194">
        <f>-30.024-AV249</f>
        <v>-0.3490000000000002</v>
      </c>
      <c r="AX249" s="194">
        <f>-30.224-AW249-AV249</f>
        <v>-0.19999999999999929</v>
      </c>
      <c r="AY249" s="194">
        <f>-30.224-AX249-AW249-AV249</f>
        <v>0</v>
      </c>
      <c r="AZ249" s="194">
        <v>-4.9610000000000003</v>
      </c>
      <c r="BA249" s="194">
        <f>-20.587-AZ249</f>
        <v>-15.625999999999999</v>
      </c>
      <c r="BB249" s="194">
        <f>-25.121-BA249-AZ249</f>
        <v>-4.5339999999999989</v>
      </c>
      <c r="BC249" s="194">
        <f>-25.122-BB249-BA249-AZ249</f>
        <v>-1.0000000000012221E-3</v>
      </c>
      <c r="BD249" s="194">
        <f>-13.144</f>
        <v>-13.144</v>
      </c>
      <c r="BE249" s="194">
        <f>-13.144-BD249</f>
        <v>0</v>
      </c>
      <c r="BF249" s="194">
        <f>-17.548-BE249-BD249</f>
        <v>-4.4039999999999981</v>
      </c>
      <c r="BG249" s="194">
        <f>-49.597-BF249-BE249-BD249</f>
        <v>-32.049000000000007</v>
      </c>
      <c r="BH249" s="194">
        <v>-4.093</v>
      </c>
      <c r="BI249" s="194">
        <f>-4.093-BH249</f>
        <v>0</v>
      </c>
      <c r="BJ249" s="194">
        <f>-4.093-BI249-BH249</f>
        <v>0</v>
      </c>
      <c r="BK249" s="194">
        <f>-4.093-BJ249-BI249-BH249</f>
        <v>0</v>
      </c>
      <c r="BL249" s="194">
        <v>-3.1909999999999998</v>
      </c>
      <c r="BM249" s="194">
        <f>-3.194-BL249</f>
        <v>-3.0000000000001137E-3</v>
      </c>
      <c r="BN249" s="194">
        <f>-3.218-BM249-BL249</f>
        <v>-2.4000000000000021E-2</v>
      </c>
      <c r="BO249" s="194">
        <f>-3.257-BN249-BM249-BL249</f>
        <v>-3.9000000000000146E-2</v>
      </c>
      <c r="BP249" s="194">
        <v>-5.6740000000000004</v>
      </c>
      <c r="BQ249" s="194">
        <f>-12.454-BP249</f>
        <v>-6.78</v>
      </c>
      <c r="BR249" s="194">
        <f>-26.724-BQ249-BP249</f>
        <v>-14.27</v>
      </c>
      <c r="BS249" s="194">
        <f>-26.784-BR249-BQ249-BP249</f>
        <v>-5.9999999999998721E-2</v>
      </c>
      <c r="BT249" s="23">
        <v>0</v>
      </c>
      <c r="BU249" s="23">
        <v>0</v>
      </c>
      <c r="BV249" s="23">
        <v>0</v>
      </c>
      <c r="BW249" s="23">
        <v>0</v>
      </c>
      <c r="BX249" s="23">
        <v>0</v>
      </c>
      <c r="BY249" s="23">
        <v>0</v>
      </c>
      <c r="BZ249" s="23">
        <v>0</v>
      </c>
      <c r="CA249" s="23">
        <v>0</v>
      </c>
      <c r="CB249" s="23">
        <v>0</v>
      </c>
      <c r="CC249" s="23">
        <v>0</v>
      </c>
      <c r="CD249" s="23">
        <v>0</v>
      </c>
      <c r="CE249" s="23">
        <v>0</v>
      </c>
      <c r="CF249" s="4"/>
      <c r="CG249" s="4"/>
      <c r="CH249" s="4"/>
      <c r="CI249" s="4"/>
      <c r="CJ249" s="4"/>
      <c r="CK249" s="4"/>
      <c r="CL249" s="4"/>
      <c r="CM249" s="4"/>
      <c r="CN249" s="240">
        <f t="shared" si="629"/>
        <v>242</v>
      </c>
    </row>
    <row r="250" spans="1:92" outlineLevel="1">
      <c r="A250" s="143"/>
      <c r="B250" s="4" t="s">
        <v>50</v>
      </c>
      <c r="C250" s="23">
        <f t="shared" si="719"/>
        <v>0.85599999999999998</v>
      </c>
      <c r="D250" s="23">
        <f t="shared" si="719"/>
        <v>1.1279999999999999</v>
      </c>
      <c r="E250" s="23">
        <f t="shared" si="719"/>
        <v>0.752</v>
      </c>
      <c r="F250" s="23">
        <f t="shared" si="719"/>
        <v>0.2710000000000008</v>
      </c>
      <c r="G250" s="23">
        <f t="shared" si="720"/>
        <v>0.59099999999999975</v>
      </c>
      <c r="H250" s="23">
        <f t="shared" si="720"/>
        <v>-13.563000000000038</v>
      </c>
      <c r="I250" s="23">
        <f t="shared" si="720"/>
        <v>-5.1489999999999112</v>
      </c>
      <c r="J250" s="23">
        <f t="shared" si="720"/>
        <v>3.1779999999999999</v>
      </c>
      <c r="K250" s="23">
        <f t="shared" si="720"/>
        <v>-0.66700000000000004</v>
      </c>
      <c r="L250" s="23">
        <f t="shared" si="720"/>
        <v>0</v>
      </c>
      <c r="M250" s="23">
        <f t="shared" si="720"/>
        <v>0.39200000000000002</v>
      </c>
      <c r="N250" s="23">
        <f t="shared" si="720"/>
        <v>0</v>
      </c>
      <c r="O250" s="23">
        <f t="shared" si="720"/>
        <v>0</v>
      </c>
      <c r="P250" s="23">
        <f t="shared" si="721"/>
        <v>0</v>
      </c>
      <c r="Q250" s="23">
        <f t="shared" si="721"/>
        <v>0</v>
      </c>
      <c r="R250" s="23"/>
      <c r="S250" s="23"/>
      <c r="T250" s="23"/>
      <c r="U250" s="23"/>
      <c r="V250" s="23"/>
      <c r="W250" s="194"/>
      <c r="X250" s="194">
        <v>0.64</v>
      </c>
      <c r="Y250" s="194">
        <v>0.64699999999999991</v>
      </c>
      <c r="Z250" s="194">
        <v>-0.43099999999999994</v>
      </c>
      <c r="AA250" s="194">
        <v>0</v>
      </c>
      <c r="AB250" s="194">
        <v>0.67</v>
      </c>
      <c r="AC250" s="194">
        <v>0.45099999999999996</v>
      </c>
      <c r="AD250" s="194">
        <v>0</v>
      </c>
      <c r="AE250" s="194">
        <v>6.9999999999998952E-3</v>
      </c>
      <c r="AF250" s="194">
        <v>0.42099999999999999</v>
      </c>
      <c r="AG250" s="194">
        <v>0.25200000000000006</v>
      </c>
      <c r="AH250" s="194">
        <v>3.9000000000000035E-2</v>
      </c>
      <c r="AI250" s="194">
        <v>3.9999999999999925E-2</v>
      </c>
      <c r="AJ250" s="194">
        <v>-2.9086400000000001</v>
      </c>
      <c r="AK250" s="194">
        <v>10.84736</v>
      </c>
      <c r="AL250" s="194">
        <v>1.2620000000000005</v>
      </c>
      <c r="AM250" s="194">
        <v>-8.9297199999999997</v>
      </c>
      <c r="AN250" s="194">
        <v>-8.9999999999999993E-3</v>
      </c>
      <c r="AO250" s="194">
        <v>-3.7</v>
      </c>
      <c r="AP250" s="194">
        <v>4.3</v>
      </c>
      <c r="AQ250" s="194">
        <v>0</v>
      </c>
      <c r="AR250" s="194">
        <v>0</v>
      </c>
      <c r="AS250" s="194">
        <v>-0.3</v>
      </c>
      <c r="AT250" s="194">
        <v>-3.5449999999999893</v>
      </c>
      <c r="AU250" s="194">
        <v>-9.7180000000000479</v>
      </c>
      <c r="AV250" s="194">
        <v>0.79100000000000303</v>
      </c>
      <c r="AW250" s="194">
        <v>-2.1504760000000598</v>
      </c>
      <c r="AX250" s="194">
        <v>4.794236000000101</v>
      </c>
      <c r="AY250" s="194">
        <v>-8.5837599999999554</v>
      </c>
      <c r="AZ250" s="194">
        <v>3.2320000000000002</v>
      </c>
      <c r="BA250" s="194">
        <f>3.197-AZ250</f>
        <v>-3.5000000000000142E-2</v>
      </c>
      <c r="BB250" s="194">
        <f>3.157-BA250-AZ250</f>
        <v>-4.0000000000000036E-2</v>
      </c>
      <c r="BC250" s="194">
        <f>3.178-BB250-BA250-AZ250</f>
        <v>2.0999999999999908E-2</v>
      </c>
      <c r="BD250" s="194">
        <v>-0.66700000000000004</v>
      </c>
      <c r="BE250" s="194">
        <f>-0.667-BD250</f>
        <v>0</v>
      </c>
      <c r="BF250" s="194">
        <f>-0.667-BE250-BD250</f>
        <v>0</v>
      </c>
      <c r="BG250" s="194">
        <f>-0.667-BF250-BE250-BD250</f>
        <v>0</v>
      </c>
      <c r="BH250" s="194">
        <v>0</v>
      </c>
      <c r="BI250" s="194">
        <v>0</v>
      </c>
      <c r="BJ250" s="194">
        <v>0</v>
      </c>
      <c r="BK250" s="194">
        <v>0</v>
      </c>
      <c r="BL250" s="194">
        <v>0.40300000000000002</v>
      </c>
      <c r="BM250" s="194">
        <f>0.285-0.035-BL250</f>
        <v>-0.15300000000000005</v>
      </c>
      <c r="BN250" s="194">
        <f>-0.035+0.36-BM250-BL250</f>
        <v>7.4999999999999956E-2</v>
      </c>
      <c r="BO250" s="194">
        <f>-0.035+0.427-BN250-BM250-BL250</f>
        <v>6.700000000000006E-2</v>
      </c>
      <c r="BP250" s="194">
        <v>0</v>
      </c>
      <c r="BQ250" s="194">
        <v>0</v>
      </c>
      <c r="BR250" s="194">
        <v>0</v>
      </c>
      <c r="BS250" s="194">
        <v>0</v>
      </c>
      <c r="BT250" s="196">
        <f>BS265-BT265+BS266-BT266+BT276-BS276+BT274-BS274</f>
        <v>0</v>
      </c>
      <c r="BU250" s="196">
        <f>BT265-BU265+BT266-BU266+BU276-BT276+BU274-BT274</f>
        <v>0</v>
      </c>
      <c r="BV250" s="196">
        <f>BU265-BV265+BU266-BV266+BV276-BU276+BV274-BU274</f>
        <v>0</v>
      </c>
      <c r="BW250" s="196">
        <f>BV265-BW265+BV266-BW266+BW276-BV276+BW274-BV274</f>
        <v>0</v>
      </c>
      <c r="BX250" s="196">
        <f t="shared" ref="BX250:CE250" si="725">BW265-BX265+BW266-BX266+BX276-BW276+BX274-BW274</f>
        <v>0</v>
      </c>
      <c r="BY250" s="196">
        <f t="shared" si="725"/>
        <v>0</v>
      </c>
      <c r="BZ250" s="196">
        <f t="shared" si="725"/>
        <v>0</v>
      </c>
      <c r="CA250" s="196">
        <f t="shared" si="725"/>
        <v>0</v>
      </c>
      <c r="CB250" s="196">
        <f t="shared" si="725"/>
        <v>0</v>
      </c>
      <c r="CC250" s="196">
        <f t="shared" si="725"/>
        <v>0</v>
      </c>
      <c r="CD250" s="196">
        <f t="shared" si="725"/>
        <v>0</v>
      </c>
      <c r="CE250" s="196">
        <f t="shared" si="725"/>
        <v>0</v>
      </c>
      <c r="CF250" s="4"/>
      <c r="CG250" s="4"/>
      <c r="CH250" s="4"/>
      <c r="CI250" s="4"/>
      <c r="CJ250" s="4"/>
      <c r="CK250" s="4"/>
      <c r="CL250" s="4"/>
      <c r="CM250" s="4"/>
      <c r="CN250" s="240">
        <f t="shared" si="629"/>
        <v>243</v>
      </c>
    </row>
    <row r="251" spans="1:92" outlineLevel="1">
      <c r="A251" s="143"/>
      <c r="B251" s="19" t="s">
        <v>64</v>
      </c>
      <c r="C251" s="55">
        <f t="shared" ref="C251:Q251" si="726">SUM(C244:C250,C243)</f>
        <v>-10.079999999999991</v>
      </c>
      <c r="D251" s="55">
        <f t="shared" si="726"/>
        <v>3.6219999999999999</v>
      </c>
      <c r="E251" s="55">
        <f t="shared" si="726"/>
        <v>-3.301000000000041</v>
      </c>
      <c r="F251" s="55">
        <f t="shared" si="726"/>
        <v>1.4519999999999982</v>
      </c>
      <c r="G251" s="55">
        <f t="shared" si="726"/>
        <v>4.5730000000000608</v>
      </c>
      <c r="H251" s="55">
        <f t="shared" si="726"/>
        <v>-1.6689999999999188</v>
      </c>
      <c r="I251" s="55">
        <f t="shared" si="726"/>
        <v>6.7699999999998681</v>
      </c>
      <c r="J251" s="55">
        <f t="shared" si="726"/>
        <v>-5.4629999999999939</v>
      </c>
      <c r="K251" s="55">
        <f t="shared" si="726"/>
        <v>1.0719999999999601</v>
      </c>
      <c r="L251" s="55">
        <f t="shared" si="726"/>
        <v>55.427000000000106</v>
      </c>
      <c r="M251" s="55">
        <f t="shared" si="726"/>
        <v>66.63900000000001</v>
      </c>
      <c r="N251" s="55">
        <f t="shared" si="726"/>
        <v>-40.785000000000011</v>
      </c>
      <c r="O251" s="55">
        <f t="shared" si="726"/>
        <v>83.078875295072521</v>
      </c>
      <c r="P251" s="55">
        <f t="shared" si="726"/>
        <v>72.90233737875657</v>
      </c>
      <c r="Q251" s="55">
        <f t="shared" si="726"/>
        <v>329.17552136934091</v>
      </c>
      <c r="R251" s="108"/>
      <c r="S251" s="23"/>
      <c r="T251" s="23"/>
      <c r="U251" s="23"/>
      <c r="V251" s="23"/>
      <c r="W251" s="55">
        <f t="shared" ref="W251:BB251" si="727">SUM(W244:W250,W243)</f>
        <v>-8.7780000000000129</v>
      </c>
      <c r="X251" s="55">
        <f t="shared" si="727"/>
        <v>-5.4229999999999912</v>
      </c>
      <c r="Y251" s="55">
        <f t="shared" si="727"/>
        <v>-4.4499999999999957</v>
      </c>
      <c r="Z251" s="55">
        <f t="shared" si="727"/>
        <v>4.0790000000000024</v>
      </c>
      <c r="AA251" s="55">
        <f t="shared" si="727"/>
        <v>-4.2860000000000049</v>
      </c>
      <c r="AB251" s="55">
        <f t="shared" si="727"/>
        <v>1.2580000000000027</v>
      </c>
      <c r="AC251" s="55">
        <f t="shared" si="727"/>
        <v>0.72500000000000142</v>
      </c>
      <c r="AD251" s="55">
        <f t="shared" si="727"/>
        <v>4.9409999999999812</v>
      </c>
      <c r="AE251" s="55">
        <f t="shared" si="727"/>
        <v>-3.3019999999999836</v>
      </c>
      <c r="AF251" s="55">
        <f t="shared" si="727"/>
        <v>5.1509999999999989</v>
      </c>
      <c r="AG251" s="55">
        <f t="shared" si="727"/>
        <v>-2.473000000000015</v>
      </c>
      <c r="AH251" s="55">
        <f t="shared" si="727"/>
        <v>-5.7229999999999928</v>
      </c>
      <c r="AI251" s="55">
        <f t="shared" si="727"/>
        <v>-0.25600000000000733</v>
      </c>
      <c r="AJ251" s="55">
        <f t="shared" si="727"/>
        <v>-0.72499993999998935</v>
      </c>
      <c r="AK251" s="55">
        <f t="shared" si="727"/>
        <v>0.50000005999998187</v>
      </c>
      <c r="AL251" s="55">
        <f t="shared" si="727"/>
        <v>0.51300432000000029</v>
      </c>
      <c r="AM251" s="55">
        <f t="shared" si="727"/>
        <v>1.1639955600000214</v>
      </c>
      <c r="AN251" s="55">
        <f t="shared" si="727"/>
        <v>-0.66800000000000637</v>
      </c>
      <c r="AO251" s="55">
        <f t="shared" si="727"/>
        <v>-0.15199999999998326</v>
      </c>
      <c r="AP251" s="55">
        <f t="shared" si="727"/>
        <v>-0.44399999999996709</v>
      </c>
      <c r="AQ251" s="55">
        <f t="shared" si="727"/>
        <v>5.8370000000000246</v>
      </c>
      <c r="AR251" s="55">
        <f t="shared" si="727"/>
        <v>2.6430000000000504</v>
      </c>
      <c r="AS251" s="55">
        <f t="shared" si="727"/>
        <v>-4.5150000000000468</v>
      </c>
      <c r="AT251" s="55">
        <f t="shared" si="727"/>
        <v>-0.21999999999999886</v>
      </c>
      <c r="AU251" s="55">
        <f t="shared" si="727"/>
        <v>0.42300000000000182</v>
      </c>
      <c r="AV251" s="55">
        <f t="shared" si="727"/>
        <v>-1.659000000000006</v>
      </c>
      <c r="AW251" s="55">
        <f t="shared" si="727"/>
        <v>3.5219999999999985</v>
      </c>
      <c r="AX251" s="55">
        <f t="shared" si="727"/>
        <v>1.8859999999999957</v>
      </c>
      <c r="AY251" s="55">
        <f t="shared" si="727"/>
        <v>3.0210000000000008</v>
      </c>
      <c r="AZ251" s="55">
        <f t="shared" si="727"/>
        <v>-3.8800000000000026</v>
      </c>
      <c r="BA251" s="55">
        <f t="shared" si="727"/>
        <v>-2.4000000000008015E-2</v>
      </c>
      <c r="BB251" s="55">
        <f t="shared" si="727"/>
        <v>12.678000000000004</v>
      </c>
      <c r="BC251" s="55">
        <f t="shared" ref="BC251:CE251" si="728">SUM(BC244:BC250,BC243)</f>
        <v>-14.236999999999945</v>
      </c>
      <c r="BD251" s="55">
        <f t="shared" si="728"/>
        <v>35.592999999999996</v>
      </c>
      <c r="BE251" s="55">
        <f t="shared" si="728"/>
        <v>-22.129000000000033</v>
      </c>
      <c r="BF251" s="55">
        <f t="shared" si="728"/>
        <v>-13.642000000000026</v>
      </c>
      <c r="BG251" s="55">
        <f t="shared" si="728"/>
        <v>1.25</v>
      </c>
      <c r="BH251" s="55">
        <f t="shared" si="728"/>
        <v>5.7039999999999651</v>
      </c>
      <c r="BI251" s="55">
        <f t="shared" si="728"/>
        <v>-0.632000000000005</v>
      </c>
      <c r="BJ251" s="55">
        <f t="shared" si="728"/>
        <v>-7.3359999999999275</v>
      </c>
      <c r="BK251" s="55">
        <f t="shared" si="728"/>
        <v>57.690999999999931</v>
      </c>
      <c r="BL251" s="55">
        <f t="shared" si="728"/>
        <v>43.113000000000007</v>
      </c>
      <c r="BM251" s="55">
        <f t="shared" si="728"/>
        <v>33.044999999999995</v>
      </c>
      <c r="BN251" s="55">
        <f t="shared" si="728"/>
        <v>-2.2669999999999932</v>
      </c>
      <c r="BO251" s="55">
        <f t="shared" si="728"/>
        <v>-7.2520000000000095</v>
      </c>
      <c r="BP251" s="55">
        <f t="shared" si="728"/>
        <v>-27.337</v>
      </c>
      <c r="BQ251" s="55">
        <f t="shared" si="728"/>
        <v>21.314000000000004</v>
      </c>
      <c r="BR251" s="55">
        <f t="shared" si="728"/>
        <v>11.079999999999998</v>
      </c>
      <c r="BS251" s="55">
        <f t="shared" si="728"/>
        <v>-45.841999999999999</v>
      </c>
      <c r="BT251" s="55">
        <f t="shared" si="728"/>
        <v>33.537852401467489</v>
      </c>
      <c r="BU251" s="55">
        <f t="shared" si="728"/>
        <v>-39.883946693734018</v>
      </c>
      <c r="BV251" s="55">
        <f t="shared" si="728"/>
        <v>32.720122136253124</v>
      </c>
      <c r="BW251" s="55">
        <f t="shared" si="728"/>
        <v>56.70484745108601</v>
      </c>
      <c r="BX251" s="55">
        <f t="shared" si="728"/>
        <v>68.935882166325342</v>
      </c>
      <c r="BY251" s="55">
        <f t="shared" si="728"/>
        <v>71.21881911074982</v>
      </c>
      <c r="BZ251" s="55">
        <f t="shared" si="728"/>
        <v>-30.911172322104473</v>
      </c>
      <c r="CA251" s="55">
        <f t="shared" si="728"/>
        <v>-36.341191576214186</v>
      </c>
      <c r="CB251" s="55">
        <f t="shared" si="728"/>
        <v>72.108108439799196</v>
      </c>
      <c r="CC251" s="55">
        <f t="shared" si="728"/>
        <v>86.050050340189301</v>
      </c>
      <c r="CD251" s="55">
        <f t="shared" si="728"/>
        <v>85.505287042073775</v>
      </c>
      <c r="CE251" s="55">
        <f t="shared" si="728"/>
        <v>85.512075547278471</v>
      </c>
      <c r="CF251" s="4"/>
      <c r="CG251" s="4"/>
      <c r="CH251" s="4"/>
      <c r="CI251" s="4"/>
      <c r="CJ251" s="4"/>
      <c r="CK251" s="4"/>
      <c r="CL251" s="4"/>
      <c r="CM251" s="4"/>
      <c r="CN251" s="240">
        <f t="shared" si="629"/>
        <v>244</v>
      </c>
    </row>
    <row r="252" spans="1:92" outlineLevel="1">
      <c r="A252" s="143"/>
      <c r="B252" s="34"/>
      <c r="C252" s="79"/>
      <c r="D252" s="79">
        <f t="shared" ref="D252:N252" si="729">ROUND((D256-C256)-D251,1)</f>
        <v>0</v>
      </c>
      <c r="E252" s="79">
        <f t="shared" si="729"/>
        <v>0</v>
      </c>
      <c r="F252" s="79">
        <f t="shared" si="729"/>
        <v>0</v>
      </c>
      <c r="G252" s="79">
        <f t="shared" si="729"/>
        <v>0</v>
      </c>
      <c r="H252" s="118">
        <f t="shared" si="729"/>
        <v>0</v>
      </c>
      <c r="I252" s="118">
        <f t="shared" si="729"/>
        <v>0</v>
      </c>
      <c r="J252" s="118">
        <f t="shared" si="729"/>
        <v>0</v>
      </c>
      <c r="K252" s="118">
        <f t="shared" si="729"/>
        <v>0</v>
      </c>
      <c r="L252" s="118">
        <f t="shared" si="729"/>
        <v>0</v>
      </c>
      <c r="M252" s="118">
        <f t="shared" si="729"/>
        <v>0</v>
      </c>
      <c r="N252" s="118">
        <f t="shared" si="729"/>
        <v>0</v>
      </c>
      <c r="O252" s="118"/>
      <c r="P252" s="118"/>
      <c r="Q252" s="118"/>
      <c r="R252" s="118"/>
      <c r="S252" s="210"/>
      <c r="T252" s="210"/>
      <c r="U252" s="210"/>
      <c r="V252" s="210"/>
      <c r="W252" s="119"/>
      <c r="X252" s="118">
        <f t="shared" ref="X252:AL252" si="730">ROUND((X256-W256)-X251,1)</f>
        <v>0</v>
      </c>
      <c r="Y252" s="118">
        <f t="shared" si="730"/>
        <v>0</v>
      </c>
      <c r="Z252" s="118">
        <f t="shared" si="730"/>
        <v>0</v>
      </c>
      <c r="AA252" s="118">
        <f t="shared" si="730"/>
        <v>0</v>
      </c>
      <c r="AB252" s="118">
        <f t="shared" si="730"/>
        <v>0</v>
      </c>
      <c r="AC252" s="118">
        <f t="shared" si="730"/>
        <v>0</v>
      </c>
      <c r="AD252" s="118">
        <f t="shared" si="730"/>
        <v>0</v>
      </c>
      <c r="AE252" s="118">
        <f t="shared" si="730"/>
        <v>0</v>
      </c>
      <c r="AF252" s="118">
        <f t="shared" si="730"/>
        <v>0</v>
      </c>
      <c r="AG252" s="118">
        <f t="shared" si="730"/>
        <v>0</v>
      </c>
      <c r="AH252" s="118">
        <f t="shared" si="730"/>
        <v>0</v>
      </c>
      <c r="AI252" s="118">
        <f t="shared" si="730"/>
        <v>0</v>
      </c>
      <c r="AJ252" s="118">
        <f t="shared" si="730"/>
        <v>0</v>
      </c>
      <c r="AK252" s="118">
        <f t="shared" si="730"/>
        <v>0</v>
      </c>
      <c r="AL252" s="118">
        <f t="shared" si="730"/>
        <v>0</v>
      </c>
      <c r="AM252" s="118">
        <f t="shared" ref="AM252:AS252" si="731">ROUND((AM256-AL256)-AM251,1)</f>
        <v>0</v>
      </c>
      <c r="AN252" s="118">
        <f t="shared" si="731"/>
        <v>0</v>
      </c>
      <c r="AO252" s="118">
        <f t="shared" si="731"/>
        <v>0</v>
      </c>
      <c r="AP252" s="118">
        <f t="shared" si="731"/>
        <v>0</v>
      </c>
      <c r="AQ252" s="118">
        <f t="shared" si="731"/>
        <v>0</v>
      </c>
      <c r="AR252" s="118">
        <f t="shared" si="731"/>
        <v>0</v>
      </c>
      <c r="AS252" s="118">
        <f t="shared" si="731"/>
        <v>0</v>
      </c>
      <c r="AT252" s="118">
        <f t="shared" ref="AT252:AZ252" si="732">(AT256-AS256)-AT251</f>
        <v>-1.7763568394002505E-15</v>
      </c>
      <c r="AU252" s="118">
        <f t="shared" si="732"/>
        <v>-1.7763568394002505E-15</v>
      </c>
      <c r="AV252" s="118">
        <f t="shared" si="732"/>
        <v>6.2172489379008766E-15</v>
      </c>
      <c r="AW252" s="118">
        <f t="shared" si="732"/>
        <v>0</v>
      </c>
      <c r="AX252" s="118">
        <f t="shared" si="732"/>
        <v>3.5527136788005009E-15</v>
      </c>
      <c r="AY252" s="118">
        <f t="shared" si="732"/>
        <v>0</v>
      </c>
      <c r="AZ252" s="118">
        <f t="shared" si="732"/>
        <v>0</v>
      </c>
      <c r="BA252" s="118">
        <f t="shared" ref="BA252:BF252" si="733">(BA256-AZ256)-BA251</f>
        <v>8.8817841970012523E-15</v>
      </c>
      <c r="BB252" s="118">
        <f t="shared" si="733"/>
        <v>0</v>
      </c>
      <c r="BC252" s="118">
        <f t="shared" si="733"/>
        <v>-5.6843418860808015E-14</v>
      </c>
      <c r="BD252" s="118">
        <f t="shared" si="733"/>
        <v>0</v>
      </c>
      <c r="BE252" s="118">
        <f t="shared" si="733"/>
        <v>3.5527136788005009E-14</v>
      </c>
      <c r="BF252" s="118">
        <f t="shared" si="733"/>
        <v>2.4868995751603507E-14</v>
      </c>
      <c r="BG252" s="118">
        <f t="shared" ref="BG252:BS252" si="734">(BG256-BF256)-BG251</f>
        <v>0</v>
      </c>
      <c r="BH252" s="118">
        <f t="shared" si="734"/>
        <v>3.5527136788005009E-14</v>
      </c>
      <c r="BI252" s="118">
        <f t="shared" si="734"/>
        <v>3.5527136788005009E-15</v>
      </c>
      <c r="BJ252" s="118">
        <f t="shared" si="734"/>
        <v>-7.1942451995710144E-14</v>
      </c>
      <c r="BK252" s="118">
        <f t="shared" si="734"/>
        <v>-2.9999999999361648E-3</v>
      </c>
      <c r="BL252" s="118">
        <f t="shared" si="734"/>
        <v>0</v>
      </c>
      <c r="BM252" s="118">
        <f t="shared" si="734"/>
        <v>0</v>
      </c>
      <c r="BN252" s="118">
        <f t="shared" si="734"/>
        <v>-3.1086244689504383E-14</v>
      </c>
      <c r="BO252" s="118">
        <f t="shared" si="734"/>
        <v>2.8421709430404007E-14</v>
      </c>
      <c r="BP252" s="118">
        <f t="shared" si="734"/>
        <v>0</v>
      </c>
      <c r="BQ252" s="118">
        <f t="shared" si="734"/>
        <v>0</v>
      </c>
      <c r="BR252" s="118">
        <f t="shared" si="734"/>
        <v>-1.0000000000047748E-3</v>
      </c>
      <c r="BS252" s="118">
        <f t="shared" si="734"/>
        <v>1.0000000000047748E-3</v>
      </c>
      <c r="BT252" s="118">
        <f>(BT256-BS256)-BT251</f>
        <v>0</v>
      </c>
      <c r="BU252" s="118">
        <f>(BU256-BT256)-BU251</f>
        <v>0</v>
      </c>
      <c r="BV252" s="118">
        <f>(BV256-BU256)-BV251</f>
        <v>0</v>
      </c>
      <c r="BW252" s="118">
        <f>(BW256-BV256)-BW251</f>
        <v>0</v>
      </c>
      <c r="BX252" s="118">
        <f t="shared" ref="BX252:CE252" si="735">(BX256-BW256)-BX251</f>
        <v>0</v>
      </c>
      <c r="BY252" s="118">
        <f t="shared" si="735"/>
        <v>0</v>
      </c>
      <c r="BZ252" s="118">
        <f t="shared" si="735"/>
        <v>0</v>
      </c>
      <c r="CA252" s="118">
        <f t="shared" si="735"/>
        <v>0</v>
      </c>
      <c r="CB252" s="118">
        <f t="shared" si="735"/>
        <v>0</v>
      </c>
      <c r="CC252" s="118">
        <f t="shared" si="735"/>
        <v>0</v>
      </c>
      <c r="CD252" s="118">
        <f t="shared" si="735"/>
        <v>0</v>
      </c>
      <c r="CE252" s="118">
        <f t="shared" si="735"/>
        <v>0</v>
      </c>
      <c r="CF252" s="4"/>
      <c r="CG252" s="4"/>
      <c r="CH252" s="4"/>
      <c r="CI252" s="4"/>
      <c r="CJ252" s="4"/>
      <c r="CK252" s="4"/>
      <c r="CL252" s="4"/>
      <c r="CM252" s="4"/>
      <c r="CN252" s="240">
        <f t="shared" si="629"/>
        <v>245</v>
      </c>
    </row>
    <row r="253" spans="1:92">
      <c r="A253" s="143" t="s">
        <v>33</v>
      </c>
      <c r="B253" s="11" t="s">
        <v>65</v>
      </c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240">
        <f t="shared" si="629"/>
        <v>246</v>
      </c>
    </row>
    <row r="254" spans="1:92" outlineLevel="1">
      <c r="A254" s="144"/>
      <c r="B254" s="17" t="s">
        <v>63</v>
      </c>
      <c r="C254" s="18">
        <f t="shared" ref="C254:Q254" si="736">C$6</f>
        <v>2006</v>
      </c>
      <c r="D254" s="18">
        <f t="shared" si="736"/>
        <v>2007</v>
      </c>
      <c r="E254" s="18">
        <f t="shared" si="736"/>
        <v>2008</v>
      </c>
      <c r="F254" s="18">
        <f t="shared" si="736"/>
        <v>2009</v>
      </c>
      <c r="G254" s="18">
        <f t="shared" si="736"/>
        <v>2010</v>
      </c>
      <c r="H254" s="18">
        <f t="shared" si="736"/>
        <v>2011</v>
      </c>
      <c r="I254" s="18">
        <f t="shared" si="736"/>
        <v>2012</v>
      </c>
      <c r="J254" s="18">
        <f t="shared" si="736"/>
        <v>2013</v>
      </c>
      <c r="K254" s="18">
        <f t="shared" si="736"/>
        <v>2014</v>
      </c>
      <c r="L254" s="18">
        <f t="shared" si="736"/>
        <v>2015</v>
      </c>
      <c r="M254" s="18">
        <f t="shared" si="736"/>
        <v>2016</v>
      </c>
      <c r="N254" s="18">
        <f t="shared" si="736"/>
        <v>2017</v>
      </c>
      <c r="O254" s="18" t="str">
        <f t="shared" si="736"/>
        <v>2018E</v>
      </c>
      <c r="P254" s="18" t="str">
        <f t="shared" si="736"/>
        <v>2019E</v>
      </c>
      <c r="Q254" s="18" t="str">
        <f t="shared" si="736"/>
        <v>2020E</v>
      </c>
      <c r="R254" s="27"/>
      <c r="S254" s="4"/>
      <c r="T254" s="4"/>
      <c r="U254" s="4"/>
      <c r="V254" s="4"/>
      <c r="W254" s="18" t="str">
        <f t="shared" ref="W254:CE254" si="737">W$6</f>
        <v>4Q05</v>
      </c>
      <c r="X254" s="18" t="str">
        <f t="shared" si="737"/>
        <v>1Q06</v>
      </c>
      <c r="Y254" s="18" t="str">
        <f t="shared" si="737"/>
        <v>2Q06</v>
      </c>
      <c r="Z254" s="18" t="str">
        <f t="shared" si="737"/>
        <v>3Q06</v>
      </c>
      <c r="AA254" s="18" t="str">
        <f t="shared" si="737"/>
        <v>4Q06</v>
      </c>
      <c r="AB254" s="18" t="str">
        <f t="shared" si="737"/>
        <v>1Q07</v>
      </c>
      <c r="AC254" s="18" t="str">
        <f t="shared" si="737"/>
        <v>2Q07</v>
      </c>
      <c r="AD254" s="18" t="str">
        <f t="shared" si="737"/>
        <v>3Q07</v>
      </c>
      <c r="AE254" s="18" t="str">
        <f t="shared" si="737"/>
        <v>4Q07</v>
      </c>
      <c r="AF254" s="18" t="str">
        <f t="shared" si="737"/>
        <v>1Q08</v>
      </c>
      <c r="AG254" s="18" t="str">
        <f t="shared" si="737"/>
        <v>2Q08</v>
      </c>
      <c r="AH254" s="18" t="str">
        <f t="shared" si="737"/>
        <v>3Q08</v>
      </c>
      <c r="AI254" s="18" t="str">
        <f t="shared" si="737"/>
        <v>4Q08</v>
      </c>
      <c r="AJ254" s="18" t="str">
        <f t="shared" si="737"/>
        <v>1Q09</v>
      </c>
      <c r="AK254" s="18" t="str">
        <f t="shared" si="737"/>
        <v>2Q09</v>
      </c>
      <c r="AL254" s="18" t="str">
        <f t="shared" si="737"/>
        <v>3Q09</v>
      </c>
      <c r="AM254" s="18" t="str">
        <f t="shared" si="737"/>
        <v>4Q09</v>
      </c>
      <c r="AN254" s="18" t="str">
        <f t="shared" si="737"/>
        <v>1Q10</v>
      </c>
      <c r="AO254" s="18" t="str">
        <f t="shared" si="737"/>
        <v>2Q10</v>
      </c>
      <c r="AP254" s="18" t="str">
        <f t="shared" si="737"/>
        <v>3Q10</v>
      </c>
      <c r="AQ254" s="18" t="str">
        <f t="shared" si="737"/>
        <v>4Q10</v>
      </c>
      <c r="AR254" s="18" t="str">
        <f t="shared" si="737"/>
        <v>1Q11</v>
      </c>
      <c r="AS254" s="18" t="str">
        <f t="shared" si="737"/>
        <v>2Q11</v>
      </c>
      <c r="AT254" s="18" t="str">
        <f t="shared" si="737"/>
        <v>3Q11</v>
      </c>
      <c r="AU254" s="18" t="str">
        <f t="shared" si="737"/>
        <v>4Q11</v>
      </c>
      <c r="AV254" s="18" t="str">
        <f t="shared" si="737"/>
        <v>1Q12</v>
      </c>
      <c r="AW254" s="18" t="str">
        <f t="shared" si="737"/>
        <v>2Q12</v>
      </c>
      <c r="AX254" s="18" t="str">
        <f t="shared" si="737"/>
        <v>3Q12</v>
      </c>
      <c r="AY254" s="18" t="str">
        <f t="shared" si="737"/>
        <v>4Q12</v>
      </c>
      <c r="AZ254" s="18" t="str">
        <f t="shared" si="737"/>
        <v>1Q13</v>
      </c>
      <c r="BA254" s="18" t="str">
        <f t="shared" si="737"/>
        <v>2Q13</v>
      </c>
      <c r="BB254" s="18" t="str">
        <f t="shared" si="737"/>
        <v>3Q13</v>
      </c>
      <c r="BC254" s="18" t="str">
        <f t="shared" si="737"/>
        <v>4Q13</v>
      </c>
      <c r="BD254" s="18" t="str">
        <f t="shared" si="737"/>
        <v>1Q14</v>
      </c>
      <c r="BE254" s="18" t="str">
        <f t="shared" si="737"/>
        <v>2Q14</v>
      </c>
      <c r="BF254" s="18" t="str">
        <f t="shared" si="737"/>
        <v>3Q14</v>
      </c>
      <c r="BG254" s="18" t="str">
        <f t="shared" si="737"/>
        <v>4Q14</v>
      </c>
      <c r="BH254" s="18" t="str">
        <f t="shared" si="737"/>
        <v>1Q15</v>
      </c>
      <c r="BI254" s="18" t="str">
        <f t="shared" si="737"/>
        <v>2Q15</v>
      </c>
      <c r="BJ254" s="18" t="str">
        <f t="shared" si="737"/>
        <v>3Q15</v>
      </c>
      <c r="BK254" s="18" t="str">
        <f t="shared" si="737"/>
        <v>4Q15</v>
      </c>
      <c r="BL254" s="18" t="str">
        <f t="shared" si="737"/>
        <v>1Q16</v>
      </c>
      <c r="BM254" s="18" t="str">
        <f t="shared" si="737"/>
        <v>2Q16</v>
      </c>
      <c r="BN254" s="18" t="str">
        <f t="shared" si="737"/>
        <v>3Q16</v>
      </c>
      <c r="BO254" s="18" t="str">
        <f t="shared" si="737"/>
        <v>4Q16</v>
      </c>
      <c r="BP254" s="18" t="str">
        <f t="shared" si="737"/>
        <v>1Q17</v>
      </c>
      <c r="BQ254" s="18" t="str">
        <f t="shared" si="737"/>
        <v>2Q17</v>
      </c>
      <c r="BR254" s="18" t="str">
        <f t="shared" si="737"/>
        <v>3Q17</v>
      </c>
      <c r="BS254" s="18" t="str">
        <f t="shared" si="737"/>
        <v>4Q17</v>
      </c>
      <c r="BT254" s="18" t="str">
        <f t="shared" si="737"/>
        <v>1Q18E</v>
      </c>
      <c r="BU254" s="18" t="str">
        <f t="shared" si="737"/>
        <v>2Q18E</v>
      </c>
      <c r="BV254" s="18" t="str">
        <f t="shared" si="737"/>
        <v>3Q18E</v>
      </c>
      <c r="BW254" s="18" t="str">
        <f t="shared" si="737"/>
        <v>4Q18E</v>
      </c>
      <c r="BX254" s="18" t="str">
        <f t="shared" si="737"/>
        <v>1Q19E</v>
      </c>
      <c r="BY254" s="18" t="str">
        <f t="shared" si="737"/>
        <v>2Q19E</v>
      </c>
      <c r="BZ254" s="18" t="str">
        <f t="shared" si="737"/>
        <v>3Q19E</v>
      </c>
      <c r="CA254" s="18" t="str">
        <f t="shared" si="737"/>
        <v>4Q19E</v>
      </c>
      <c r="CB254" s="18" t="str">
        <f t="shared" si="737"/>
        <v>1Q20E</v>
      </c>
      <c r="CC254" s="18" t="str">
        <f t="shared" si="737"/>
        <v>2Q20E</v>
      </c>
      <c r="CD254" s="18" t="str">
        <f t="shared" si="737"/>
        <v>3Q20E</v>
      </c>
      <c r="CE254" s="18" t="str">
        <f t="shared" si="737"/>
        <v>4Q20E</v>
      </c>
      <c r="CF254" s="4"/>
      <c r="CG254" s="4"/>
      <c r="CH254" s="4"/>
      <c r="CI254" s="4"/>
      <c r="CJ254" s="4"/>
      <c r="CK254" s="4"/>
      <c r="CL254" s="4"/>
      <c r="CM254" s="4"/>
      <c r="CN254" s="240">
        <f t="shared" si="629"/>
        <v>247</v>
      </c>
    </row>
    <row r="255" spans="1:92" outlineLevel="1">
      <c r="A255" s="144"/>
      <c r="B255" s="26" t="s">
        <v>74</v>
      </c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4"/>
      <c r="T255" s="4"/>
      <c r="U255" s="4"/>
      <c r="V255" s="4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131"/>
      <c r="BM255" s="131"/>
      <c r="BN255" s="131"/>
      <c r="BO255" s="131"/>
      <c r="BP255" s="131"/>
      <c r="BQ255" s="131"/>
      <c r="BR255" s="131"/>
      <c r="BS255" s="131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240">
        <f t="shared" si="629"/>
        <v>248</v>
      </c>
    </row>
    <row r="256" spans="1:92" outlineLevel="1">
      <c r="A256" s="144"/>
      <c r="B256" s="45" t="s">
        <v>66</v>
      </c>
      <c r="C256" s="23">
        <f t="shared" ref="C256:O260" si="738">INDEX($T256:$CF256,1,MATCH(C$4,$T$4:$CF$4,0))</f>
        <v>2.7290000000000001</v>
      </c>
      <c r="D256" s="23">
        <f t="shared" si="738"/>
        <v>6.3380000000000001</v>
      </c>
      <c r="E256" s="23">
        <f t="shared" si="738"/>
        <v>3.0369999999999999</v>
      </c>
      <c r="F256" s="23">
        <f t="shared" si="738"/>
        <v>4.4889999999999999</v>
      </c>
      <c r="G256" s="23">
        <f t="shared" si="738"/>
        <v>9.0350000000000001</v>
      </c>
      <c r="H256" s="23">
        <f t="shared" si="738"/>
        <v>7.3929999999999998</v>
      </c>
      <c r="I256" s="23">
        <f t="shared" si="738"/>
        <v>14.163</v>
      </c>
      <c r="J256" s="23">
        <f t="shared" si="738"/>
        <v>8.6999999999999993</v>
      </c>
      <c r="K256" s="23">
        <f t="shared" si="738"/>
        <v>9.7720000000000002</v>
      </c>
      <c r="L256" s="23">
        <f t="shared" si="738"/>
        <v>65.195999999999998</v>
      </c>
      <c r="M256" s="23">
        <f t="shared" si="738"/>
        <v>131.83500000000001</v>
      </c>
      <c r="N256" s="23">
        <f t="shared" si="738"/>
        <v>91.05</v>
      </c>
      <c r="O256" s="23">
        <f t="shared" si="738"/>
        <v>174.12887529507259</v>
      </c>
      <c r="P256" s="23">
        <f t="shared" ref="P256:Q260" si="739">INDEX($T256:$CF256,1,MATCH(P$4,$T$4:$CF$4,0))</f>
        <v>247.03121267382912</v>
      </c>
      <c r="Q256" s="23">
        <f t="shared" si="739"/>
        <v>576.20673404316972</v>
      </c>
      <c r="R256" s="23"/>
      <c r="S256" s="23"/>
      <c r="T256" s="23"/>
      <c r="U256" s="23"/>
      <c r="V256" s="23"/>
      <c r="W256" s="194">
        <v>12.808999999999999</v>
      </c>
      <c r="X256" s="194">
        <v>7.3860000000000001</v>
      </c>
      <c r="Y256" s="194">
        <v>2.9359999999999999</v>
      </c>
      <c r="Z256" s="194">
        <v>7.0149999999999997</v>
      </c>
      <c r="AA256" s="194">
        <v>2.7290000000000001</v>
      </c>
      <c r="AB256" s="194">
        <v>3.9870000000000001</v>
      </c>
      <c r="AC256" s="194">
        <v>4.7229999999999999</v>
      </c>
      <c r="AD256" s="194">
        <v>9.657</v>
      </c>
      <c r="AE256" s="194">
        <v>6.3380000000000001</v>
      </c>
      <c r="AF256" s="194">
        <v>11.49</v>
      </c>
      <c r="AG256" s="194">
        <v>9.0280000000000005</v>
      </c>
      <c r="AH256" s="194">
        <v>3.2930000000000001</v>
      </c>
      <c r="AI256" s="194">
        <v>3.0369999999999999</v>
      </c>
      <c r="AJ256" s="194">
        <v>2.3119999999999998</v>
      </c>
      <c r="AK256" s="194">
        <v>2.8119999999999998</v>
      </c>
      <c r="AL256" s="194">
        <v>3.3250000000000002</v>
      </c>
      <c r="AM256" s="194">
        <v>4.4889999999999999</v>
      </c>
      <c r="AN256" s="194">
        <v>3.8210000000000002</v>
      </c>
      <c r="AO256" s="194">
        <v>3.6829999999999998</v>
      </c>
      <c r="AP256" s="194">
        <v>3.234</v>
      </c>
      <c r="AQ256" s="194">
        <v>9.0350000000000001</v>
      </c>
      <c r="AR256" s="194">
        <v>11.678000000000001</v>
      </c>
      <c r="AS256" s="194">
        <v>7.19</v>
      </c>
      <c r="AT256" s="194">
        <v>6.97</v>
      </c>
      <c r="AU256" s="194">
        <v>7.3929999999999998</v>
      </c>
      <c r="AV256" s="194">
        <v>5.734</v>
      </c>
      <c r="AW256" s="194">
        <v>9.2560000000000002</v>
      </c>
      <c r="AX256" s="194">
        <v>11.141999999999999</v>
      </c>
      <c r="AY256" s="194">
        <v>14.163</v>
      </c>
      <c r="AZ256" s="194">
        <v>10.282999999999999</v>
      </c>
      <c r="BA256" s="194">
        <v>10.259</v>
      </c>
      <c r="BB256" s="194">
        <v>22.937000000000001</v>
      </c>
      <c r="BC256" s="194">
        <v>8.6999999999999993</v>
      </c>
      <c r="BD256" s="194">
        <v>44.292999999999999</v>
      </c>
      <c r="BE256" s="194">
        <v>22.164000000000001</v>
      </c>
      <c r="BF256" s="194">
        <v>8.5220000000000002</v>
      </c>
      <c r="BG256" s="194">
        <v>9.7720000000000002</v>
      </c>
      <c r="BH256" s="194">
        <v>15.476000000000001</v>
      </c>
      <c r="BI256" s="194">
        <v>14.843999999999999</v>
      </c>
      <c r="BJ256" s="194">
        <v>7.508</v>
      </c>
      <c r="BK256" s="194">
        <v>65.195999999999998</v>
      </c>
      <c r="BL256" s="194">
        <v>108.309</v>
      </c>
      <c r="BM256" s="194">
        <v>141.35400000000001</v>
      </c>
      <c r="BN256" s="194">
        <v>139.08699999999999</v>
      </c>
      <c r="BO256" s="194">
        <v>131.83500000000001</v>
      </c>
      <c r="BP256" s="194">
        <v>104.498</v>
      </c>
      <c r="BQ256" s="194">
        <v>125.812</v>
      </c>
      <c r="BR256" s="194">
        <v>136.89099999999999</v>
      </c>
      <c r="BS256" s="194">
        <v>91.05</v>
      </c>
      <c r="BT256" s="23">
        <f>BS256+BT251</f>
        <v>124.58785240146749</v>
      </c>
      <c r="BU256" s="23">
        <f>BT256+BU251</f>
        <v>84.703905707733469</v>
      </c>
      <c r="BV256" s="23">
        <f>BU256+BV251</f>
        <v>117.42402784398659</v>
      </c>
      <c r="BW256" s="23">
        <f>BV256+BW251</f>
        <v>174.12887529507259</v>
      </c>
      <c r="BX256" s="23">
        <f t="shared" ref="BX256:CE256" si="740">BW256+BX251</f>
        <v>243.06475746139793</v>
      </c>
      <c r="BY256" s="23">
        <f t="shared" si="740"/>
        <v>314.28357657214775</v>
      </c>
      <c r="BZ256" s="23">
        <f t="shared" si="740"/>
        <v>283.3724042500433</v>
      </c>
      <c r="CA256" s="23">
        <f t="shared" si="740"/>
        <v>247.03121267382912</v>
      </c>
      <c r="CB256" s="23">
        <f t="shared" si="740"/>
        <v>319.13932111362828</v>
      </c>
      <c r="CC256" s="23">
        <f t="shared" si="740"/>
        <v>405.18937145381756</v>
      </c>
      <c r="CD256" s="23">
        <f t="shared" si="740"/>
        <v>490.6946584958913</v>
      </c>
      <c r="CE256" s="23">
        <f t="shared" si="740"/>
        <v>576.20673404316972</v>
      </c>
      <c r="CF256" s="4"/>
      <c r="CG256" s="4"/>
      <c r="CH256" s="4"/>
      <c r="CI256" s="4"/>
      <c r="CJ256" s="4"/>
      <c r="CK256" s="4"/>
      <c r="CL256" s="4"/>
      <c r="CM256" s="4"/>
      <c r="CN256" s="240">
        <f t="shared" si="629"/>
        <v>249</v>
      </c>
    </row>
    <row r="257" spans="1:99" outlineLevel="1">
      <c r="A257" s="144"/>
      <c r="B257" s="45" t="s">
        <v>53</v>
      </c>
      <c r="C257" s="23">
        <f t="shared" si="738"/>
        <v>148.46899999999999</v>
      </c>
      <c r="D257" s="23">
        <f t="shared" si="738"/>
        <v>176.154</v>
      </c>
      <c r="E257" s="23">
        <f t="shared" si="738"/>
        <v>210.375</v>
      </c>
      <c r="F257" s="23">
        <f t="shared" si="738"/>
        <v>130.619</v>
      </c>
      <c r="G257" s="23">
        <f t="shared" si="738"/>
        <v>294.00200000000001</v>
      </c>
      <c r="H257" s="23">
        <f t="shared" si="738"/>
        <v>461.27199999999999</v>
      </c>
      <c r="I257" s="23">
        <f t="shared" si="738"/>
        <v>387.53</v>
      </c>
      <c r="J257" s="23">
        <f t="shared" si="738"/>
        <v>437.13200000000001</v>
      </c>
      <c r="K257" s="23">
        <f t="shared" si="738"/>
        <v>634.73</v>
      </c>
      <c r="L257" s="23">
        <f t="shared" si="738"/>
        <v>232.18700000000001</v>
      </c>
      <c r="M257" s="23">
        <f t="shared" si="738"/>
        <v>169.166</v>
      </c>
      <c r="N257" s="23">
        <f t="shared" si="738"/>
        <v>377.85300000000001</v>
      </c>
      <c r="O257" s="23">
        <f t="shared" si="738"/>
        <v>456.18838999736272</v>
      </c>
      <c r="P257" s="23">
        <f t="shared" si="739"/>
        <v>508.97845170003285</v>
      </c>
      <c r="Q257" s="23">
        <f t="shared" si="739"/>
        <v>529.09693047468079</v>
      </c>
      <c r="R257" s="23"/>
      <c r="S257" s="23"/>
      <c r="T257" s="23"/>
      <c r="U257" s="23"/>
      <c r="V257" s="23"/>
      <c r="W257" s="194">
        <v>107.428</v>
      </c>
      <c r="X257" s="194">
        <v>116.16500000000001</v>
      </c>
      <c r="Y257" s="194">
        <v>132.125</v>
      </c>
      <c r="Z257" s="194">
        <v>138.613</v>
      </c>
      <c r="AA257" s="194">
        <v>148.46899999999999</v>
      </c>
      <c r="AB257" s="194">
        <v>162.89500000000001</v>
      </c>
      <c r="AC257" s="194">
        <v>165.09200000000001</v>
      </c>
      <c r="AD257" s="194">
        <v>160.31200000000001</v>
      </c>
      <c r="AE257" s="194">
        <v>176.154</v>
      </c>
      <c r="AF257" s="194">
        <v>173.91200000000001</v>
      </c>
      <c r="AG257" s="194">
        <v>193.334</v>
      </c>
      <c r="AH257" s="194">
        <v>218.61600000000001</v>
      </c>
      <c r="AI257" s="194">
        <v>210.375</v>
      </c>
      <c r="AJ257" s="194">
        <v>153.30699999999999</v>
      </c>
      <c r="AK257" s="194">
        <v>121.276</v>
      </c>
      <c r="AL257" s="194">
        <v>118.072</v>
      </c>
      <c r="AM257" s="194">
        <v>130.619</v>
      </c>
      <c r="AN257" s="194">
        <v>199.60400000000001</v>
      </c>
      <c r="AO257" s="194">
        <v>218.32900000000001</v>
      </c>
      <c r="AP257" s="194">
        <v>279.99</v>
      </c>
      <c r="AQ257" s="194">
        <v>294.00200000000001</v>
      </c>
      <c r="AR257" s="194">
        <v>357.00799999999998</v>
      </c>
      <c r="AS257" s="194">
        <v>400.34800000000001</v>
      </c>
      <c r="AT257" s="194">
        <v>437.25700000000001</v>
      </c>
      <c r="AU257" s="194">
        <v>461.27199999999999</v>
      </c>
      <c r="AV257" s="194">
        <v>425.76600000000002</v>
      </c>
      <c r="AW257" s="194">
        <v>413.51100000000002</v>
      </c>
      <c r="AX257" s="194">
        <v>378.15600000000001</v>
      </c>
      <c r="AY257" s="194">
        <v>387.53</v>
      </c>
      <c r="AZ257" s="194">
        <v>375.12599999999998</v>
      </c>
      <c r="BA257" s="194">
        <v>380.95100000000002</v>
      </c>
      <c r="BB257" s="194">
        <v>390.00799999999998</v>
      </c>
      <c r="BC257" s="194">
        <v>437.13200000000001</v>
      </c>
      <c r="BD257" s="194">
        <v>467.97800000000001</v>
      </c>
      <c r="BE257" s="194">
        <v>565.94000000000005</v>
      </c>
      <c r="BF257" s="194">
        <v>591.58500000000004</v>
      </c>
      <c r="BG257" s="194">
        <v>634.73</v>
      </c>
      <c r="BH257" s="194">
        <v>430.61200000000002</v>
      </c>
      <c r="BI257" s="194">
        <v>299.55</v>
      </c>
      <c r="BJ257" s="194">
        <v>285.13400000000001</v>
      </c>
      <c r="BK257" s="194">
        <v>232.18700000000001</v>
      </c>
      <c r="BL257" s="194">
        <v>175.554</v>
      </c>
      <c r="BM257" s="194">
        <v>130.90299999999999</v>
      </c>
      <c r="BN257" s="194">
        <v>144.785</v>
      </c>
      <c r="BO257" s="194">
        <v>169.166</v>
      </c>
      <c r="BP257" s="194">
        <v>246.583</v>
      </c>
      <c r="BQ257" s="194">
        <v>343.29899999999998</v>
      </c>
      <c r="BR257" s="194">
        <v>375.41800000000001</v>
      </c>
      <c r="BS257" s="194">
        <v>377.85300000000001</v>
      </c>
      <c r="BT257" s="23">
        <f t="shared" ref="BT257:CE257" si="741">BT12/BT303*4</f>
        <v>347.18078326714868</v>
      </c>
      <c r="BU257" s="23">
        <f t="shared" si="741"/>
        <v>409.1145451634826</v>
      </c>
      <c r="BV257" s="23">
        <f t="shared" si="741"/>
        <v>441.44657711494983</v>
      </c>
      <c r="BW257" s="23">
        <f t="shared" si="741"/>
        <v>456.18838999736272</v>
      </c>
      <c r="BX257" s="23">
        <f t="shared" si="741"/>
        <v>459.87955692463964</v>
      </c>
      <c r="BY257" s="23">
        <f t="shared" si="741"/>
        <v>462.08244554013783</v>
      </c>
      <c r="BZ257" s="23">
        <f t="shared" si="741"/>
        <v>479.68274862976722</v>
      </c>
      <c r="CA257" s="23">
        <f t="shared" si="741"/>
        <v>508.97845170003285</v>
      </c>
      <c r="CB257" s="23">
        <f t="shared" si="741"/>
        <v>523.65307936029376</v>
      </c>
      <c r="CC257" s="23">
        <f t="shared" si="741"/>
        <v>524.50510770272967</v>
      </c>
      <c r="CD257" s="23">
        <f t="shared" si="741"/>
        <v>526.42480563422737</v>
      </c>
      <c r="CE257" s="23">
        <f t="shared" si="741"/>
        <v>529.09693047468079</v>
      </c>
      <c r="CF257" s="4"/>
      <c r="CG257" s="4"/>
      <c r="CH257" s="4"/>
      <c r="CI257" s="4"/>
      <c r="CJ257" s="4"/>
      <c r="CK257" s="4"/>
      <c r="CL257" s="4"/>
      <c r="CM257" s="4"/>
      <c r="CN257" s="240">
        <f t="shared" si="629"/>
        <v>250</v>
      </c>
    </row>
    <row r="258" spans="1:99" outlineLevel="1">
      <c r="A258" s="144"/>
      <c r="B258" s="45" t="s">
        <v>67</v>
      </c>
      <c r="C258" s="23">
        <f t="shared" si="738"/>
        <v>21.187999999999999</v>
      </c>
      <c r="D258" s="23">
        <f t="shared" si="738"/>
        <v>29.602</v>
      </c>
      <c r="E258" s="23">
        <f t="shared" si="738"/>
        <v>49.779000000000003</v>
      </c>
      <c r="F258" s="23">
        <f t="shared" si="738"/>
        <v>55.783000000000001</v>
      </c>
      <c r="G258" s="23">
        <f t="shared" si="738"/>
        <v>64.058999999999997</v>
      </c>
      <c r="H258" s="23">
        <f t="shared" si="738"/>
        <v>100.438</v>
      </c>
      <c r="I258" s="23">
        <f t="shared" si="738"/>
        <v>140.86699999999999</v>
      </c>
      <c r="J258" s="23">
        <f t="shared" si="738"/>
        <v>126.604</v>
      </c>
      <c r="K258" s="23">
        <f t="shared" si="738"/>
        <v>155.61099999999999</v>
      </c>
      <c r="L258" s="23">
        <f t="shared" si="738"/>
        <v>128.441</v>
      </c>
      <c r="M258" s="23">
        <f t="shared" si="738"/>
        <v>108.316</v>
      </c>
      <c r="N258" s="23">
        <f t="shared" si="738"/>
        <v>114.866</v>
      </c>
      <c r="O258" s="23">
        <f t="shared" si="738"/>
        <v>149.58047184124794</v>
      </c>
      <c r="P258" s="23">
        <f t="shared" si="739"/>
        <v>168.49466727900872</v>
      </c>
      <c r="Q258" s="23">
        <f t="shared" si="739"/>
        <v>176.03196539709134</v>
      </c>
      <c r="R258" s="23"/>
      <c r="S258" s="23"/>
      <c r="T258" s="23"/>
      <c r="U258" s="23"/>
      <c r="V258" s="23"/>
      <c r="W258" s="194">
        <v>13.298</v>
      </c>
      <c r="X258" s="194">
        <v>15.09</v>
      </c>
      <c r="Y258" s="194">
        <v>16.524000000000001</v>
      </c>
      <c r="Z258" s="194">
        <v>18.556000000000001</v>
      </c>
      <c r="AA258" s="194">
        <v>21.187999999999999</v>
      </c>
      <c r="AB258" s="194">
        <v>24.006</v>
      </c>
      <c r="AC258" s="194">
        <v>25.03</v>
      </c>
      <c r="AD258" s="194">
        <v>28.18</v>
      </c>
      <c r="AE258" s="194">
        <v>29.602</v>
      </c>
      <c r="AF258" s="194">
        <v>34.417999999999999</v>
      </c>
      <c r="AG258" s="194">
        <v>35.707000000000001</v>
      </c>
      <c r="AH258" s="194">
        <v>40.633000000000003</v>
      </c>
      <c r="AI258" s="194">
        <v>49.779000000000003</v>
      </c>
      <c r="AJ258" s="194">
        <v>56.610999999999997</v>
      </c>
      <c r="AK258" s="194">
        <v>54.043999999999997</v>
      </c>
      <c r="AL258" s="194">
        <v>55.429000000000002</v>
      </c>
      <c r="AM258" s="194">
        <v>55.783000000000001</v>
      </c>
      <c r="AN258" s="194">
        <v>58.146000000000001</v>
      </c>
      <c r="AO258" s="194">
        <v>57.597000000000001</v>
      </c>
      <c r="AP258" s="194">
        <v>61.887999999999998</v>
      </c>
      <c r="AQ258" s="194">
        <v>64.058999999999997</v>
      </c>
      <c r="AR258" s="194">
        <v>71.290999999999997</v>
      </c>
      <c r="AS258" s="194">
        <v>78.656999999999996</v>
      </c>
      <c r="AT258" s="194">
        <v>93.135999999999996</v>
      </c>
      <c r="AU258" s="194">
        <v>100.438</v>
      </c>
      <c r="AV258" s="194">
        <v>111.813</v>
      </c>
      <c r="AW258" s="194">
        <v>119.04600000000001</v>
      </c>
      <c r="AX258" s="194">
        <v>142.55799999999999</v>
      </c>
      <c r="AY258" s="194">
        <v>140.86699999999999</v>
      </c>
      <c r="AZ258" s="194">
        <v>132.68199999999999</v>
      </c>
      <c r="BA258" s="194">
        <v>134.16999999999999</v>
      </c>
      <c r="BB258" s="194">
        <v>128.203</v>
      </c>
      <c r="BC258" s="194">
        <v>126.604</v>
      </c>
      <c r="BD258" s="194">
        <v>135.727</v>
      </c>
      <c r="BE258" s="194">
        <v>138.83600000000001</v>
      </c>
      <c r="BF258" s="194">
        <v>153.94800000000001</v>
      </c>
      <c r="BG258" s="194">
        <v>155.61099999999999</v>
      </c>
      <c r="BH258" s="194">
        <v>153.69800000000001</v>
      </c>
      <c r="BI258" s="194">
        <v>146.94499999999999</v>
      </c>
      <c r="BJ258" s="194">
        <v>136.24799999999999</v>
      </c>
      <c r="BK258" s="194">
        <v>128.441</v>
      </c>
      <c r="BL258" s="194">
        <v>125.089</v>
      </c>
      <c r="BM258" s="194">
        <v>115.95399999999999</v>
      </c>
      <c r="BN258" s="194">
        <v>110.86799999999999</v>
      </c>
      <c r="BO258" s="194">
        <v>108.316</v>
      </c>
      <c r="BP258" s="194">
        <v>111.94499999999999</v>
      </c>
      <c r="BQ258" s="194">
        <v>112.658</v>
      </c>
      <c r="BR258" s="194">
        <v>113.35899999999999</v>
      </c>
      <c r="BS258" s="194">
        <v>114.866</v>
      </c>
      <c r="BT258" s="23">
        <f t="shared" ref="BT258:CE258" si="742">BT211/BT305*4</f>
        <v>117.35588066284561</v>
      </c>
      <c r="BU258" s="23">
        <f t="shared" si="742"/>
        <v>134.71294154645065</v>
      </c>
      <c r="BV258" s="23">
        <f t="shared" si="742"/>
        <v>145.38695538649222</v>
      </c>
      <c r="BW258" s="23">
        <f t="shared" si="742"/>
        <v>149.58047184124794</v>
      </c>
      <c r="BX258" s="23">
        <f t="shared" si="742"/>
        <v>150.9141864985051</v>
      </c>
      <c r="BY258" s="23">
        <f t="shared" si="742"/>
        <v>151.66792070496115</v>
      </c>
      <c r="BZ258" s="23">
        <f t="shared" si="742"/>
        <v>157.99016570323141</v>
      </c>
      <c r="CA258" s="23">
        <f t="shared" si="742"/>
        <v>168.49466727900872</v>
      </c>
      <c r="CB258" s="23">
        <f t="shared" si="742"/>
        <v>173.85212961954562</v>
      </c>
      <c r="CC258" s="23">
        <f t="shared" si="742"/>
        <v>174.26345215794655</v>
      </c>
      <c r="CD258" s="23">
        <f t="shared" si="742"/>
        <v>175.01114915340841</v>
      </c>
      <c r="CE258" s="23">
        <f t="shared" si="742"/>
        <v>176.03196539709134</v>
      </c>
      <c r="CF258" s="4"/>
      <c r="CG258" s="4"/>
      <c r="CH258" s="4"/>
      <c r="CI258" s="4"/>
      <c r="CJ258" s="4"/>
      <c r="CK258" s="4"/>
      <c r="CL258" s="4"/>
      <c r="CM258" s="4"/>
      <c r="CN258" s="240">
        <f t="shared" si="629"/>
        <v>251</v>
      </c>
    </row>
    <row r="259" spans="1:99" outlineLevel="1">
      <c r="A259" s="144"/>
      <c r="B259" s="45" t="s">
        <v>97</v>
      </c>
      <c r="C259" s="23">
        <f t="shared" si="738"/>
        <v>4.3840000000000003</v>
      </c>
      <c r="D259" s="23">
        <f t="shared" si="738"/>
        <v>3.9740000000000002</v>
      </c>
      <c r="E259" s="23">
        <f t="shared" si="738"/>
        <v>6.1870000000000003</v>
      </c>
      <c r="F259" s="23">
        <f t="shared" si="738"/>
        <v>4.8940000000000001</v>
      </c>
      <c r="G259" s="23">
        <f t="shared" si="738"/>
        <v>7.4260000000000002</v>
      </c>
      <c r="H259" s="23">
        <f t="shared" si="738"/>
        <v>7.1829999999999998</v>
      </c>
      <c r="I259" s="23">
        <f t="shared" si="738"/>
        <v>5.7770000000000001</v>
      </c>
      <c r="J259" s="23">
        <f t="shared" si="738"/>
        <v>14.185</v>
      </c>
      <c r="K259" s="23">
        <f t="shared" si="738"/>
        <v>9.4220000000000006</v>
      </c>
      <c r="L259" s="23">
        <f t="shared" si="738"/>
        <v>0</v>
      </c>
      <c r="M259" s="23">
        <f t="shared" si="738"/>
        <v>0</v>
      </c>
      <c r="N259" s="23">
        <f t="shared" si="738"/>
        <v>0</v>
      </c>
      <c r="O259" s="23">
        <f t="shared" si="738"/>
        <v>0</v>
      </c>
      <c r="P259" s="23">
        <f t="shared" si="739"/>
        <v>0</v>
      </c>
      <c r="Q259" s="23">
        <f t="shared" si="739"/>
        <v>0</v>
      </c>
      <c r="R259" s="23"/>
      <c r="S259" s="23"/>
      <c r="T259" s="23"/>
      <c r="U259" s="23"/>
      <c r="V259" s="23"/>
      <c r="W259" s="194">
        <v>5.3040000000000003</v>
      </c>
      <c r="X259" s="194">
        <v>4.2729999999999997</v>
      </c>
      <c r="Y259" s="194">
        <v>4.4660000000000002</v>
      </c>
      <c r="Z259" s="194">
        <v>4.5750000000000002</v>
      </c>
      <c r="AA259" s="194">
        <v>4.3840000000000003</v>
      </c>
      <c r="AB259" s="194">
        <v>4.6289999999999996</v>
      </c>
      <c r="AC259" s="194">
        <v>4.8760000000000003</v>
      </c>
      <c r="AD259" s="194">
        <v>4.4690000000000003</v>
      </c>
      <c r="AE259" s="194">
        <v>3.9740000000000002</v>
      </c>
      <c r="AF259" s="194">
        <v>4.5940000000000003</v>
      </c>
      <c r="AG259" s="194">
        <v>4.601</v>
      </c>
      <c r="AH259" s="194">
        <v>5.2930000000000001</v>
      </c>
      <c r="AI259" s="194">
        <v>6.1870000000000003</v>
      </c>
      <c r="AJ259" s="194">
        <v>6.0039999999999996</v>
      </c>
      <c r="AK259" s="194">
        <v>5.6340000000000003</v>
      </c>
      <c r="AL259" s="194">
        <v>5.0170000000000003</v>
      </c>
      <c r="AM259" s="194">
        <v>4.8940000000000001</v>
      </c>
      <c r="AN259" s="194">
        <v>5.2210000000000001</v>
      </c>
      <c r="AO259" s="194">
        <v>5.8079999999999998</v>
      </c>
      <c r="AP259" s="194">
        <v>6.819</v>
      </c>
      <c r="AQ259" s="194">
        <v>7.4260000000000002</v>
      </c>
      <c r="AR259" s="194">
        <v>7.55</v>
      </c>
      <c r="AS259" s="194">
        <v>7.6840000000000002</v>
      </c>
      <c r="AT259" s="194">
        <v>8.0370000000000008</v>
      </c>
      <c r="AU259" s="194">
        <v>7.1829999999999998</v>
      </c>
      <c r="AV259" s="194">
        <v>10.035</v>
      </c>
      <c r="AW259" s="194">
        <v>8.9469999999999992</v>
      </c>
      <c r="AX259" s="194">
        <v>6.3570000000000002</v>
      </c>
      <c r="AY259" s="194">
        <v>5.7770000000000001</v>
      </c>
      <c r="AZ259" s="194">
        <v>5.952</v>
      </c>
      <c r="BA259" s="194">
        <v>7.6619999999999999</v>
      </c>
      <c r="BB259" s="194">
        <v>7.1710000000000003</v>
      </c>
      <c r="BC259" s="194">
        <v>14.185</v>
      </c>
      <c r="BD259" s="194">
        <v>12.502000000000001</v>
      </c>
      <c r="BE259" s="194">
        <v>11.624000000000001</v>
      </c>
      <c r="BF259" s="194">
        <v>10.851000000000001</v>
      </c>
      <c r="BG259" s="194">
        <v>9.4220000000000006</v>
      </c>
      <c r="BH259" s="194">
        <v>8.4700000000000006</v>
      </c>
      <c r="BI259" s="194">
        <v>9.0269999999999992</v>
      </c>
      <c r="BJ259" s="194">
        <v>8.0960000000000001</v>
      </c>
      <c r="BK259" s="194">
        <v>0</v>
      </c>
      <c r="BL259" s="194">
        <v>0</v>
      </c>
      <c r="BM259" s="194">
        <v>0</v>
      </c>
      <c r="BN259" s="194">
        <v>0</v>
      </c>
      <c r="BO259" s="194">
        <v>0</v>
      </c>
      <c r="BP259" s="194">
        <v>0</v>
      </c>
      <c r="BQ259" s="194">
        <v>0</v>
      </c>
      <c r="BR259" s="194">
        <v>0</v>
      </c>
      <c r="BS259" s="194">
        <f t="shared" ref="BS259:CE259" si="743">BR259+MAX(BS30,0)</f>
        <v>0</v>
      </c>
      <c r="BT259" s="23">
        <f t="shared" si="743"/>
        <v>0</v>
      </c>
      <c r="BU259" s="23">
        <f t="shared" si="743"/>
        <v>0</v>
      </c>
      <c r="BV259" s="23">
        <f t="shared" si="743"/>
        <v>0</v>
      </c>
      <c r="BW259" s="23">
        <f t="shared" si="743"/>
        <v>0</v>
      </c>
      <c r="BX259" s="23">
        <f t="shared" si="743"/>
        <v>0</v>
      </c>
      <c r="BY259" s="23">
        <f t="shared" si="743"/>
        <v>0</v>
      </c>
      <c r="BZ259" s="23">
        <f t="shared" si="743"/>
        <v>0</v>
      </c>
      <c r="CA259" s="23">
        <f t="shared" si="743"/>
        <v>0</v>
      </c>
      <c r="CB259" s="23">
        <f t="shared" si="743"/>
        <v>0</v>
      </c>
      <c r="CC259" s="23">
        <f t="shared" si="743"/>
        <v>0</v>
      </c>
      <c r="CD259" s="23">
        <f t="shared" si="743"/>
        <v>0</v>
      </c>
      <c r="CE259" s="23">
        <f t="shared" si="743"/>
        <v>0</v>
      </c>
      <c r="CF259" s="4"/>
      <c r="CG259" s="4"/>
      <c r="CH259" s="4"/>
      <c r="CI259" s="4"/>
      <c r="CJ259" s="4"/>
      <c r="CK259" s="4"/>
      <c r="CL259" s="4"/>
      <c r="CM259" s="4"/>
      <c r="CN259" s="240">
        <f t="shared" si="629"/>
        <v>252</v>
      </c>
    </row>
    <row r="260" spans="1:99" outlineLevel="1">
      <c r="A260" s="144"/>
      <c r="B260" s="45" t="s">
        <v>131</v>
      </c>
      <c r="C260" s="23">
        <f t="shared" si="738"/>
        <v>9.1840000000000011</v>
      </c>
      <c r="D260" s="23">
        <f t="shared" si="738"/>
        <v>18.991999999999997</v>
      </c>
      <c r="E260" s="23">
        <f t="shared" si="738"/>
        <v>23.445</v>
      </c>
      <c r="F260" s="23">
        <f t="shared" si="738"/>
        <v>23.669</v>
      </c>
      <c r="G260" s="23">
        <f t="shared" si="738"/>
        <v>24.156000000000002</v>
      </c>
      <c r="H260" s="23">
        <f t="shared" si="738"/>
        <v>50.268999999999998</v>
      </c>
      <c r="I260" s="23">
        <f t="shared" si="738"/>
        <v>19.490000000000002</v>
      </c>
      <c r="J260" s="23">
        <f t="shared" si="738"/>
        <v>18.303999999999998</v>
      </c>
      <c r="K260" s="23">
        <f t="shared" si="738"/>
        <v>42.093000000000004</v>
      </c>
      <c r="L260" s="23">
        <f t="shared" si="738"/>
        <v>66.384</v>
      </c>
      <c r="M260" s="23">
        <f t="shared" si="738"/>
        <v>69.739999999999995</v>
      </c>
      <c r="N260" s="23">
        <f t="shared" si="738"/>
        <v>56.366</v>
      </c>
      <c r="O260" s="23">
        <f t="shared" si="738"/>
        <v>56.366</v>
      </c>
      <c r="P260" s="23">
        <f t="shared" si="739"/>
        <v>56.366</v>
      </c>
      <c r="Q260" s="23">
        <f t="shared" si="739"/>
        <v>56.366</v>
      </c>
      <c r="R260" s="23"/>
      <c r="S260" s="23"/>
      <c r="T260" s="23"/>
      <c r="U260" s="23"/>
      <c r="V260" s="23"/>
      <c r="W260" s="194">
        <v>4.0039999999999996</v>
      </c>
      <c r="X260" s="194">
        <v>3.5419999999999998</v>
      </c>
      <c r="Y260" s="194">
        <v>2.7829999999999999</v>
      </c>
      <c r="Z260" s="194">
        <v>1.9</v>
      </c>
      <c r="AA260" s="194">
        <f>5.245+3.939</f>
        <v>9.1840000000000011</v>
      </c>
      <c r="AB260" s="194">
        <f>4.734+3.245</f>
        <v>7.9790000000000001</v>
      </c>
      <c r="AC260" s="194">
        <f>3.888+7.248</f>
        <v>11.135999999999999</v>
      </c>
      <c r="AD260" s="194">
        <f>3.243+10.865</f>
        <v>14.108000000000001</v>
      </c>
      <c r="AE260" s="194">
        <f>6.696+12.296</f>
        <v>18.991999999999997</v>
      </c>
      <c r="AF260" s="194">
        <f>5.901+7.622</f>
        <v>13.523</v>
      </c>
      <c r="AG260" s="194">
        <f>5.273+0.248</f>
        <v>5.5209999999999999</v>
      </c>
      <c r="AH260" s="194">
        <f>17.842+4.063</f>
        <v>21.904999999999998</v>
      </c>
      <c r="AI260" s="194">
        <f>15.604+7.841</f>
        <v>23.445</v>
      </c>
      <c r="AJ260" s="194">
        <f>12.279+4.294</f>
        <v>16.573</v>
      </c>
      <c r="AK260" s="194">
        <f>18.377+3.594</f>
        <v>21.971</v>
      </c>
      <c r="AL260" s="194">
        <f>18.694+2.677</f>
        <v>21.370999999999999</v>
      </c>
      <c r="AM260" s="194">
        <f>18.184+5.485</f>
        <v>23.669</v>
      </c>
      <c r="AN260" s="194">
        <f>7.556+4.644</f>
        <v>12.2</v>
      </c>
      <c r="AO260" s="194">
        <f>4.287+0.486</f>
        <v>4.7729999999999997</v>
      </c>
      <c r="AP260" s="194">
        <f>4.021+0.788</f>
        <v>4.8090000000000002</v>
      </c>
      <c r="AQ260" s="194">
        <f>6.905+17.251</f>
        <v>24.156000000000002</v>
      </c>
      <c r="AR260" s="194">
        <f>0.736+7.751</f>
        <v>8.4870000000000001</v>
      </c>
      <c r="AS260" s="194">
        <f>15.646+0.604</f>
        <v>16.25</v>
      </c>
      <c r="AT260" s="194">
        <f>2.374+17.519</f>
        <v>19.892999999999997</v>
      </c>
      <c r="AU260" s="194">
        <f>8.478+30.986+10.805</f>
        <v>50.268999999999998</v>
      </c>
      <c r="AV260" s="194">
        <f>0.561+7.325+30.393</f>
        <v>38.279000000000003</v>
      </c>
      <c r="AW260" s="194">
        <f>0.528+6+37.591</f>
        <v>44.119</v>
      </c>
      <c r="AX260" s="194">
        <f>3.103+5.125+11.063</f>
        <v>19.291</v>
      </c>
      <c r="AY260" s="194">
        <f>4.234+10.762+4.494</f>
        <v>19.490000000000002</v>
      </c>
      <c r="AZ260" s="194">
        <f>11.996+10.516+4.11</f>
        <v>26.622</v>
      </c>
      <c r="BA260" s="194">
        <f>8.056+5.294</f>
        <v>13.349999999999998</v>
      </c>
      <c r="BB260" s="194">
        <f>15.088+5.116+3.406</f>
        <v>23.61</v>
      </c>
      <c r="BC260" s="194">
        <f>3.441+9.143+5.72</f>
        <v>18.303999999999998</v>
      </c>
      <c r="BD260" s="194">
        <f>2.099+8.538+1.691</f>
        <v>12.328000000000001</v>
      </c>
      <c r="BE260" s="194">
        <f>16.874+6.002+6.787</f>
        <v>29.662999999999997</v>
      </c>
      <c r="BF260" s="194">
        <f>5.507+3.562+11.081</f>
        <v>20.149999999999999</v>
      </c>
      <c r="BG260" s="194">
        <f>29.115+9.135+3.843</f>
        <v>42.093000000000004</v>
      </c>
      <c r="BH260" s="194">
        <f>14.512+8.507+2.958</f>
        <v>25.976999999999997</v>
      </c>
      <c r="BI260" s="194">
        <f>32.292+6.417+2.53</f>
        <v>41.239000000000004</v>
      </c>
      <c r="BJ260" s="194">
        <f>27.078+6.038+7.94</f>
        <v>41.055999999999997</v>
      </c>
      <c r="BK260" s="194">
        <f>8.961+51.392+6.031</f>
        <v>66.384</v>
      </c>
      <c r="BL260" s="194">
        <f>41.294+7.384+5.832</f>
        <v>54.51</v>
      </c>
      <c r="BM260" s="194">
        <f>50.565+5.111+5.65</f>
        <v>61.325999999999993</v>
      </c>
      <c r="BN260" s="194">
        <f>50.264+4.528+6.274</f>
        <v>61.066000000000003</v>
      </c>
      <c r="BO260" s="194">
        <f>57.174+6.718+5.848</f>
        <v>69.739999999999995</v>
      </c>
      <c r="BP260" s="194">
        <f>48.461+6.897+6.269</f>
        <v>61.626999999999995</v>
      </c>
      <c r="BQ260" s="194">
        <f>8.926+5.41+5.573</f>
        <v>19.908999999999999</v>
      </c>
      <c r="BR260" s="194">
        <f>3.141+5.587+8.043+0.001</f>
        <v>16.772000000000002</v>
      </c>
      <c r="BS260" s="194">
        <f>40.243+8.992+7.131</f>
        <v>56.366</v>
      </c>
      <c r="BT260" s="111">
        <f>BS260</f>
        <v>56.366</v>
      </c>
      <c r="BU260" s="111">
        <f>BT260</f>
        <v>56.366</v>
      </c>
      <c r="BV260" s="111">
        <f>BU260</f>
        <v>56.366</v>
      </c>
      <c r="BW260" s="111">
        <f>BV260</f>
        <v>56.366</v>
      </c>
      <c r="BX260" s="111">
        <f t="shared" ref="BX260:CE260" si="744">BW260</f>
        <v>56.366</v>
      </c>
      <c r="BY260" s="111">
        <f t="shared" si="744"/>
        <v>56.366</v>
      </c>
      <c r="BZ260" s="111">
        <f t="shared" si="744"/>
        <v>56.366</v>
      </c>
      <c r="CA260" s="111">
        <f t="shared" si="744"/>
        <v>56.366</v>
      </c>
      <c r="CB260" s="111">
        <f t="shared" si="744"/>
        <v>56.366</v>
      </c>
      <c r="CC260" s="111">
        <f t="shared" si="744"/>
        <v>56.366</v>
      </c>
      <c r="CD260" s="111">
        <f t="shared" si="744"/>
        <v>56.366</v>
      </c>
      <c r="CE260" s="111">
        <f t="shared" si="744"/>
        <v>56.366</v>
      </c>
      <c r="CF260" s="4"/>
      <c r="CG260" s="4"/>
      <c r="CH260" s="4"/>
      <c r="CI260" s="4"/>
      <c r="CJ260" s="4"/>
      <c r="CK260" s="4"/>
      <c r="CL260" s="4"/>
      <c r="CM260" s="4"/>
      <c r="CN260" s="240">
        <f t="shared" si="629"/>
        <v>253</v>
      </c>
    </row>
    <row r="261" spans="1:99" outlineLevel="1">
      <c r="A261" s="144"/>
      <c r="B261" s="135" t="s">
        <v>68</v>
      </c>
      <c r="C261" s="54">
        <f t="shared" ref="C261:M261" si="745">SUM(C256:C260)</f>
        <v>185.95399999999998</v>
      </c>
      <c r="D261" s="54">
        <f t="shared" si="745"/>
        <v>235.05999999999997</v>
      </c>
      <c r="E261" s="54">
        <f t="shared" si="745"/>
        <v>292.82300000000004</v>
      </c>
      <c r="F261" s="54">
        <f t="shared" si="745"/>
        <v>219.45400000000004</v>
      </c>
      <c r="G261" s="54">
        <f t="shared" si="745"/>
        <v>398.678</v>
      </c>
      <c r="H261" s="54">
        <f t="shared" si="745"/>
        <v>626.55499999999995</v>
      </c>
      <c r="I261" s="54">
        <f t="shared" si="745"/>
        <v>567.827</v>
      </c>
      <c r="J261" s="54">
        <f t="shared" si="745"/>
        <v>604.92499999999995</v>
      </c>
      <c r="K261" s="54">
        <f t="shared" si="745"/>
        <v>851.62800000000004</v>
      </c>
      <c r="L261" s="54">
        <f t="shared" si="745"/>
        <v>492.20800000000008</v>
      </c>
      <c r="M261" s="54">
        <f t="shared" si="745"/>
        <v>479.05700000000002</v>
      </c>
      <c r="N261" s="54">
        <f>SUM(N256:N260)</f>
        <v>640.13499999999999</v>
      </c>
      <c r="O261" s="54">
        <f>SUM(O256:O260)</f>
        <v>836.26373713368321</v>
      </c>
      <c r="P261" s="54">
        <f>SUM(P256:P260)</f>
        <v>980.87033165287062</v>
      </c>
      <c r="Q261" s="54">
        <f>SUM(Q256:Q260)</f>
        <v>1337.7016299149418</v>
      </c>
      <c r="R261" s="69"/>
      <c r="S261" s="70"/>
      <c r="T261" s="60">
        <v>122.541</v>
      </c>
      <c r="U261" s="60">
        <v>113.069</v>
      </c>
      <c r="V261" s="60">
        <v>139.333</v>
      </c>
      <c r="W261" s="54">
        <f t="shared" ref="W261:AZ261" si="746">SUM(W256:W260)</f>
        <v>142.84299999999999</v>
      </c>
      <c r="X261" s="54">
        <f t="shared" si="746"/>
        <v>146.45599999999999</v>
      </c>
      <c r="Y261" s="54">
        <f t="shared" si="746"/>
        <v>158.834</v>
      </c>
      <c r="Z261" s="54">
        <f t="shared" si="746"/>
        <v>170.65899999999999</v>
      </c>
      <c r="AA261" s="54">
        <f t="shared" si="746"/>
        <v>185.95399999999998</v>
      </c>
      <c r="AB261" s="54">
        <f t="shared" si="746"/>
        <v>203.49600000000001</v>
      </c>
      <c r="AC261" s="54">
        <f t="shared" si="746"/>
        <v>210.85700000000003</v>
      </c>
      <c r="AD261" s="54">
        <f t="shared" si="746"/>
        <v>216.72600000000003</v>
      </c>
      <c r="AE261" s="54">
        <f t="shared" si="746"/>
        <v>235.05999999999997</v>
      </c>
      <c r="AF261" s="54">
        <f t="shared" si="746"/>
        <v>237.93700000000001</v>
      </c>
      <c r="AG261" s="54">
        <f t="shared" si="746"/>
        <v>248.19099999999997</v>
      </c>
      <c r="AH261" s="54">
        <f t="shared" si="746"/>
        <v>289.74</v>
      </c>
      <c r="AI261" s="54">
        <f t="shared" si="746"/>
        <v>292.82300000000004</v>
      </c>
      <c r="AJ261" s="54">
        <f t="shared" si="746"/>
        <v>234.80699999999999</v>
      </c>
      <c r="AK261" s="54">
        <f t="shared" si="746"/>
        <v>205.73700000000002</v>
      </c>
      <c r="AL261" s="54">
        <f t="shared" si="746"/>
        <v>203.21400000000003</v>
      </c>
      <c r="AM261" s="54">
        <f t="shared" si="746"/>
        <v>219.45400000000004</v>
      </c>
      <c r="AN261" s="54">
        <f t="shared" si="746"/>
        <v>278.99200000000002</v>
      </c>
      <c r="AO261" s="54">
        <f t="shared" si="746"/>
        <v>290.19</v>
      </c>
      <c r="AP261" s="54">
        <f t="shared" si="746"/>
        <v>356.74</v>
      </c>
      <c r="AQ261" s="54">
        <f t="shared" si="746"/>
        <v>398.678</v>
      </c>
      <c r="AR261" s="54">
        <f t="shared" si="746"/>
        <v>456.01400000000001</v>
      </c>
      <c r="AS261" s="54">
        <f t="shared" si="746"/>
        <v>510.12900000000002</v>
      </c>
      <c r="AT261" s="54">
        <f t="shared" si="746"/>
        <v>565.29300000000012</v>
      </c>
      <c r="AU261" s="54">
        <f t="shared" si="746"/>
        <v>626.55499999999995</v>
      </c>
      <c r="AV261" s="54">
        <f t="shared" si="746"/>
        <v>591.62699999999995</v>
      </c>
      <c r="AW261" s="54">
        <f t="shared" si="746"/>
        <v>594.87900000000013</v>
      </c>
      <c r="AX261" s="54">
        <f t="shared" si="746"/>
        <v>557.50400000000002</v>
      </c>
      <c r="AY261" s="54">
        <f t="shared" si="746"/>
        <v>567.827</v>
      </c>
      <c r="AZ261" s="54">
        <f t="shared" si="746"/>
        <v>550.66499999999996</v>
      </c>
      <c r="BA261" s="54">
        <f t="shared" ref="BA261:BG261" si="747">SUM(BA256:BA260)</f>
        <v>546.39200000000005</v>
      </c>
      <c r="BB261" s="54">
        <f t="shared" si="747"/>
        <v>571.92900000000009</v>
      </c>
      <c r="BC261" s="54">
        <f t="shared" si="747"/>
        <v>604.92499999999995</v>
      </c>
      <c r="BD261" s="54">
        <f t="shared" si="747"/>
        <v>672.82799999999986</v>
      </c>
      <c r="BE261" s="54">
        <f t="shared" si="747"/>
        <v>768.22700000000009</v>
      </c>
      <c r="BF261" s="54">
        <f t="shared" si="747"/>
        <v>785.05600000000004</v>
      </c>
      <c r="BG261" s="54">
        <f t="shared" si="747"/>
        <v>851.62800000000004</v>
      </c>
      <c r="BH261" s="54">
        <f t="shared" ref="BH261:BP261" si="748">SUM(BH256:BH260)</f>
        <v>634.23300000000006</v>
      </c>
      <c r="BI261" s="54">
        <f t="shared" si="748"/>
        <v>511.60500000000002</v>
      </c>
      <c r="BJ261" s="54">
        <f t="shared" si="748"/>
        <v>478.04199999999997</v>
      </c>
      <c r="BK261" s="54">
        <f t="shared" si="748"/>
        <v>492.20800000000008</v>
      </c>
      <c r="BL261" s="54">
        <f t="shared" si="748"/>
        <v>463.46199999999999</v>
      </c>
      <c r="BM261" s="54">
        <f t="shared" si="748"/>
        <v>449.53700000000003</v>
      </c>
      <c r="BN261" s="54">
        <f t="shared" si="748"/>
        <v>455.80599999999993</v>
      </c>
      <c r="BO261" s="54">
        <f t="shared" si="748"/>
        <v>479.05700000000002</v>
      </c>
      <c r="BP261" s="54">
        <f t="shared" si="748"/>
        <v>524.65300000000002</v>
      </c>
      <c r="BQ261" s="54">
        <f t="shared" ref="BQ261:BW261" si="749">SUM(BQ256:BQ260)</f>
        <v>601.678</v>
      </c>
      <c r="BR261" s="54">
        <f t="shared" si="749"/>
        <v>642.44000000000005</v>
      </c>
      <c r="BS261" s="54">
        <f t="shared" si="749"/>
        <v>640.13499999999999</v>
      </c>
      <c r="BT261" s="54">
        <f t="shared" si="749"/>
        <v>645.49051633146178</v>
      </c>
      <c r="BU261" s="54">
        <f t="shared" si="749"/>
        <v>684.89739241766677</v>
      </c>
      <c r="BV261" s="54">
        <f t="shared" si="749"/>
        <v>760.62356034542859</v>
      </c>
      <c r="BW261" s="54">
        <f t="shared" si="749"/>
        <v>836.26373713368321</v>
      </c>
      <c r="BX261" s="54">
        <f t="shared" ref="BX261:CE261" si="750">SUM(BX256:BX260)</f>
        <v>910.22450088454275</v>
      </c>
      <c r="BY261" s="54">
        <f t="shared" si="750"/>
        <v>984.39994281724671</v>
      </c>
      <c r="BZ261" s="54">
        <f t="shared" si="750"/>
        <v>977.41131858304198</v>
      </c>
      <c r="CA261" s="54">
        <f t="shared" si="750"/>
        <v>980.87033165287062</v>
      </c>
      <c r="CB261" s="54">
        <f t="shared" si="750"/>
        <v>1073.0105300934677</v>
      </c>
      <c r="CC261" s="54">
        <f t="shared" si="750"/>
        <v>1160.3239313144938</v>
      </c>
      <c r="CD261" s="54">
        <f t="shared" si="750"/>
        <v>1248.496613283527</v>
      </c>
      <c r="CE261" s="54">
        <f t="shared" si="750"/>
        <v>1337.7016299149418</v>
      </c>
      <c r="CF261" s="4"/>
      <c r="CG261" s="4"/>
      <c r="CH261" s="4"/>
      <c r="CI261" s="4"/>
      <c r="CJ261" s="4"/>
      <c r="CK261" s="4"/>
      <c r="CL261" s="4"/>
      <c r="CM261" s="4"/>
      <c r="CN261" s="240">
        <f t="shared" si="629"/>
        <v>254</v>
      </c>
    </row>
    <row r="262" spans="1:99" s="162" customFormat="1" hidden="1" outlineLevel="2">
      <c r="A262" s="159"/>
      <c r="B262" s="168" t="s">
        <v>70</v>
      </c>
      <c r="C262" s="160">
        <f>AA262</f>
        <v>526.70699999999999</v>
      </c>
      <c r="D262" s="160">
        <f>AE262</f>
        <v>753.62900000000002</v>
      </c>
      <c r="E262" s="160">
        <f>AI262</f>
        <v>889.44200000000001</v>
      </c>
      <c r="F262" s="160">
        <f>AM262</f>
        <v>927.75</v>
      </c>
      <c r="G262" s="160">
        <f>AQ262</f>
        <v>1094.5029999999999</v>
      </c>
      <c r="H262" s="160">
        <f>AU262</f>
        <v>1442.626</v>
      </c>
      <c r="I262" s="160">
        <f>AY262</f>
        <v>1680.5609999999999</v>
      </c>
      <c r="J262" s="160">
        <f>BC262</f>
        <v>1795.6279999999999</v>
      </c>
      <c r="K262" s="160">
        <f>BG262</f>
        <v>2088.5459999999998</v>
      </c>
      <c r="L262" s="160">
        <f>BK262</f>
        <v>2110.877</v>
      </c>
      <c r="M262" s="160">
        <f>BO262</f>
        <v>2093.4940000000001</v>
      </c>
      <c r="N262" s="160">
        <f>BS262</f>
        <v>2103.239</v>
      </c>
      <c r="O262" s="160">
        <f t="shared" ref="O262:Q263" si="751">BW262</f>
        <v>2368.0014999999999</v>
      </c>
      <c r="P262" s="160">
        <f t="shared" si="751"/>
        <v>2415.2889999999998</v>
      </c>
      <c r="Q262" s="160">
        <f t="shared" si="751"/>
        <v>2462.5764999999997</v>
      </c>
      <c r="R262" s="160"/>
      <c r="S262" s="160"/>
      <c r="T262" s="160"/>
      <c r="U262" s="160"/>
      <c r="V262" s="160"/>
      <c r="W262" s="160">
        <v>376.79399999999998</v>
      </c>
      <c r="X262" s="160">
        <f>X264-X263</f>
        <v>402.44</v>
      </c>
      <c r="Y262" s="160">
        <f>Y264-Y263</f>
        <v>438.38400000000001</v>
      </c>
      <c r="Z262" s="160">
        <f>Z264-Z263</f>
        <v>494.149</v>
      </c>
      <c r="AA262" s="160">
        <v>526.70699999999999</v>
      </c>
      <c r="AB262" s="160">
        <f>AB264-AB263</f>
        <v>593.52099999999996</v>
      </c>
      <c r="AC262" s="160">
        <f>AC264-AC263</f>
        <v>668.77700000000004</v>
      </c>
      <c r="AD262" s="160">
        <f>AD264-AD263</f>
        <v>722.38099999999997</v>
      </c>
      <c r="AE262" s="160">
        <v>753.62900000000002</v>
      </c>
      <c r="AF262" s="160">
        <f>AF264-AF263</f>
        <v>813.78600000000006</v>
      </c>
      <c r="AG262" s="160">
        <f>AG264-AG263</f>
        <v>848.17399999999998</v>
      </c>
      <c r="AH262" s="160">
        <f>AH264-AH263</f>
        <v>884.93000000000006</v>
      </c>
      <c r="AI262" s="160">
        <v>889.44200000000001</v>
      </c>
      <c r="AJ262" s="160">
        <f>AJ264-AJ263</f>
        <v>912.827</v>
      </c>
      <c r="AK262" s="160">
        <f>AK264-AK263</f>
        <v>928.57899999999995</v>
      </c>
      <c r="AL262" s="160">
        <f>AL264-AL263</f>
        <v>938.80799999999999</v>
      </c>
      <c r="AM262" s="160">
        <v>927.75</v>
      </c>
      <c r="AN262" s="160">
        <f>AN264-AN263</f>
        <v>936.952</v>
      </c>
      <c r="AO262" s="160">
        <f>AO264-AO263</f>
        <v>983.48500000000001</v>
      </c>
      <c r="AP262" s="160">
        <f>AP264-AP263</f>
        <v>1040.529</v>
      </c>
      <c r="AQ262" s="160">
        <v>1094.5029999999999</v>
      </c>
      <c r="AR262" s="160">
        <f>AR264-AR263</f>
        <v>1185.799</v>
      </c>
      <c r="AS262" s="160">
        <f>AS264-AS263</f>
        <v>1294.028</v>
      </c>
      <c r="AT262" s="160">
        <f>AT264-AT263</f>
        <v>1385.116</v>
      </c>
      <c r="AU262" s="160">
        <v>1442.626</v>
      </c>
      <c r="AV262" s="160">
        <f>AV264-AV263</f>
        <v>1555.759</v>
      </c>
      <c r="AW262" s="160">
        <f>AW264-AW263</f>
        <v>1621.627</v>
      </c>
      <c r="AX262" s="160">
        <f>AX264-AX263</f>
        <v>1686.8850000000002</v>
      </c>
      <c r="AY262" s="160">
        <v>1680.5609999999999</v>
      </c>
      <c r="AZ262" s="160">
        <f>AZ264-AZ263</f>
        <v>1735.643</v>
      </c>
      <c r="BA262" s="160">
        <f>BA264-BA263</f>
        <v>1769.4470000000001</v>
      </c>
      <c r="BB262" s="160">
        <f>BB264-BB263</f>
        <v>1819.8630000000001</v>
      </c>
      <c r="BC262" s="160">
        <v>1795.6279999999999</v>
      </c>
      <c r="BD262" s="160">
        <f t="shared" ref="BD262:BJ262" si="752">BD264-BD263</f>
        <v>1832.6</v>
      </c>
      <c r="BE262" s="160">
        <f t="shared" si="752"/>
        <v>1864.598</v>
      </c>
      <c r="BF262" s="160">
        <f t="shared" si="752"/>
        <v>1975.3090000000002</v>
      </c>
      <c r="BG262" s="160">
        <v>2088.5459999999998</v>
      </c>
      <c r="BH262" s="160">
        <f t="shared" si="752"/>
        <v>2146.9650000000001</v>
      </c>
      <c r="BI262" s="160">
        <f t="shared" si="752"/>
        <v>2161.1390000000001</v>
      </c>
      <c r="BJ262" s="160">
        <f t="shared" si="752"/>
        <v>2162.7570000000001</v>
      </c>
      <c r="BK262" s="160">
        <v>2110.877</v>
      </c>
      <c r="BL262" s="160">
        <f>BL264-BL263</f>
        <v>2118.4849999999997</v>
      </c>
      <c r="BM262" s="160">
        <f>BM264-BM263</f>
        <v>2124.4209999999998</v>
      </c>
      <c r="BN262" s="160">
        <f>BN264-BN263</f>
        <v>2130.7029999999995</v>
      </c>
      <c r="BO262" s="160">
        <v>2093.4940000000001</v>
      </c>
      <c r="BP262" s="160">
        <f>BP264-BP263</f>
        <v>2096.8510000000001</v>
      </c>
      <c r="BQ262" s="160">
        <f>BQ264-BQ263</f>
        <v>2092.8209999999999</v>
      </c>
      <c r="BR262" s="160">
        <f>BR264-BR263</f>
        <v>2088.009</v>
      </c>
      <c r="BS262" s="160">
        <v>2103.239</v>
      </c>
      <c r="BT262" s="160">
        <f t="shared" ref="BT262:CE262" si="753">BS262-BT242-BT244-BT245</f>
        <v>2188.33275</v>
      </c>
      <c r="BU262" s="160">
        <f t="shared" si="753"/>
        <v>2273.9749375000001</v>
      </c>
      <c r="BV262" s="160">
        <f t="shared" si="753"/>
        <v>2320.7139999999999</v>
      </c>
      <c r="BW262" s="160">
        <f t="shared" si="753"/>
        <v>2368.0014999999999</v>
      </c>
      <c r="BX262" s="160">
        <f t="shared" si="753"/>
        <v>2415.2889999999998</v>
      </c>
      <c r="BY262" s="160">
        <f t="shared" si="753"/>
        <v>2462.5764999999997</v>
      </c>
      <c r="BZ262" s="160">
        <f t="shared" si="753"/>
        <v>2602.0577499999995</v>
      </c>
      <c r="CA262" s="160">
        <f t="shared" si="753"/>
        <v>2745.9264999999996</v>
      </c>
      <c r="CB262" s="160">
        <f t="shared" si="753"/>
        <v>2801.9889999999996</v>
      </c>
      <c r="CC262" s="160">
        <f t="shared" si="753"/>
        <v>2858.0514999999996</v>
      </c>
      <c r="CD262" s="160">
        <f t="shared" si="753"/>
        <v>2914.1139999999996</v>
      </c>
      <c r="CE262" s="160">
        <f t="shared" si="753"/>
        <v>2970.1764999999996</v>
      </c>
      <c r="CF262" s="205"/>
      <c r="CG262" s="205"/>
      <c r="CH262" s="205"/>
      <c r="CI262" s="205"/>
      <c r="CJ262" s="205"/>
      <c r="CK262" s="205"/>
      <c r="CL262" s="205"/>
      <c r="CM262" s="205"/>
      <c r="CN262" s="240">
        <f t="shared" si="629"/>
        <v>255</v>
      </c>
      <c r="CO262"/>
      <c r="CP262"/>
      <c r="CQ262"/>
      <c r="CR262"/>
      <c r="CS262"/>
      <c r="CT262"/>
      <c r="CU262" s="161"/>
    </row>
    <row r="263" spans="1:99" s="162" customFormat="1" hidden="1" outlineLevel="2">
      <c r="A263" s="159"/>
      <c r="B263" s="169" t="s">
        <v>71</v>
      </c>
      <c r="C263" s="163">
        <f>AA263</f>
        <v>-263.91000000000003</v>
      </c>
      <c r="D263" s="163">
        <f>AE263</f>
        <v>-320.50299999999999</v>
      </c>
      <c r="E263" s="163">
        <f>AI263</f>
        <v>-419.327</v>
      </c>
      <c r="F263" s="163">
        <f>AM263</f>
        <v>-531.52800000000002</v>
      </c>
      <c r="G263" s="163">
        <f>AQ263</f>
        <v>-641.48599999999999</v>
      </c>
      <c r="H263" s="163">
        <f>AU263</f>
        <v>-767.26599999999996</v>
      </c>
      <c r="I263" s="163">
        <f>AY263</f>
        <v>-924.23500000000001</v>
      </c>
      <c r="J263" s="163">
        <f>BC263</f>
        <v>-1069.3209999999999</v>
      </c>
      <c r="K263" s="163">
        <f>BG263</f>
        <v>-1239.163</v>
      </c>
      <c r="L263" s="163">
        <f>BK263</f>
        <v>-1422.5419999999999</v>
      </c>
      <c r="M263" s="163">
        <f>BO263</f>
        <v>-1595.508</v>
      </c>
      <c r="N263" s="163">
        <f>BS263</f>
        <v>-1659.3109999999999</v>
      </c>
      <c r="O263" s="163">
        <f t="shared" si="751"/>
        <v>-1830.7992232148192</v>
      </c>
      <c r="P263" s="163">
        <f t="shared" si="751"/>
        <v>-1876.7365404860943</v>
      </c>
      <c r="Q263" s="163">
        <f t="shared" si="751"/>
        <v>-1922.789314774333</v>
      </c>
      <c r="R263" s="164"/>
      <c r="S263" s="160"/>
      <c r="T263" s="160"/>
      <c r="U263" s="160"/>
      <c r="V263" s="160"/>
      <c r="W263" s="163">
        <v>-235.57599999999999</v>
      </c>
      <c r="X263" s="163">
        <f>W263+X59</f>
        <v>-246.28100000000001</v>
      </c>
      <c r="Y263" s="163">
        <f>X263+Y59</f>
        <v>-257.87799999999999</v>
      </c>
      <c r="Z263" s="163">
        <f>Y263+Z59</f>
        <v>-269.45</v>
      </c>
      <c r="AA263" s="163">
        <v>-263.91000000000003</v>
      </c>
      <c r="AB263" s="163">
        <f>AA263+AB59</f>
        <v>-279.173</v>
      </c>
      <c r="AC263" s="163">
        <f>AB263+AC59</f>
        <v>-297.86799999999999</v>
      </c>
      <c r="AD263" s="163">
        <f>AC263+AD59</f>
        <v>-318.714</v>
      </c>
      <c r="AE263" s="163">
        <v>-320.50299999999999</v>
      </c>
      <c r="AF263" s="163">
        <f>AE263+AF59</f>
        <v>-347.82900000000001</v>
      </c>
      <c r="AG263" s="163">
        <f>AF263+AG59</f>
        <v>-377.00600000000003</v>
      </c>
      <c r="AH263" s="163">
        <f>AG263+AH59</f>
        <v>-407.45100000000002</v>
      </c>
      <c r="AI263" s="163">
        <v>-419.327</v>
      </c>
      <c r="AJ263" s="163">
        <f>AI263+AJ59</f>
        <v>-451.34699999999998</v>
      </c>
      <c r="AK263" s="163">
        <f>AJ263+AK59</f>
        <v>-483.72299999999996</v>
      </c>
      <c r="AL263" s="163">
        <f>AK263+AL59</f>
        <v>-517.01199999999994</v>
      </c>
      <c r="AM263" s="163">
        <v>-531.52800000000002</v>
      </c>
      <c r="AN263" s="163">
        <f>AM263+AN59</f>
        <v>-563.78899999999999</v>
      </c>
      <c r="AO263" s="163">
        <f>AN263+AO59</f>
        <v>-597.173</v>
      </c>
      <c r="AP263" s="163">
        <f>AO263+AP59</f>
        <v>-630.26400000000001</v>
      </c>
      <c r="AQ263" s="163">
        <v>-641.48599999999999</v>
      </c>
      <c r="AR263" s="163">
        <f>AQ263+AR59</f>
        <v>-681.02300000000002</v>
      </c>
      <c r="AS263" s="163">
        <f>AR263+AS59</f>
        <v>-725.91600000000005</v>
      </c>
      <c r="AT263" s="163">
        <f>AS263+AT59</f>
        <v>-772.39200000000005</v>
      </c>
      <c r="AU263" s="163">
        <v>-767.26599999999996</v>
      </c>
      <c r="AV263" s="163">
        <f>AU263+AV59</f>
        <v>-818.87099999999998</v>
      </c>
      <c r="AW263" s="163">
        <f>AV263+AW59</f>
        <v>-872.82100000000003</v>
      </c>
      <c r="AX263" s="163">
        <f>AW263+AX59</f>
        <v>-926.77100000000007</v>
      </c>
      <c r="AY263" s="163">
        <v>-924.23500000000001</v>
      </c>
      <c r="AZ263" s="163">
        <f>AY263+AZ59</f>
        <v>-977.05600000000004</v>
      </c>
      <c r="BA263" s="163">
        <f>AZ263+BA59</f>
        <v>-1029.8230000000001</v>
      </c>
      <c r="BB263" s="163">
        <f>BA263+BB59</f>
        <v>-1083.0340000000001</v>
      </c>
      <c r="BC263" s="163">
        <v>-1069.3209999999999</v>
      </c>
      <c r="BD263" s="163">
        <f>BC263+BD59</f>
        <v>-1124.826</v>
      </c>
      <c r="BE263" s="163">
        <v>-1156</v>
      </c>
      <c r="BF263" s="163">
        <v>-1199.595</v>
      </c>
      <c r="BG263" s="163">
        <v>-1239.163</v>
      </c>
      <c r="BH263" s="163">
        <v>-1289.3330000000001</v>
      </c>
      <c r="BI263" s="163">
        <v>-1347.146</v>
      </c>
      <c r="BJ263" s="163">
        <v>-1409.3430000000001</v>
      </c>
      <c r="BK263" s="163">
        <v>-1422.5419999999999</v>
      </c>
      <c r="BL263" s="163">
        <f>BK263+BL59</f>
        <v>-1483.1779999999999</v>
      </c>
      <c r="BM263" s="163">
        <f>BL263+BM59</f>
        <v>-1539.4579999999999</v>
      </c>
      <c r="BN263" s="163">
        <f>BM263+BN59</f>
        <v>-1591.4329999999998</v>
      </c>
      <c r="BO263" s="163">
        <v>-1595.508</v>
      </c>
      <c r="BP263" s="163">
        <v>-1631.6020000000001</v>
      </c>
      <c r="BQ263" s="163">
        <v>-1649.2660000000001</v>
      </c>
      <c r="BR263" s="163">
        <v>-1643.347</v>
      </c>
      <c r="BS263" s="163">
        <v>-1659.3109999999999</v>
      </c>
      <c r="BT263" s="163">
        <f t="shared" ref="BT263:CE263" si="754">BS263+BT59</f>
        <v>-1697.2722340879138</v>
      </c>
      <c r="BU263" s="163">
        <f t="shared" si="754"/>
        <v>-1739.2638705602033</v>
      </c>
      <c r="BV263" s="163">
        <f t="shared" si="754"/>
        <v>-1784.9881591419098</v>
      </c>
      <c r="BW263" s="163">
        <f t="shared" si="754"/>
        <v>-1830.7992232148192</v>
      </c>
      <c r="BX263" s="163">
        <f t="shared" si="754"/>
        <v>-1876.7365404860943</v>
      </c>
      <c r="BY263" s="163">
        <f t="shared" si="754"/>
        <v>-1922.789314774333</v>
      </c>
      <c r="BZ263" s="163">
        <f t="shared" si="754"/>
        <v>-1968.947673102728</v>
      </c>
      <c r="CA263" s="163">
        <f t="shared" si="754"/>
        <v>-2023.0862717775458</v>
      </c>
      <c r="CB263" s="163">
        <f t="shared" si="754"/>
        <v>-2084.8978878768089</v>
      </c>
      <c r="CC263" s="163">
        <f t="shared" si="754"/>
        <v>-2146.2178847449295</v>
      </c>
      <c r="CD263" s="163">
        <f t="shared" si="754"/>
        <v>-2207.0883017953156</v>
      </c>
      <c r="CE263" s="163">
        <f t="shared" si="754"/>
        <v>-2267.5475835610946</v>
      </c>
      <c r="CF263" s="205"/>
      <c r="CG263" s="205"/>
      <c r="CH263" s="205"/>
      <c r="CI263" s="205"/>
      <c r="CJ263" s="205"/>
      <c r="CK263" s="205"/>
      <c r="CL263" s="205"/>
      <c r="CM263" s="205"/>
      <c r="CN263" s="240">
        <f t="shared" si="629"/>
        <v>256</v>
      </c>
      <c r="CO263"/>
      <c r="CP263"/>
      <c r="CQ263"/>
      <c r="CR263"/>
      <c r="CS263"/>
      <c r="CT263"/>
      <c r="CU263" s="161"/>
    </row>
    <row r="264" spans="1:99" outlineLevel="1" collapsed="1">
      <c r="A264" s="144"/>
      <c r="B264" s="19" t="s">
        <v>69</v>
      </c>
      <c r="C264" s="23">
        <f t="shared" ref="C264:O266" si="755">INDEX($T264:$CF264,1,MATCH(C$4,$T$4:$CF$4,0))</f>
        <v>262.79699999999997</v>
      </c>
      <c r="D264" s="23">
        <f t="shared" si="755"/>
        <v>433.12600000000003</v>
      </c>
      <c r="E264" s="23">
        <f t="shared" si="755"/>
        <v>470.11500000000001</v>
      </c>
      <c r="F264" s="23">
        <f t="shared" si="755"/>
        <v>396.22199999999998</v>
      </c>
      <c r="G264" s="23">
        <f t="shared" si="755"/>
        <v>453.017</v>
      </c>
      <c r="H264" s="23">
        <f t="shared" si="755"/>
        <v>675.36</v>
      </c>
      <c r="I264" s="23">
        <f t="shared" si="755"/>
        <v>756.32600000000002</v>
      </c>
      <c r="J264" s="23">
        <f t="shared" si="755"/>
        <v>726.30700000000002</v>
      </c>
      <c r="K264" s="23">
        <f t="shared" si="755"/>
        <v>849.38300000000004</v>
      </c>
      <c r="L264" s="23">
        <f t="shared" si="755"/>
        <v>688.33500000000004</v>
      </c>
      <c r="M264" s="23">
        <f t="shared" si="755"/>
        <v>497.98599999999999</v>
      </c>
      <c r="N264" s="23">
        <f t="shared" si="755"/>
        <v>443.928</v>
      </c>
      <c r="O264" s="23">
        <f t="shared" si="755"/>
        <v>537.20227678518063</v>
      </c>
      <c r="P264" s="23">
        <f t="shared" ref="P264:Q266" si="756">INDEX($T264:$CF264,1,MATCH(P$4,$T$4:$CF$4,0))</f>
        <v>722.84022822245379</v>
      </c>
      <c r="Q264" s="23">
        <f t="shared" si="756"/>
        <v>702.62891643890498</v>
      </c>
      <c r="R264" s="23"/>
      <c r="S264" s="23"/>
      <c r="T264" s="194">
        <v>117.941</v>
      </c>
      <c r="U264" s="194">
        <v>127.887</v>
      </c>
      <c r="V264" s="194">
        <v>135.29</v>
      </c>
      <c r="W264" s="194">
        <v>141.21799999999999</v>
      </c>
      <c r="X264" s="194">
        <v>156.15899999999999</v>
      </c>
      <c r="Y264" s="194">
        <v>180.506</v>
      </c>
      <c r="Z264" s="194">
        <v>224.69900000000001</v>
      </c>
      <c r="AA264" s="194">
        <v>262.79699999999997</v>
      </c>
      <c r="AB264" s="194">
        <v>314.34800000000001</v>
      </c>
      <c r="AC264" s="194">
        <v>370.90899999999999</v>
      </c>
      <c r="AD264" s="194">
        <v>403.66699999999997</v>
      </c>
      <c r="AE264" s="194">
        <v>433.12600000000003</v>
      </c>
      <c r="AF264" s="194">
        <v>465.95699999999999</v>
      </c>
      <c r="AG264" s="194">
        <v>471.16800000000001</v>
      </c>
      <c r="AH264" s="194">
        <v>477.47899999999998</v>
      </c>
      <c r="AI264" s="194">
        <v>470.11500000000001</v>
      </c>
      <c r="AJ264" s="194">
        <v>461.48</v>
      </c>
      <c r="AK264" s="194">
        <v>444.85599999999999</v>
      </c>
      <c r="AL264" s="194">
        <v>421.79599999999999</v>
      </c>
      <c r="AM264" s="194">
        <v>396.22199999999998</v>
      </c>
      <c r="AN264" s="194">
        <v>373.16300000000001</v>
      </c>
      <c r="AO264" s="194">
        <v>386.31200000000001</v>
      </c>
      <c r="AP264" s="194">
        <v>410.26499999999999</v>
      </c>
      <c r="AQ264" s="194">
        <v>453.017</v>
      </c>
      <c r="AR264" s="194">
        <v>504.77600000000001</v>
      </c>
      <c r="AS264" s="194">
        <v>568.11199999999997</v>
      </c>
      <c r="AT264" s="194">
        <v>612.72400000000005</v>
      </c>
      <c r="AU264" s="194">
        <v>675.36</v>
      </c>
      <c r="AV264" s="194">
        <v>736.88800000000003</v>
      </c>
      <c r="AW264" s="194">
        <v>748.80600000000004</v>
      </c>
      <c r="AX264" s="194">
        <v>760.11400000000003</v>
      </c>
      <c r="AY264" s="194">
        <v>756.32600000000002</v>
      </c>
      <c r="AZ264" s="194">
        <v>758.58699999999999</v>
      </c>
      <c r="BA264" s="194">
        <v>739.62400000000002</v>
      </c>
      <c r="BB264" s="194">
        <v>736.82899999999995</v>
      </c>
      <c r="BC264" s="194">
        <v>726.30700000000002</v>
      </c>
      <c r="BD264" s="194">
        <v>707.774</v>
      </c>
      <c r="BE264" s="194">
        <v>708.59799999999996</v>
      </c>
      <c r="BF264" s="194">
        <v>775.71400000000006</v>
      </c>
      <c r="BG264" s="194">
        <v>849.38300000000004</v>
      </c>
      <c r="BH264" s="194">
        <v>857.63199999999995</v>
      </c>
      <c r="BI264" s="194">
        <v>813.99300000000005</v>
      </c>
      <c r="BJ264" s="194">
        <v>753.41399999999999</v>
      </c>
      <c r="BK264" s="194">
        <v>688.33500000000004</v>
      </c>
      <c r="BL264" s="194">
        <v>635.30700000000002</v>
      </c>
      <c r="BM264" s="194">
        <v>584.96299999999997</v>
      </c>
      <c r="BN264" s="194">
        <v>539.27</v>
      </c>
      <c r="BO264" s="194">
        <v>497.98599999999999</v>
      </c>
      <c r="BP264" s="194">
        <v>465.24900000000002</v>
      </c>
      <c r="BQ264" s="194">
        <v>443.55500000000001</v>
      </c>
      <c r="BR264" s="194">
        <v>444.66199999999998</v>
      </c>
      <c r="BS264" s="194">
        <v>443.928</v>
      </c>
      <c r="BT264" s="23">
        <f>BT262+BT263</f>
        <v>491.0605159120862</v>
      </c>
      <c r="BU264" s="23">
        <f>BU262+BU263</f>
        <v>534.71106693979686</v>
      </c>
      <c r="BV264" s="23">
        <f>BV262+BV263</f>
        <v>535.72584085809012</v>
      </c>
      <c r="BW264" s="23">
        <f>BW262+BW263</f>
        <v>537.20227678518063</v>
      </c>
      <c r="BX264" s="23">
        <f t="shared" ref="BX264:CE264" si="757">BX262+BX263</f>
        <v>538.55245951390543</v>
      </c>
      <c r="BY264" s="23">
        <f t="shared" si="757"/>
        <v>539.78718522566669</v>
      </c>
      <c r="BZ264" s="23">
        <f t="shared" si="757"/>
        <v>633.11007689727148</v>
      </c>
      <c r="CA264" s="23">
        <f t="shared" si="757"/>
        <v>722.84022822245379</v>
      </c>
      <c r="CB264" s="23">
        <f t="shared" si="757"/>
        <v>717.09111212319067</v>
      </c>
      <c r="CC264" s="23">
        <f t="shared" si="757"/>
        <v>711.83361525507007</v>
      </c>
      <c r="CD264" s="23">
        <f t="shared" si="757"/>
        <v>707.02569820468398</v>
      </c>
      <c r="CE264" s="23">
        <f t="shared" si="757"/>
        <v>702.62891643890498</v>
      </c>
      <c r="CF264" s="4"/>
      <c r="CG264" s="4"/>
      <c r="CH264" s="4"/>
      <c r="CI264" s="4"/>
      <c r="CJ264" s="4"/>
      <c r="CK264" s="4"/>
      <c r="CL264" s="4"/>
      <c r="CM264" s="4"/>
      <c r="CN264" s="240">
        <f t="shared" si="629"/>
        <v>257</v>
      </c>
    </row>
    <row r="265" spans="1:99" outlineLevel="1">
      <c r="A265" s="144"/>
      <c r="B265" s="45" t="s">
        <v>136</v>
      </c>
      <c r="C265" s="23">
        <f t="shared" si="755"/>
        <v>24.093</v>
      </c>
      <c r="D265" s="23">
        <f t="shared" si="755"/>
        <v>24.093</v>
      </c>
      <c r="E265" s="23">
        <f t="shared" si="755"/>
        <v>24.093</v>
      </c>
      <c r="F265" s="23">
        <f t="shared" si="755"/>
        <v>24.093</v>
      </c>
      <c r="G265" s="23">
        <f t="shared" si="755"/>
        <v>24.093</v>
      </c>
      <c r="H265" s="23">
        <f t="shared" si="755"/>
        <v>24.093</v>
      </c>
      <c r="I265" s="23">
        <f t="shared" si="755"/>
        <v>24.093</v>
      </c>
      <c r="J265" s="23">
        <f t="shared" si="755"/>
        <v>31.861000000000001</v>
      </c>
      <c r="K265" s="23">
        <f t="shared" si="755"/>
        <v>32.15</v>
      </c>
      <c r="L265" s="23">
        <f t="shared" si="755"/>
        <v>32.15</v>
      </c>
      <c r="M265" s="23">
        <f t="shared" si="755"/>
        <v>32.15</v>
      </c>
      <c r="N265" s="23">
        <f t="shared" si="755"/>
        <v>32.15</v>
      </c>
      <c r="O265" s="23">
        <f t="shared" si="755"/>
        <v>32.15</v>
      </c>
      <c r="P265" s="23">
        <f t="shared" si="756"/>
        <v>32.15</v>
      </c>
      <c r="Q265" s="23">
        <f t="shared" si="756"/>
        <v>32.15</v>
      </c>
      <c r="R265" s="23"/>
      <c r="S265" s="23"/>
      <c r="T265" s="194">
        <v>20.509</v>
      </c>
      <c r="U265" s="194">
        <v>24.77</v>
      </c>
      <c r="V265" s="194">
        <v>24.151</v>
      </c>
      <c r="W265" s="194">
        <v>24.093</v>
      </c>
      <c r="X265" s="194">
        <v>24.093</v>
      </c>
      <c r="Y265" s="194">
        <v>24.093</v>
      </c>
      <c r="Z265" s="194">
        <v>24.093</v>
      </c>
      <c r="AA265" s="194">
        <v>24.093</v>
      </c>
      <c r="AB265" s="194">
        <v>24.093</v>
      </c>
      <c r="AC265" s="194">
        <v>24.093</v>
      </c>
      <c r="AD265" s="194">
        <v>24.093</v>
      </c>
      <c r="AE265" s="194">
        <v>24.093</v>
      </c>
      <c r="AF265" s="194">
        <v>24.093</v>
      </c>
      <c r="AG265" s="194">
        <v>24.093</v>
      </c>
      <c r="AH265" s="194">
        <v>24.093</v>
      </c>
      <c r="AI265" s="194">
        <v>24.093</v>
      </c>
      <c r="AJ265" s="194">
        <v>24.093</v>
      </c>
      <c r="AK265" s="194">
        <v>24.093</v>
      </c>
      <c r="AL265" s="194">
        <v>24.093</v>
      </c>
      <c r="AM265" s="194">
        <v>24.093</v>
      </c>
      <c r="AN265" s="194">
        <v>24.093</v>
      </c>
      <c r="AO265" s="194">
        <v>24.093</v>
      </c>
      <c r="AP265" s="194">
        <v>24.093</v>
      </c>
      <c r="AQ265" s="194">
        <v>24.093</v>
      </c>
      <c r="AR265" s="194">
        <v>24.093</v>
      </c>
      <c r="AS265" s="194">
        <v>24.093</v>
      </c>
      <c r="AT265" s="194">
        <v>24.093</v>
      </c>
      <c r="AU265" s="194">
        <v>24.093</v>
      </c>
      <c r="AV265" s="194">
        <v>24.093</v>
      </c>
      <c r="AW265" s="194">
        <v>24.093</v>
      </c>
      <c r="AX265" s="194">
        <v>24.093</v>
      </c>
      <c r="AY265" s="194">
        <v>24.093</v>
      </c>
      <c r="AZ265" s="194">
        <v>24.093</v>
      </c>
      <c r="BA265" s="194">
        <v>24.093</v>
      </c>
      <c r="BB265" s="194">
        <v>24.093</v>
      </c>
      <c r="BC265" s="194">
        <v>31.861000000000001</v>
      </c>
      <c r="BD265" s="194">
        <v>32.15</v>
      </c>
      <c r="BE265" s="194">
        <v>32.15</v>
      </c>
      <c r="BF265" s="194">
        <v>32.15</v>
      </c>
      <c r="BG265" s="194">
        <v>32.15</v>
      </c>
      <c r="BH265" s="194">
        <v>32.15</v>
      </c>
      <c r="BI265" s="194">
        <v>32.15</v>
      </c>
      <c r="BJ265" s="194">
        <v>32.15</v>
      </c>
      <c r="BK265" s="194">
        <v>32.15</v>
      </c>
      <c r="BL265" s="194">
        <v>32.15</v>
      </c>
      <c r="BM265" s="194">
        <v>32.15</v>
      </c>
      <c r="BN265" s="194">
        <v>32.15</v>
      </c>
      <c r="BO265" s="194">
        <v>32.15</v>
      </c>
      <c r="BP265" s="194">
        <v>32.15</v>
      </c>
      <c r="BQ265" s="194">
        <v>32.15</v>
      </c>
      <c r="BR265" s="194">
        <v>32.15</v>
      </c>
      <c r="BS265" s="194">
        <v>32.15</v>
      </c>
      <c r="BT265" s="23">
        <f t="shared" ref="BT265:BW266" si="758">BS265</f>
        <v>32.15</v>
      </c>
      <c r="BU265" s="23">
        <f t="shared" si="758"/>
        <v>32.15</v>
      </c>
      <c r="BV265" s="23">
        <f t="shared" si="758"/>
        <v>32.15</v>
      </c>
      <c r="BW265" s="23">
        <f t="shared" si="758"/>
        <v>32.15</v>
      </c>
      <c r="BX265" s="23">
        <f t="shared" ref="BX265:CE266" si="759">BW265</f>
        <v>32.15</v>
      </c>
      <c r="BY265" s="23">
        <f t="shared" si="759"/>
        <v>32.15</v>
      </c>
      <c r="BZ265" s="23">
        <f t="shared" si="759"/>
        <v>32.15</v>
      </c>
      <c r="CA265" s="23">
        <f t="shared" si="759"/>
        <v>32.15</v>
      </c>
      <c r="CB265" s="23">
        <f t="shared" si="759"/>
        <v>32.15</v>
      </c>
      <c r="CC265" s="23">
        <f t="shared" si="759"/>
        <v>32.15</v>
      </c>
      <c r="CD265" s="23">
        <f t="shared" si="759"/>
        <v>32.15</v>
      </c>
      <c r="CE265" s="23">
        <f t="shared" si="759"/>
        <v>32.15</v>
      </c>
      <c r="CF265" s="4"/>
      <c r="CG265" s="4"/>
      <c r="CH265" s="4"/>
      <c r="CI265" s="4"/>
      <c r="CJ265" s="4"/>
      <c r="CK265" s="4"/>
      <c r="CL265" s="4"/>
      <c r="CM265" s="4"/>
      <c r="CN265" s="240">
        <f t="shared" si="629"/>
        <v>258</v>
      </c>
    </row>
    <row r="266" spans="1:99" outlineLevel="1">
      <c r="A266" s="144"/>
      <c r="B266" s="45" t="s">
        <v>72</v>
      </c>
      <c r="C266" s="23">
        <f t="shared" si="755"/>
        <v>5.1630000000000003</v>
      </c>
      <c r="D266" s="23">
        <f t="shared" si="755"/>
        <v>8.7360000000000007</v>
      </c>
      <c r="E266" s="23">
        <f t="shared" si="755"/>
        <v>6.43</v>
      </c>
      <c r="F266" s="23">
        <f t="shared" si="755"/>
        <v>9.2739999999999991</v>
      </c>
      <c r="G266" s="23">
        <f t="shared" si="755"/>
        <v>12.083</v>
      </c>
      <c r="H266" s="23">
        <f t="shared" si="755"/>
        <v>12.202999999999999</v>
      </c>
      <c r="I266" s="23">
        <f t="shared" si="755"/>
        <v>18.917000000000002</v>
      </c>
      <c r="J266" s="23">
        <f t="shared" si="755"/>
        <v>20.766999999999999</v>
      </c>
      <c r="K266" s="23">
        <f t="shared" si="755"/>
        <v>26.196999999999999</v>
      </c>
      <c r="L266" s="23">
        <f t="shared" si="755"/>
        <v>24.401</v>
      </c>
      <c r="M266" s="23">
        <f t="shared" si="755"/>
        <v>26.259</v>
      </c>
      <c r="N266" s="23">
        <f t="shared" si="755"/>
        <v>31.010999999999999</v>
      </c>
      <c r="O266" s="23">
        <f t="shared" si="755"/>
        <v>31.010999999999999</v>
      </c>
      <c r="P266" s="23">
        <f t="shared" si="756"/>
        <v>31.010999999999999</v>
      </c>
      <c r="Q266" s="23">
        <f t="shared" si="756"/>
        <v>31.010999999999999</v>
      </c>
      <c r="R266" s="23"/>
      <c r="S266" s="23"/>
      <c r="T266" s="194"/>
      <c r="U266" s="194"/>
      <c r="V266" s="194"/>
      <c r="W266" s="194">
        <v>3.6309999999999998</v>
      </c>
      <c r="X266" s="194">
        <v>4.2539999999999996</v>
      </c>
      <c r="Y266" s="194">
        <v>4.3719999999999999</v>
      </c>
      <c r="Z266" s="194">
        <v>4.734</v>
      </c>
      <c r="AA266" s="194">
        <v>5.1630000000000003</v>
      </c>
      <c r="AB266" s="194">
        <v>5.7060000000000004</v>
      </c>
      <c r="AC266" s="194">
        <v>5.8540000000000001</v>
      </c>
      <c r="AD266" s="194">
        <v>6.05</v>
      </c>
      <c r="AE266" s="194">
        <v>8.7360000000000007</v>
      </c>
      <c r="AF266" s="194">
        <v>9.3719999999999999</v>
      </c>
      <c r="AG266" s="194">
        <v>9.702</v>
      </c>
      <c r="AH266" s="194">
        <v>9.7430000000000003</v>
      </c>
      <c r="AI266" s="194">
        <v>6.43</v>
      </c>
      <c r="AJ266" s="194">
        <v>7.2169999999999996</v>
      </c>
      <c r="AK266" s="194">
        <v>7.9660000000000002</v>
      </c>
      <c r="AL266" s="194">
        <v>8.9640000000000004</v>
      </c>
      <c r="AM266" s="194">
        <v>9.2739999999999991</v>
      </c>
      <c r="AN266" s="194">
        <v>9.6129999999999995</v>
      </c>
      <c r="AO266" s="194">
        <v>9.58</v>
      </c>
      <c r="AP266" s="194">
        <v>11.766999999999999</v>
      </c>
      <c r="AQ266" s="194">
        <v>12.083</v>
      </c>
      <c r="AR266" s="194">
        <v>12.24</v>
      </c>
      <c r="AS266" s="194">
        <v>12.458</v>
      </c>
      <c r="AT266" s="194">
        <v>11.920999999999999</v>
      </c>
      <c r="AU266" s="194">
        <v>12.202999999999999</v>
      </c>
      <c r="AV266" s="194">
        <v>16.399000000000001</v>
      </c>
      <c r="AW266" s="194">
        <v>15.863</v>
      </c>
      <c r="AX266" s="194">
        <v>16.434999999999999</v>
      </c>
      <c r="AY266" s="194">
        <v>18.917000000000002</v>
      </c>
      <c r="AZ266" s="194">
        <v>19.231000000000002</v>
      </c>
      <c r="BA266" s="194">
        <v>18.873000000000001</v>
      </c>
      <c r="BB266" s="194">
        <v>19.478000000000002</v>
      </c>
      <c r="BC266" s="194">
        <v>20.766999999999999</v>
      </c>
      <c r="BD266" s="194">
        <v>21.542999999999999</v>
      </c>
      <c r="BE266" s="194">
        <v>21.885999999999999</v>
      </c>
      <c r="BF266" s="194">
        <v>23.113</v>
      </c>
      <c r="BG266" s="194">
        <v>26.196999999999999</v>
      </c>
      <c r="BH266" s="194">
        <v>25.965</v>
      </c>
      <c r="BI266" s="194">
        <v>26.033999999999999</v>
      </c>
      <c r="BJ266" s="194">
        <v>24.484999999999999</v>
      </c>
      <c r="BK266" s="194">
        <v>24.401</v>
      </c>
      <c r="BL266" s="194">
        <v>24.277000000000001</v>
      </c>
      <c r="BM266" s="194">
        <v>24.626999999999999</v>
      </c>
      <c r="BN266" s="194">
        <v>25.666</v>
      </c>
      <c r="BO266" s="194">
        <v>26.259</v>
      </c>
      <c r="BP266" s="194">
        <v>27.001999999999999</v>
      </c>
      <c r="BQ266" s="194">
        <v>28.501999999999999</v>
      </c>
      <c r="BR266" s="194">
        <v>29.373999999999999</v>
      </c>
      <c r="BS266" s="194">
        <v>31.010999999999999</v>
      </c>
      <c r="BT266" s="23">
        <f t="shared" si="758"/>
        <v>31.010999999999999</v>
      </c>
      <c r="BU266" s="23">
        <f t="shared" si="758"/>
        <v>31.010999999999999</v>
      </c>
      <c r="BV266" s="23">
        <f t="shared" si="758"/>
        <v>31.010999999999999</v>
      </c>
      <c r="BW266" s="23">
        <f t="shared" si="758"/>
        <v>31.010999999999999</v>
      </c>
      <c r="BX266" s="23">
        <f t="shared" si="759"/>
        <v>31.010999999999999</v>
      </c>
      <c r="BY266" s="23">
        <f t="shared" si="759"/>
        <v>31.010999999999999</v>
      </c>
      <c r="BZ266" s="23">
        <f t="shared" si="759"/>
        <v>31.010999999999999</v>
      </c>
      <c r="CA266" s="23">
        <f t="shared" si="759"/>
        <v>31.010999999999999</v>
      </c>
      <c r="CB266" s="23">
        <f t="shared" si="759"/>
        <v>31.010999999999999</v>
      </c>
      <c r="CC266" s="23">
        <f t="shared" si="759"/>
        <v>31.010999999999999</v>
      </c>
      <c r="CD266" s="23">
        <f t="shared" si="759"/>
        <v>31.010999999999999</v>
      </c>
      <c r="CE266" s="23">
        <f t="shared" si="759"/>
        <v>31.010999999999999</v>
      </c>
      <c r="CF266" s="4"/>
      <c r="CG266" s="4"/>
      <c r="CH266" s="4"/>
      <c r="CI266" s="4"/>
      <c r="CJ266" s="4"/>
      <c r="CK266" s="4"/>
      <c r="CL266" s="4"/>
      <c r="CM266" s="4"/>
      <c r="CN266" s="240">
        <f t="shared" ref="CN266:CN329" si="760">+CN265+1</f>
        <v>259</v>
      </c>
    </row>
    <row r="267" spans="1:99" outlineLevel="1">
      <c r="A267" s="144"/>
      <c r="B267" s="135" t="s">
        <v>73</v>
      </c>
      <c r="C267" s="54">
        <f t="shared" ref="C267:M267" si="761">SUM(C264:C266,C261)</f>
        <v>478.00699999999995</v>
      </c>
      <c r="D267" s="54">
        <f t="shared" si="761"/>
        <v>701.01499999999999</v>
      </c>
      <c r="E267" s="54">
        <f t="shared" si="761"/>
        <v>793.46100000000001</v>
      </c>
      <c r="F267" s="54">
        <f t="shared" si="761"/>
        <v>649.04300000000001</v>
      </c>
      <c r="G267" s="54">
        <f t="shared" si="761"/>
        <v>887.87100000000009</v>
      </c>
      <c r="H267" s="54">
        <f t="shared" si="761"/>
        <v>1338.2109999999998</v>
      </c>
      <c r="I267" s="54">
        <f t="shared" si="761"/>
        <v>1367.163</v>
      </c>
      <c r="J267" s="54">
        <f t="shared" si="761"/>
        <v>1383.8600000000001</v>
      </c>
      <c r="K267" s="54">
        <f t="shared" si="761"/>
        <v>1759.3580000000002</v>
      </c>
      <c r="L267" s="54">
        <f t="shared" si="761"/>
        <v>1237.0940000000001</v>
      </c>
      <c r="M267" s="54">
        <f t="shared" si="761"/>
        <v>1035.452</v>
      </c>
      <c r="N267" s="54">
        <f>SUM(N264:N266,N261)</f>
        <v>1147.2239999999999</v>
      </c>
      <c r="O267" s="54">
        <f>SUM(O264:O266,O261)</f>
        <v>1436.6270139188637</v>
      </c>
      <c r="P267" s="54">
        <f>SUM(P264:P266,P261)</f>
        <v>1766.8715598753242</v>
      </c>
      <c r="Q267" s="54">
        <f>SUM(Q264:Q266,Q261)</f>
        <v>2103.4915463538468</v>
      </c>
      <c r="R267" s="69"/>
      <c r="S267" s="23"/>
      <c r="T267" s="60">
        <v>264.11200000000002</v>
      </c>
      <c r="U267" s="60">
        <v>268.96800000000002</v>
      </c>
      <c r="V267" s="60">
        <v>301.99299999999999</v>
      </c>
      <c r="W267" s="54">
        <f t="shared" ref="W267:AZ267" si="762">SUM(W264:W266,W261)</f>
        <v>311.78499999999997</v>
      </c>
      <c r="X267" s="54">
        <f t="shared" si="762"/>
        <v>330.96199999999999</v>
      </c>
      <c r="Y267" s="54">
        <f t="shared" si="762"/>
        <v>367.80500000000001</v>
      </c>
      <c r="Z267" s="54">
        <f t="shared" si="762"/>
        <v>424.185</v>
      </c>
      <c r="AA267" s="54">
        <f t="shared" si="762"/>
        <v>478.00699999999995</v>
      </c>
      <c r="AB267" s="54">
        <f t="shared" si="762"/>
        <v>547.64300000000003</v>
      </c>
      <c r="AC267" s="54">
        <f t="shared" si="762"/>
        <v>611.71299999999997</v>
      </c>
      <c r="AD267" s="54">
        <f t="shared" si="762"/>
        <v>650.53600000000006</v>
      </c>
      <c r="AE267" s="54">
        <f t="shared" si="762"/>
        <v>701.01499999999999</v>
      </c>
      <c r="AF267" s="54">
        <f t="shared" si="762"/>
        <v>737.35900000000004</v>
      </c>
      <c r="AG267" s="54">
        <f t="shared" si="762"/>
        <v>753.154</v>
      </c>
      <c r="AH267" s="54">
        <f t="shared" si="762"/>
        <v>801.05500000000006</v>
      </c>
      <c r="AI267" s="54">
        <f t="shared" si="762"/>
        <v>793.46100000000001</v>
      </c>
      <c r="AJ267" s="54">
        <f t="shared" si="762"/>
        <v>727.59699999999998</v>
      </c>
      <c r="AK267" s="54">
        <f t="shared" si="762"/>
        <v>682.65200000000004</v>
      </c>
      <c r="AL267" s="54">
        <f t="shared" si="762"/>
        <v>658.06700000000001</v>
      </c>
      <c r="AM267" s="54">
        <f t="shared" si="762"/>
        <v>649.04300000000001</v>
      </c>
      <c r="AN267" s="54">
        <f t="shared" si="762"/>
        <v>685.8610000000001</v>
      </c>
      <c r="AO267" s="54">
        <f t="shared" si="762"/>
        <v>710.17499999999995</v>
      </c>
      <c r="AP267" s="54">
        <f t="shared" si="762"/>
        <v>802.86500000000001</v>
      </c>
      <c r="AQ267" s="54">
        <f t="shared" si="762"/>
        <v>887.87100000000009</v>
      </c>
      <c r="AR267" s="54">
        <f t="shared" si="762"/>
        <v>997.12300000000005</v>
      </c>
      <c r="AS267" s="54">
        <f t="shared" si="762"/>
        <v>1114.7919999999999</v>
      </c>
      <c r="AT267" s="54">
        <f t="shared" si="762"/>
        <v>1214.0310000000002</v>
      </c>
      <c r="AU267" s="54">
        <f t="shared" si="762"/>
        <v>1338.2109999999998</v>
      </c>
      <c r="AV267" s="54">
        <f t="shared" si="762"/>
        <v>1369.0070000000001</v>
      </c>
      <c r="AW267" s="54">
        <f t="shared" si="762"/>
        <v>1383.6410000000001</v>
      </c>
      <c r="AX267" s="54">
        <f t="shared" si="762"/>
        <v>1358.146</v>
      </c>
      <c r="AY267" s="54">
        <f t="shared" si="762"/>
        <v>1367.163</v>
      </c>
      <c r="AZ267" s="54">
        <f t="shared" si="762"/>
        <v>1352.576</v>
      </c>
      <c r="BA267" s="54">
        <f t="shared" ref="BA267:BG267" si="763">SUM(BA264:BA266,BA261)</f>
        <v>1328.982</v>
      </c>
      <c r="BB267" s="54">
        <f t="shared" si="763"/>
        <v>1352.329</v>
      </c>
      <c r="BC267" s="54">
        <f t="shared" si="763"/>
        <v>1383.8600000000001</v>
      </c>
      <c r="BD267" s="54">
        <f t="shared" si="763"/>
        <v>1434.2949999999998</v>
      </c>
      <c r="BE267" s="54">
        <f t="shared" si="763"/>
        <v>1530.8609999999999</v>
      </c>
      <c r="BF267" s="54">
        <f t="shared" si="763"/>
        <v>1616.0330000000001</v>
      </c>
      <c r="BG267" s="54">
        <f t="shared" si="763"/>
        <v>1759.3580000000002</v>
      </c>
      <c r="BH267" s="54">
        <f t="shared" ref="BH267:BO267" si="764">SUM(BH264:BH266,BH261)</f>
        <v>1549.98</v>
      </c>
      <c r="BI267" s="54">
        <f t="shared" si="764"/>
        <v>1383.7820000000002</v>
      </c>
      <c r="BJ267" s="54">
        <f t="shared" si="764"/>
        <v>1288.0909999999999</v>
      </c>
      <c r="BK267" s="54">
        <f t="shared" si="764"/>
        <v>1237.0940000000001</v>
      </c>
      <c r="BL267" s="54">
        <f t="shared" si="764"/>
        <v>1155.1959999999999</v>
      </c>
      <c r="BM267" s="54">
        <f t="shared" si="764"/>
        <v>1091.277</v>
      </c>
      <c r="BN267" s="54">
        <f t="shared" si="764"/>
        <v>1052.8919999999998</v>
      </c>
      <c r="BO267" s="54">
        <f t="shared" si="764"/>
        <v>1035.452</v>
      </c>
      <c r="BP267" s="54">
        <f t="shared" ref="BP267:BW267" si="765">SUM(BP264:BP266,BP261)</f>
        <v>1049.0540000000001</v>
      </c>
      <c r="BQ267" s="54">
        <f t="shared" si="765"/>
        <v>1105.885</v>
      </c>
      <c r="BR267" s="54">
        <f t="shared" si="765"/>
        <v>1148.626</v>
      </c>
      <c r="BS267" s="54">
        <f t="shared" si="765"/>
        <v>1147.2239999999999</v>
      </c>
      <c r="BT267" s="54">
        <f t="shared" si="765"/>
        <v>1199.712032243548</v>
      </c>
      <c r="BU267" s="54">
        <f t="shared" si="765"/>
        <v>1282.7694593574636</v>
      </c>
      <c r="BV267" s="54">
        <f t="shared" si="765"/>
        <v>1359.5104012035185</v>
      </c>
      <c r="BW267" s="54">
        <f t="shared" si="765"/>
        <v>1436.6270139188637</v>
      </c>
      <c r="BX267" s="54">
        <f t="shared" ref="BX267:CE267" si="766">SUM(BX264:BX266,BX261)</f>
        <v>1511.937960398448</v>
      </c>
      <c r="BY267" s="54">
        <f t="shared" si="766"/>
        <v>1587.3481280429132</v>
      </c>
      <c r="BZ267" s="54">
        <f t="shared" si="766"/>
        <v>1673.6823954803135</v>
      </c>
      <c r="CA267" s="54">
        <f t="shared" si="766"/>
        <v>1766.8715598753242</v>
      </c>
      <c r="CB267" s="54">
        <f t="shared" si="766"/>
        <v>1853.2626422166582</v>
      </c>
      <c r="CC267" s="54">
        <f t="shared" si="766"/>
        <v>1935.3185465695638</v>
      </c>
      <c r="CD267" s="54">
        <f t="shared" si="766"/>
        <v>2018.6833114882111</v>
      </c>
      <c r="CE267" s="54">
        <f t="shared" si="766"/>
        <v>2103.4915463538468</v>
      </c>
      <c r="CF267" s="4"/>
      <c r="CG267" s="4"/>
      <c r="CH267" s="4"/>
      <c r="CI267" s="4"/>
      <c r="CJ267" s="4"/>
      <c r="CK267" s="4"/>
      <c r="CL267" s="4"/>
      <c r="CM267" s="4"/>
      <c r="CN267" s="240">
        <f t="shared" si="760"/>
        <v>260</v>
      </c>
    </row>
    <row r="268" spans="1:99" outlineLevel="1">
      <c r="A268" s="144"/>
      <c r="B268" s="165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  <c r="BC268" s="23"/>
      <c r="BD268" s="23"/>
      <c r="BE268" s="23"/>
      <c r="BF268" s="58"/>
      <c r="BG268" s="58"/>
      <c r="BH268" s="58"/>
      <c r="BI268" s="58"/>
      <c r="BJ268" s="58"/>
      <c r="BK268" s="58"/>
      <c r="BL268" s="58"/>
      <c r="BM268" s="58"/>
      <c r="BN268" s="58"/>
      <c r="BO268" s="58"/>
      <c r="BP268" s="58"/>
      <c r="BQ268" s="58"/>
      <c r="BR268" s="58"/>
      <c r="BS268" s="58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240">
        <f t="shared" si="760"/>
        <v>261</v>
      </c>
    </row>
    <row r="269" spans="1:99" outlineLevel="1">
      <c r="A269" s="144"/>
      <c r="B269" s="21" t="s">
        <v>75</v>
      </c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  <c r="BC269" s="23"/>
      <c r="BD269" s="23"/>
      <c r="BE269" s="23"/>
      <c r="BF269" s="58"/>
      <c r="BG269" s="58"/>
      <c r="BH269" s="56"/>
      <c r="BI269" s="58"/>
      <c r="BJ269" s="58"/>
      <c r="BK269" s="58"/>
      <c r="BL269" s="58"/>
      <c r="BM269" s="58"/>
      <c r="BN269" s="58"/>
      <c r="BO269" s="58"/>
      <c r="BP269" s="58"/>
      <c r="BQ269" s="58"/>
      <c r="BR269" s="58"/>
      <c r="BS269" s="58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240">
        <f t="shared" si="760"/>
        <v>262</v>
      </c>
    </row>
    <row r="270" spans="1:99" outlineLevel="1">
      <c r="A270" s="144"/>
      <c r="B270" s="19" t="s">
        <v>54</v>
      </c>
      <c r="C270" s="23">
        <f t="shared" ref="C270:Q271" si="767">INDEX($T270:$CF270,1,MATCH(C$4,$T$4:$CF$4,0))</f>
        <v>50.567999999999998</v>
      </c>
      <c r="D270" s="23">
        <f t="shared" si="767"/>
        <v>61.371000000000002</v>
      </c>
      <c r="E270" s="23">
        <f t="shared" si="767"/>
        <v>61.216999999999999</v>
      </c>
      <c r="F270" s="23">
        <f t="shared" si="767"/>
        <v>49.881999999999998</v>
      </c>
      <c r="G270" s="23">
        <f t="shared" si="767"/>
        <v>78.742999999999995</v>
      </c>
      <c r="H270" s="23">
        <f t="shared" si="767"/>
        <v>122.98699999999999</v>
      </c>
      <c r="I270" s="23">
        <f t="shared" si="767"/>
        <v>109.846</v>
      </c>
      <c r="J270" s="23">
        <f t="shared" si="767"/>
        <v>119.17</v>
      </c>
      <c r="K270" s="23">
        <f t="shared" si="767"/>
        <v>175.416</v>
      </c>
      <c r="L270" s="23">
        <f t="shared" si="767"/>
        <v>75.811000000000007</v>
      </c>
      <c r="M270" s="23">
        <f t="shared" si="767"/>
        <v>70.536000000000001</v>
      </c>
      <c r="N270" s="23">
        <f t="shared" si="767"/>
        <v>103.462</v>
      </c>
      <c r="O270" s="23">
        <f t="shared" si="767"/>
        <v>147.69093081674004</v>
      </c>
      <c r="P270" s="23">
        <f t="shared" si="767"/>
        <v>166.36619701604286</v>
      </c>
      <c r="Q270" s="23">
        <f t="shared" si="767"/>
        <v>173.80828194330752</v>
      </c>
      <c r="R270" s="23"/>
      <c r="S270" s="23"/>
      <c r="T270" s="23"/>
      <c r="U270" s="23"/>
      <c r="V270" s="23"/>
      <c r="W270" s="194">
        <v>30.437000000000001</v>
      </c>
      <c r="X270" s="194">
        <v>31.065999999999999</v>
      </c>
      <c r="Y270" s="194">
        <v>39.454999999999998</v>
      </c>
      <c r="Z270" s="194">
        <v>56.738999999999997</v>
      </c>
      <c r="AA270" s="194">
        <v>50.567999999999998</v>
      </c>
      <c r="AB270" s="194">
        <v>59.701999999999998</v>
      </c>
      <c r="AC270" s="194">
        <v>57.161999999999999</v>
      </c>
      <c r="AD270" s="194">
        <v>51.819000000000003</v>
      </c>
      <c r="AE270" s="194">
        <v>61.371000000000002</v>
      </c>
      <c r="AF270" s="194">
        <v>80.965000000000003</v>
      </c>
      <c r="AG270" s="194">
        <v>63.384999999999998</v>
      </c>
      <c r="AH270" s="194">
        <v>72.349999999999994</v>
      </c>
      <c r="AI270" s="194">
        <v>61.216999999999999</v>
      </c>
      <c r="AJ270" s="194">
        <v>50.633000000000003</v>
      </c>
      <c r="AK270" s="194">
        <v>36.061</v>
      </c>
      <c r="AL270" s="194">
        <v>36.549999999999997</v>
      </c>
      <c r="AM270" s="194">
        <v>49.881999999999998</v>
      </c>
      <c r="AN270" s="194">
        <v>50.353000000000002</v>
      </c>
      <c r="AO270" s="194">
        <v>59.540999999999997</v>
      </c>
      <c r="AP270" s="194">
        <v>78.320999999999998</v>
      </c>
      <c r="AQ270" s="194">
        <v>78.742999999999995</v>
      </c>
      <c r="AR270" s="194">
        <v>97.340999999999994</v>
      </c>
      <c r="AS270" s="194">
        <v>119.324</v>
      </c>
      <c r="AT270" s="194">
        <v>139.50800000000001</v>
      </c>
      <c r="AU270" s="194">
        <v>122.98699999999999</v>
      </c>
      <c r="AV270" s="194">
        <v>132.38300000000001</v>
      </c>
      <c r="AW270" s="194">
        <v>117.003</v>
      </c>
      <c r="AX270" s="194">
        <v>114.09399999999999</v>
      </c>
      <c r="AY270" s="194">
        <v>109.846</v>
      </c>
      <c r="AZ270" s="194">
        <v>122.797</v>
      </c>
      <c r="BA270" s="194">
        <v>108.286</v>
      </c>
      <c r="BB270" s="194">
        <v>116.318</v>
      </c>
      <c r="BC270" s="194">
        <v>119.17</v>
      </c>
      <c r="BD270" s="194">
        <v>141.398</v>
      </c>
      <c r="BE270" s="194">
        <v>150.89400000000001</v>
      </c>
      <c r="BF270" s="194">
        <v>182.12299999999999</v>
      </c>
      <c r="BG270" s="194">
        <v>175.416</v>
      </c>
      <c r="BH270" s="194">
        <v>91.349000000000004</v>
      </c>
      <c r="BI270" s="194">
        <v>75.605999999999995</v>
      </c>
      <c r="BJ270" s="194">
        <v>78.028000000000006</v>
      </c>
      <c r="BK270" s="194">
        <v>75.811000000000007</v>
      </c>
      <c r="BL270" s="194">
        <v>45.884</v>
      </c>
      <c r="BM270" s="194">
        <v>39.512</v>
      </c>
      <c r="BN270" s="194">
        <v>54.822000000000003</v>
      </c>
      <c r="BO270" s="194">
        <v>70.536000000000001</v>
      </c>
      <c r="BP270" s="194">
        <v>92.27</v>
      </c>
      <c r="BQ270" s="194">
        <v>103.801</v>
      </c>
      <c r="BR270" s="194">
        <v>121.88</v>
      </c>
      <c r="BS270" s="194">
        <v>103.462</v>
      </c>
      <c r="BT270" s="23">
        <f t="shared" ref="BT270:CE270" si="768">4*BT211/BT307</f>
        <v>115.87340940005238</v>
      </c>
      <c r="BU270" s="23">
        <f t="shared" si="768"/>
        <v>133.0112111905369</v>
      </c>
      <c r="BV270" s="23">
        <f t="shared" si="768"/>
        <v>143.55038799738384</v>
      </c>
      <c r="BW270" s="23">
        <f t="shared" si="768"/>
        <v>147.69093081674004</v>
      </c>
      <c r="BX270" s="23">
        <f t="shared" si="768"/>
        <v>149.00779762929625</v>
      </c>
      <c r="BY270" s="23">
        <f t="shared" si="768"/>
        <v>149.75201046115612</v>
      </c>
      <c r="BZ270" s="23">
        <f t="shared" si="768"/>
        <v>155.99439114863651</v>
      </c>
      <c r="CA270" s="23">
        <f t="shared" si="768"/>
        <v>166.36619701604286</v>
      </c>
      <c r="CB270" s="23">
        <f t="shared" si="768"/>
        <v>171.65598244157147</v>
      </c>
      <c r="CC270" s="23">
        <f t="shared" si="768"/>
        <v>172.06210904228718</v>
      </c>
      <c r="CD270" s="23">
        <f t="shared" si="768"/>
        <v>172.80036092683693</v>
      </c>
      <c r="CE270" s="23">
        <f t="shared" si="768"/>
        <v>173.80828194330752</v>
      </c>
      <c r="CF270" s="4"/>
      <c r="CG270" s="4"/>
      <c r="CH270" s="4"/>
      <c r="CI270" s="4"/>
      <c r="CJ270" s="4"/>
      <c r="CK270" s="4"/>
      <c r="CL270" s="4"/>
      <c r="CM270" s="4"/>
      <c r="CN270" s="240">
        <f t="shared" si="760"/>
        <v>263</v>
      </c>
    </row>
    <row r="271" spans="1:99" outlineLevel="1">
      <c r="A271" s="144"/>
      <c r="B271" s="19" t="s">
        <v>115</v>
      </c>
      <c r="C271" s="23">
        <f t="shared" si="767"/>
        <v>24.084</v>
      </c>
      <c r="D271" s="23">
        <f t="shared" si="767"/>
        <v>29.351000000000003</v>
      </c>
      <c r="E271" s="23">
        <f t="shared" si="767"/>
        <v>31.112000000000002</v>
      </c>
      <c r="F271" s="23">
        <f t="shared" si="767"/>
        <v>17.890999999999998</v>
      </c>
      <c r="G271" s="23">
        <f t="shared" si="767"/>
        <v>38.761000000000003</v>
      </c>
      <c r="H271" s="23">
        <f t="shared" si="767"/>
        <v>56.478999999999999</v>
      </c>
      <c r="I271" s="23">
        <f t="shared" si="767"/>
        <v>54.664999999999999</v>
      </c>
      <c r="J271" s="23">
        <f t="shared" si="767"/>
        <v>48.881999999999991</v>
      </c>
      <c r="K271" s="23">
        <f t="shared" si="767"/>
        <v>63.596000000000004</v>
      </c>
      <c r="L271" s="23">
        <f t="shared" si="767"/>
        <v>31.652999999999992</v>
      </c>
      <c r="M271" s="23">
        <f t="shared" si="767"/>
        <v>30.932000000000002</v>
      </c>
      <c r="N271" s="23">
        <f t="shared" si="767"/>
        <v>41.89800000000001</v>
      </c>
      <c r="O271" s="23">
        <f t="shared" si="767"/>
        <v>41.89800000000001</v>
      </c>
      <c r="P271" s="23">
        <f t="shared" si="767"/>
        <v>41.89800000000001</v>
      </c>
      <c r="Q271" s="23">
        <f t="shared" si="767"/>
        <v>41.89800000000001</v>
      </c>
      <c r="R271" s="23"/>
      <c r="S271" s="23"/>
      <c r="T271" s="23"/>
      <c r="U271" s="23"/>
      <c r="V271" s="23"/>
      <c r="W271" s="194">
        <v>17.191000000000003</v>
      </c>
      <c r="X271" s="194">
        <v>18.155000000000001</v>
      </c>
      <c r="Y271" s="194">
        <v>19.545000000000002</v>
      </c>
      <c r="Z271" s="194">
        <v>24.394000000000002</v>
      </c>
      <c r="AA271" s="194">
        <v>24.084</v>
      </c>
      <c r="AB271" s="194">
        <v>20.693000000000001</v>
      </c>
      <c r="AC271" s="194">
        <v>23.2</v>
      </c>
      <c r="AD271" s="194">
        <v>26.8</v>
      </c>
      <c r="AE271" s="194">
        <v>29.351000000000003</v>
      </c>
      <c r="AF271" s="194">
        <v>26.993000000000002</v>
      </c>
      <c r="AG271" s="194">
        <v>27.797000000000001</v>
      </c>
      <c r="AH271" s="194">
        <v>34.181000000000004</v>
      </c>
      <c r="AI271" s="194">
        <v>31.112000000000002</v>
      </c>
      <c r="AJ271" s="194">
        <v>22.17</v>
      </c>
      <c r="AK271" s="194">
        <v>18.548999999999999</v>
      </c>
      <c r="AL271" s="194">
        <v>20.058</v>
      </c>
      <c r="AM271" s="194">
        <v>17.890999999999998</v>
      </c>
      <c r="AN271" s="194">
        <v>23.792999999999999</v>
      </c>
      <c r="AO271" s="194">
        <f>15.524+4.601+3.569+4.542+0.203</f>
        <v>28.438999999999997</v>
      </c>
      <c r="AP271" s="194">
        <f>22.511+5.153+4.941+13.794+1.02</f>
        <v>47.419000000000004</v>
      </c>
      <c r="AQ271" s="194">
        <f>23.881+5.141+2.988+5.788+0.963</f>
        <v>38.761000000000003</v>
      </c>
      <c r="AR271" s="194">
        <f>22.999+5.924+4.659+26.297+0.694</f>
        <v>60.573000000000008</v>
      </c>
      <c r="AS271" s="194">
        <f>25.079+6.018+5.636+19.081+0.472</f>
        <v>56.286000000000008</v>
      </c>
      <c r="AT271" s="194">
        <f>28.078+6.041+6.139+3.985+1.324</f>
        <v>45.567</v>
      </c>
      <c r="AU271" s="194">
        <f>33.68+5.744+5.066+10.705+1.284</f>
        <v>56.478999999999999</v>
      </c>
      <c r="AV271" s="194">
        <f>26.751+6.138+5.701+35.403+0.384</f>
        <v>74.376999999999995</v>
      </c>
      <c r="AW271" s="194">
        <f>32.156+5.463+8.434+2.865+0.235</f>
        <v>49.152999999999999</v>
      </c>
      <c r="AX271" s="194">
        <f>33.444+6.353+11.315+1.553+0.202</f>
        <v>52.866999999999997</v>
      </c>
      <c r="AY271" s="194">
        <f>32.053+6.152+7.326+6.428+2.706</f>
        <v>54.664999999999999</v>
      </c>
      <c r="AZ271" s="105">
        <f t="shared" ref="AZ271:BS271" si="769">AZ272-AZ270</f>
        <v>38.580000000000013</v>
      </c>
      <c r="BA271" s="105">
        <f t="shared" si="769"/>
        <v>54.262</v>
      </c>
      <c r="BB271" s="105">
        <f t="shared" si="769"/>
        <v>49.42</v>
      </c>
      <c r="BC271" s="105">
        <f t="shared" si="769"/>
        <v>48.881999999999991</v>
      </c>
      <c r="BD271" s="105">
        <f t="shared" si="769"/>
        <v>51.140999999999991</v>
      </c>
      <c r="BE271" s="105">
        <f t="shared" si="769"/>
        <v>54.566000000000003</v>
      </c>
      <c r="BF271" s="105">
        <f t="shared" si="769"/>
        <v>59.353000000000009</v>
      </c>
      <c r="BG271" s="105">
        <f t="shared" si="769"/>
        <v>63.596000000000004</v>
      </c>
      <c r="BH271" s="105">
        <f t="shared" si="769"/>
        <v>42.209999999999994</v>
      </c>
      <c r="BI271" s="105">
        <f t="shared" si="769"/>
        <v>41.123000000000005</v>
      </c>
      <c r="BJ271" s="105">
        <f t="shared" si="769"/>
        <v>39.23599999999999</v>
      </c>
      <c r="BK271" s="105">
        <f t="shared" si="769"/>
        <v>31.652999999999992</v>
      </c>
      <c r="BL271" s="105">
        <f t="shared" si="769"/>
        <v>36.01700000000001</v>
      </c>
      <c r="BM271" s="105">
        <f t="shared" si="769"/>
        <v>36.534000000000006</v>
      </c>
      <c r="BN271" s="105">
        <f t="shared" si="769"/>
        <v>32.262</v>
      </c>
      <c r="BO271" s="105">
        <f t="shared" si="769"/>
        <v>30.932000000000002</v>
      </c>
      <c r="BP271" s="105">
        <f t="shared" si="769"/>
        <v>32.5</v>
      </c>
      <c r="BQ271" s="105">
        <f t="shared" si="769"/>
        <v>44.542999999999992</v>
      </c>
      <c r="BR271" s="105">
        <f t="shared" si="769"/>
        <v>42.483000000000004</v>
      </c>
      <c r="BS271" s="105">
        <f t="shared" si="769"/>
        <v>41.89800000000001</v>
      </c>
      <c r="BT271" s="111">
        <f>BS271</f>
        <v>41.89800000000001</v>
      </c>
      <c r="BU271" s="111">
        <f>BT271</f>
        <v>41.89800000000001</v>
      </c>
      <c r="BV271" s="111">
        <f>BU271</f>
        <v>41.89800000000001</v>
      </c>
      <c r="BW271" s="111">
        <f>BV271</f>
        <v>41.89800000000001</v>
      </c>
      <c r="BX271" s="111">
        <f t="shared" ref="BX271:CE271" si="770">BW271</f>
        <v>41.89800000000001</v>
      </c>
      <c r="BY271" s="111">
        <f t="shared" si="770"/>
        <v>41.89800000000001</v>
      </c>
      <c r="BZ271" s="111">
        <f t="shared" si="770"/>
        <v>41.89800000000001</v>
      </c>
      <c r="CA271" s="111">
        <f t="shared" si="770"/>
        <v>41.89800000000001</v>
      </c>
      <c r="CB271" s="111">
        <f t="shared" si="770"/>
        <v>41.89800000000001</v>
      </c>
      <c r="CC271" s="111">
        <f t="shared" si="770"/>
        <v>41.89800000000001</v>
      </c>
      <c r="CD271" s="111">
        <f t="shared" si="770"/>
        <v>41.89800000000001</v>
      </c>
      <c r="CE271" s="111">
        <f t="shared" si="770"/>
        <v>41.89800000000001</v>
      </c>
      <c r="CF271" s="4"/>
      <c r="CG271" s="4"/>
      <c r="CH271" s="4"/>
      <c r="CI271" s="4"/>
      <c r="CJ271" s="4"/>
      <c r="CK271" s="4"/>
      <c r="CL271" s="4"/>
      <c r="CM271" s="4"/>
      <c r="CN271" s="240">
        <f t="shared" si="760"/>
        <v>264</v>
      </c>
    </row>
    <row r="272" spans="1:99" outlineLevel="1">
      <c r="A272" s="144"/>
      <c r="B272" s="21" t="s">
        <v>76</v>
      </c>
      <c r="C272" s="54">
        <f t="shared" ref="C272:M272" si="771">SUM(C270:C271)</f>
        <v>74.652000000000001</v>
      </c>
      <c r="D272" s="54">
        <f t="shared" si="771"/>
        <v>90.722000000000008</v>
      </c>
      <c r="E272" s="54">
        <f t="shared" si="771"/>
        <v>92.329000000000008</v>
      </c>
      <c r="F272" s="54">
        <f t="shared" si="771"/>
        <v>67.772999999999996</v>
      </c>
      <c r="G272" s="54">
        <f t="shared" si="771"/>
        <v>117.50399999999999</v>
      </c>
      <c r="H272" s="54">
        <f t="shared" si="771"/>
        <v>179.46600000000001</v>
      </c>
      <c r="I272" s="54">
        <f t="shared" si="771"/>
        <v>164.511</v>
      </c>
      <c r="J272" s="54">
        <f t="shared" si="771"/>
        <v>168.05199999999999</v>
      </c>
      <c r="K272" s="54">
        <f t="shared" si="771"/>
        <v>239.012</v>
      </c>
      <c r="L272" s="54">
        <f t="shared" si="771"/>
        <v>107.464</v>
      </c>
      <c r="M272" s="54">
        <f t="shared" si="771"/>
        <v>101.468</v>
      </c>
      <c r="N272" s="54">
        <f>SUM(N270:N271)</f>
        <v>145.36000000000001</v>
      </c>
      <c r="O272" s="54">
        <f>SUM(O270:O271)</f>
        <v>189.58893081674006</v>
      </c>
      <c r="P272" s="54">
        <f>SUM(P270:P271)</f>
        <v>208.26419701604289</v>
      </c>
      <c r="Q272" s="54">
        <f>SUM(Q270:Q271)</f>
        <v>215.70628194330754</v>
      </c>
      <c r="R272" s="69"/>
      <c r="S272" s="70"/>
      <c r="T272" s="54">
        <v>43.96</v>
      </c>
      <c r="U272" s="54">
        <v>48.521999999999998</v>
      </c>
      <c r="V272" s="54">
        <v>61.28</v>
      </c>
      <c r="W272" s="54">
        <f t="shared" ref="W272:AY272" si="772">SUM(W270:W271)</f>
        <v>47.628</v>
      </c>
      <c r="X272" s="54">
        <f t="shared" si="772"/>
        <v>49.221000000000004</v>
      </c>
      <c r="Y272" s="54">
        <f t="shared" si="772"/>
        <v>59</v>
      </c>
      <c r="Z272" s="54">
        <f t="shared" si="772"/>
        <v>81.132999999999996</v>
      </c>
      <c r="AA272" s="54">
        <f t="shared" si="772"/>
        <v>74.652000000000001</v>
      </c>
      <c r="AB272" s="54">
        <f t="shared" si="772"/>
        <v>80.394999999999996</v>
      </c>
      <c r="AC272" s="54">
        <f t="shared" si="772"/>
        <v>80.361999999999995</v>
      </c>
      <c r="AD272" s="54">
        <f t="shared" si="772"/>
        <v>78.619</v>
      </c>
      <c r="AE272" s="54">
        <f t="shared" si="772"/>
        <v>90.722000000000008</v>
      </c>
      <c r="AF272" s="54">
        <f t="shared" si="772"/>
        <v>107.958</v>
      </c>
      <c r="AG272" s="54">
        <f t="shared" si="772"/>
        <v>91.182000000000002</v>
      </c>
      <c r="AH272" s="54">
        <f t="shared" si="772"/>
        <v>106.53100000000001</v>
      </c>
      <c r="AI272" s="54">
        <f t="shared" si="772"/>
        <v>92.329000000000008</v>
      </c>
      <c r="AJ272" s="54">
        <f t="shared" si="772"/>
        <v>72.802999999999997</v>
      </c>
      <c r="AK272" s="54">
        <f t="shared" si="772"/>
        <v>54.61</v>
      </c>
      <c r="AL272" s="54">
        <f t="shared" si="772"/>
        <v>56.607999999999997</v>
      </c>
      <c r="AM272" s="54">
        <f t="shared" si="772"/>
        <v>67.772999999999996</v>
      </c>
      <c r="AN272" s="54">
        <f t="shared" si="772"/>
        <v>74.146000000000001</v>
      </c>
      <c r="AO272" s="54">
        <f t="shared" si="772"/>
        <v>87.97999999999999</v>
      </c>
      <c r="AP272" s="54">
        <f t="shared" si="772"/>
        <v>125.74000000000001</v>
      </c>
      <c r="AQ272" s="54">
        <f t="shared" si="772"/>
        <v>117.50399999999999</v>
      </c>
      <c r="AR272" s="54">
        <f t="shared" si="772"/>
        <v>157.91399999999999</v>
      </c>
      <c r="AS272" s="54">
        <f t="shared" si="772"/>
        <v>175.61</v>
      </c>
      <c r="AT272" s="54">
        <f t="shared" si="772"/>
        <v>185.07500000000002</v>
      </c>
      <c r="AU272" s="54">
        <f t="shared" si="772"/>
        <v>179.46600000000001</v>
      </c>
      <c r="AV272" s="54">
        <f t="shared" si="772"/>
        <v>206.76</v>
      </c>
      <c r="AW272" s="54">
        <f t="shared" si="772"/>
        <v>166.15600000000001</v>
      </c>
      <c r="AX272" s="54">
        <f t="shared" si="772"/>
        <v>166.96099999999998</v>
      </c>
      <c r="AY272" s="54">
        <f t="shared" si="772"/>
        <v>164.511</v>
      </c>
      <c r="AZ272" s="60">
        <v>161.37700000000001</v>
      </c>
      <c r="BA272" s="60">
        <v>162.548</v>
      </c>
      <c r="BB272" s="60">
        <v>165.738</v>
      </c>
      <c r="BC272" s="60">
        <v>168.05199999999999</v>
      </c>
      <c r="BD272" s="60">
        <v>192.53899999999999</v>
      </c>
      <c r="BE272" s="60">
        <v>205.46</v>
      </c>
      <c r="BF272" s="60">
        <v>241.476</v>
      </c>
      <c r="BG272" s="60">
        <v>239.012</v>
      </c>
      <c r="BH272" s="60">
        <v>133.559</v>
      </c>
      <c r="BI272" s="60">
        <v>116.729</v>
      </c>
      <c r="BJ272" s="60">
        <v>117.264</v>
      </c>
      <c r="BK272" s="60">
        <v>107.464</v>
      </c>
      <c r="BL272" s="60">
        <v>81.90100000000001</v>
      </c>
      <c r="BM272" s="60">
        <v>76.046000000000006</v>
      </c>
      <c r="BN272" s="60">
        <v>87.084000000000003</v>
      </c>
      <c r="BO272" s="60">
        <v>101.468</v>
      </c>
      <c r="BP272" s="60">
        <v>124.77</v>
      </c>
      <c r="BQ272" s="60">
        <v>148.34399999999999</v>
      </c>
      <c r="BR272" s="60">
        <v>164.363</v>
      </c>
      <c r="BS272" s="60">
        <v>145.36000000000001</v>
      </c>
      <c r="BT272" s="54">
        <f>SUM(BT270:BT271)</f>
        <v>157.77140940005239</v>
      </c>
      <c r="BU272" s="54">
        <f>SUM(BU270:BU271)</f>
        <v>174.90921119053689</v>
      </c>
      <c r="BV272" s="54">
        <f>SUM(BV270:BV271)</f>
        <v>185.44838799738386</v>
      </c>
      <c r="BW272" s="54">
        <f>SUM(BW270:BW271)</f>
        <v>189.58893081674006</v>
      </c>
      <c r="BX272" s="54">
        <f t="shared" ref="BX272:CE272" si="773">SUM(BX270:BX271)</f>
        <v>190.90579762929627</v>
      </c>
      <c r="BY272" s="54">
        <f t="shared" si="773"/>
        <v>191.65001046115611</v>
      </c>
      <c r="BZ272" s="54">
        <f t="shared" si="773"/>
        <v>197.89239114863653</v>
      </c>
      <c r="CA272" s="54">
        <f t="shared" si="773"/>
        <v>208.26419701604289</v>
      </c>
      <c r="CB272" s="54">
        <f t="shared" si="773"/>
        <v>213.55398244157146</v>
      </c>
      <c r="CC272" s="54">
        <f t="shared" si="773"/>
        <v>213.96010904228717</v>
      </c>
      <c r="CD272" s="54">
        <f t="shared" si="773"/>
        <v>214.69836092683693</v>
      </c>
      <c r="CE272" s="54">
        <f t="shared" si="773"/>
        <v>215.70628194330754</v>
      </c>
      <c r="CF272" s="4"/>
      <c r="CG272" s="4"/>
      <c r="CH272" s="4"/>
      <c r="CI272" s="4"/>
      <c r="CJ272" s="4"/>
      <c r="CK272" s="4"/>
      <c r="CL272" s="4"/>
      <c r="CM272" s="4"/>
      <c r="CN272" s="240">
        <f t="shared" si="760"/>
        <v>265</v>
      </c>
    </row>
    <row r="273" spans="1:99" outlineLevel="1">
      <c r="A273" s="144"/>
      <c r="B273" s="19" t="s">
        <v>77</v>
      </c>
      <c r="C273" s="23">
        <f t="shared" ref="C273:O279" si="774">INDEX($T273:$CF273,1,MATCH(C$4,$T$4:$CF$4,0))</f>
        <v>35.6</v>
      </c>
      <c r="D273" s="23">
        <f t="shared" si="774"/>
        <v>156.4</v>
      </c>
      <c r="E273" s="23">
        <f t="shared" si="774"/>
        <v>174.45</v>
      </c>
      <c r="F273" s="23">
        <f t="shared" si="774"/>
        <v>90.3</v>
      </c>
      <c r="G273" s="23">
        <f t="shared" si="774"/>
        <v>121.25</v>
      </c>
      <c r="H273" s="23">
        <f t="shared" si="774"/>
        <v>203.3</v>
      </c>
      <c r="I273" s="23">
        <f t="shared" si="774"/>
        <v>107</v>
      </c>
      <c r="J273" s="23">
        <f t="shared" si="774"/>
        <v>53.3</v>
      </c>
      <c r="K273" s="23">
        <f t="shared" si="774"/>
        <v>224.5</v>
      </c>
      <c r="L273" s="23">
        <f t="shared" si="774"/>
        <v>0</v>
      </c>
      <c r="M273" s="23">
        <f t="shared" si="774"/>
        <v>0</v>
      </c>
      <c r="N273" s="23">
        <f t="shared" si="774"/>
        <v>0</v>
      </c>
      <c r="O273" s="23">
        <f t="shared" si="774"/>
        <v>0</v>
      </c>
      <c r="P273" s="23">
        <f t="shared" ref="P273:Q279" si="775">INDEX($T273:$CF273,1,MATCH(P$4,$T$4:$CF$4,0))</f>
        <v>0</v>
      </c>
      <c r="Q273" s="23">
        <f t="shared" si="775"/>
        <v>0</v>
      </c>
      <c r="R273" s="23"/>
      <c r="S273" s="23"/>
      <c r="T273" s="194">
        <v>0</v>
      </c>
      <c r="U273" s="194">
        <v>0</v>
      </c>
      <c r="V273" s="194">
        <v>0</v>
      </c>
      <c r="W273" s="194">
        <v>0</v>
      </c>
      <c r="X273" s="194">
        <v>0</v>
      </c>
      <c r="Y273" s="194">
        <v>0</v>
      </c>
      <c r="Z273" s="194">
        <v>6.65</v>
      </c>
      <c r="AA273" s="194">
        <v>35.6</v>
      </c>
      <c r="AB273" s="194">
        <v>79.45</v>
      </c>
      <c r="AC273" s="194">
        <v>125.15</v>
      </c>
      <c r="AD273" s="194">
        <v>148.85</v>
      </c>
      <c r="AE273" s="194">
        <v>156.4</v>
      </c>
      <c r="AF273" s="194">
        <v>169.05</v>
      </c>
      <c r="AG273" s="194">
        <v>182.55</v>
      </c>
      <c r="AH273" s="194">
        <v>185.6</v>
      </c>
      <c r="AI273" s="194">
        <v>174.45</v>
      </c>
      <c r="AJ273" s="194">
        <v>132.5</v>
      </c>
      <c r="AK273" s="194">
        <v>123.55</v>
      </c>
      <c r="AL273" s="194">
        <v>101.85</v>
      </c>
      <c r="AM273" s="194">
        <v>90.3</v>
      </c>
      <c r="AN273" s="194">
        <v>114.3</v>
      </c>
      <c r="AO273" s="194">
        <v>100.85</v>
      </c>
      <c r="AP273" s="194">
        <v>108.3</v>
      </c>
      <c r="AQ273" s="194">
        <v>121.25</v>
      </c>
      <c r="AR273" s="194">
        <v>149.80000000000001</v>
      </c>
      <c r="AS273" s="194">
        <v>173.1</v>
      </c>
      <c r="AT273" s="194">
        <f>140.8</f>
        <v>140.80000000000001</v>
      </c>
      <c r="AU273" s="194">
        <v>203.3</v>
      </c>
      <c r="AV273" s="194">
        <v>180.8</v>
      </c>
      <c r="AW273" s="194">
        <v>162</v>
      </c>
      <c r="AX273" s="194">
        <v>83.7</v>
      </c>
      <c r="AY273" s="194">
        <v>107</v>
      </c>
      <c r="AZ273" s="194">
        <v>87.6</v>
      </c>
      <c r="BA273" s="194">
        <v>67.2</v>
      </c>
      <c r="BB273" s="194">
        <v>51.4</v>
      </c>
      <c r="BC273" s="194">
        <v>53.3</v>
      </c>
      <c r="BD273" s="194">
        <v>80.8</v>
      </c>
      <c r="BE273" s="194">
        <v>131.4</v>
      </c>
      <c r="BF273" s="194">
        <v>152</v>
      </c>
      <c r="BG273" s="194">
        <v>224.5</v>
      </c>
      <c r="BH273" s="194">
        <v>155.6</v>
      </c>
      <c r="BI273" s="194">
        <v>54.9</v>
      </c>
      <c r="BJ273" s="194">
        <v>19.5</v>
      </c>
      <c r="BK273" s="194">
        <v>0</v>
      </c>
      <c r="BL273" s="194">
        <v>0</v>
      </c>
      <c r="BM273" s="194">
        <v>0</v>
      </c>
      <c r="BN273" s="194">
        <v>0</v>
      </c>
      <c r="BO273" s="194">
        <v>0</v>
      </c>
      <c r="BP273" s="194">
        <v>0</v>
      </c>
      <c r="BQ273" s="194">
        <v>0</v>
      </c>
      <c r="BR273" s="194">
        <v>0</v>
      </c>
      <c r="BS273" s="194">
        <v>0</v>
      </c>
      <c r="BT273" s="23">
        <f>BT368</f>
        <v>0</v>
      </c>
      <c r="BU273" s="23">
        <f>BU368</f>
        <v>0</v>
      </c>
      <c r="BV273" s="23">
        <f>BV368</f>
        <v>0</v>
      </c>
      <c r="BW273" s="23">
        <f>BW368</f>
        <v>0</v>
      </c>
      <c r="BX273" s="23">
        <f t="shared" ref="BX273:CE273" si="776">BX368</f>
        <v>0</v>
      </c>
      <c r="BY273" s="23">
        <f t="shared" si="776"/>
        <v>0</v>
      </c>
      <c r="BZ273" s="23">
        <f t="shared" si="776"/>
        <v>0</v>
      </c>
      <c r="CA273" s="23">
        <f t="shared" si="776"/>
        <v>0</v>
      </c>
      <c r="CB273" s="23">
        <f t="shared" si="776"/>
        <v>0</v>
      </c>
      <c r="CC273" s="23">
        <f t="shared" si="776"/>
        <v>0</v>
      </c>
      <c r="CD273" s="23">
        <f t="shared" si="776"/>
        <v>0</v>
      </c>
      <c r="CE273" s="23">
        <f t="shared" si="776"/>
        <v>0</v>
      </c>
      <c r="CF273" s="4"/>
      <c r="CG273" s="4"/>
      <c r="CH273" s="4"/>
      <c r="CI273" s="4"/>
      <c r="CJ273" s="4"/>
      <c r="CK273" s="4"/>
      <c r="CL273" s="4"/>
      <c r="CM273" s="4"/>
      <c r="CN273" s="240">
        <f t="shared" si="760"/>
        <v>266</v>
      </c>
    </row>
    <row r="274" spans="1:99" outlineLevel="1">
      <c r="A274" s="144"/>
      <c r="B274" s="19" t="s">
        <v>132</v>
      </c>
      <c r="C274" s="23">
        <f t="shared" si="774"/>
        <v>9.1850000000000005</v>
      </c>
      <c r="D274" s="23">
        <f t="shared" si="774"/>
        <v>4.5270000000000001</v>
      </c>
      <c r="E274" s="23">
        <f t="shared" si="774"/>
        <v>11.177</v>
      </c>
      <c r="F274" s="23">
        <f t="shared" si="774"/>
        <v>14.647</v>
      </c>
      <c r="G274" s="23">
        <f t="shared" si="774"/>
        <v>18.396999999999998</v>
      </c>
      <c r="H274" s="23">
        <f t="shared" si="774"/>
        <v>24.445</v>
      </c>
      <c r="I274" s="23">
        <f t="shared" si="774"/>
        <v>26.542999999999999</v>
      </c>
      <c r="J274" s="23">
        <f t="shared" si="774"/>
        <v>21.966000000000001</v>
      </c>
      <c r="K274" s="23">
        <f t="shared" si="774"/>
        <v>34.399000000000001</v>
      </c>
      <c r="L274" s="23">
        <f t="shared" si="774"/>
        <v>33.009</v>
      </c>
      <c r="M274" s="23">
        <f t="shared" si="774"/>
        <v>32.863999999999997</v>
      </c>
      <c r="N274" s="23">
        <f t="shared" si="774"/>
        <v>35.634999999999998</v>
      </c>
      <c r="O274" s="23">
        <f t="shared" si="774"/>
        <v>35.634999999999998</v>
      </c>
      <c r="P274" s="23">
        <f t="shared" si="775"/>
        <v>35.634999999999998</v>
      </c>
      <c r="Q274" s="23">
        <f t="shared" si="775"/>
        <v>35.634999999999998</v>
      </c>
      <c r="R274" s="23"/>
      <c r="S274" s="23"/>
      <c r="T274" s="194"/>
      <c r="U274" s="194"/>
      <c r="V274" s="194"/>
      <c r="W274" s="194">
        <v>13.614000000000001</v>
      </c>
      <c r="X274" s="194">
        <v>11.798</v>
      </c>
      <c r="Y274" s="194">
        <v>12.045999999999999</v>
      </c>
      <c r="Z274" s="194">
        <v>12.315</v>
      </c>
      <c r="AA274" s="194">
        <v>9.1850000000000005</v>
      </c>
      <c r="AB274" s="194">
        <v>5.242</v>
      </c>
      <c r="AC274" s="194">
        <v>5.5049999999999999</v>
      </c>
      <c r="AD274" s="194">
        <v>5.8230000000000004</v>
      </c>
      <c r="AE274" s="194">
        <v>4.5270000000000001</v>
      </c>
      <c r="AF274" s="194">
        <v>5.07</v>
      </c>
      <c r="AG274" s="194">
        <v>5.3259999999999996</v>
      </c>
      <c r="AH274" s="194">
        <v>5.1740000000000004</v>
      </c>
      <c r="AI274" s="194">
        <v>11.177</v>
      </c>
      <c r="AJ274" s="194">
        <v>12.034000000000001</v>
      </c>
      <c r="AK274" s="194">
        <v>12.872</v>
      </c>
      <c r="AL274" s="194">
        <v>13.818</v>
      </c>
      <c r="AM274" s="194">
        <v>14.647</v>
      </c>
      <c r="AN274" s="194">
        <v>15.468</v>
      </c>
      <c r="AO274" s="194">
        <v>14.93</v>
      </c>
      <c r="AP274" s="194">
        <v>15.303000000000001</v>
      </c>
      <c r="AQ274" s="194">
        <v>18.396999999999998</v>
      </c>
      <c r="AR274" s="194">
        <v>18.698</v>
      </c>
      <c r="AS274" s="194">
        <v>18.934999999999999</v>
      </c>
      <c r="AT274" s="194">
        <v>18.431000000000001</v>
      </c>
      <c r="AU274" s="194">
        <v>24.445</v>
      </c>
      <c r="AV274" s="194">
        <v>22.417999999999999</v>
      </c>
      <c r="AW274" s="194">
        <v>21.963000000000001</v>
      </c>
      <c r="AX274" s="194">
        <v>22.573</v>
      </c>
      <c r="AY274" s="194">
        <v>26.542999999999999</v>
      </c>
      <c r="AZ274" s="194">
        <v>27.797999999999998</v>
      </c>
      <c r="BA274" s="194">
        <v>27.065999999999999</v>
      </c>
      <c r="BB274" s="194">
        <v>28.076000000000001</v>
      </c>
      <c r="BC274" s="194">
        <v>21.966000000000001</v>
      </c>
      <c r="BD274" s="194">
        <v>22.228999999999999</v>
      </c>
      <c r="BE274" s="194">
        <v>22.867000000000001</v>
      </c>
      <c r="BF274" s="194">
        <v>22.786000000000001</v>
      </c>
      <c r="BG274" s="194">
        <v>34.399000000000001</v>
      </c>
      <c r="BH274" s="194">
        <v>34.561</v>
      </c>
      <c r="BI274" s="194">
        <v>35.014000000000003</v>
      </c>
      <c r="BJ274" s="194">
        <v>33.661000000000001</v>
      </c>
      <c r="BK274" s="194">
        <v>33.009</v>
      </c>
      <c r="BL274" s="194">
        <v>32.076999999999998</v>
      </c>
      <c r="BM274" s="194">
        <v>32.520000000000003</v>
      </c>
      <c r="BN274" s="194">
        <v>30.289000000000001</v>
      </c>
      <c r="BO274" s="194">
        <v>32.863999999999997</v>
      </c>
      <c r="BP274" s="194">
        <v>33.637</v>
      </c>
      <c r="BQ274" s="194">
        <v>34.917999999999999</v>
      </c>
      <c r="BR274" s="194">
        <v>34.933999999999997</v>
      </c>
      <c r="BS274" s="194">
        <v>35.634999999999998</v>
      </c>
      <c r="BT274" s="23">
        <f t="shared" ref="BT274:BW276" si="777">BS274</f>
        <v>35.634999999999998</v>
      </c>
      <c r="BU274" s="23">
        <f t="shared" si="777"/>
        <v>35.634999999999998</v>
      </c>
      <c r="BV274" s="23">
        <f t="shared" si="777"/>
        <v>35.634999999999998</v>
      </c>
      <c r="BW274" s="23">
        <f t="shared" si="777"/>
        <v>35.634999999999998</v>
      </c>
      <c r="BX274" s="23">
        <f t="shared" ref="BX274:CE276" si="778">BW274</f>
        <v>35.634999999999998</v>
      </c>
      <c r="BY274" s="23">
        <f t="shared" si="778"/>
        <v>35.634999999999998</v>
      </c>
      <c r="BZ274" s="23">
        <f t="shared" si="778"/>
        <v>35.634999999999998</v>
      </c>
      <c r="CA274" s="23">
        <f t="shared" si="778"/>
        <v>35.634999999999998</v>
      </c>
      <c r="CB274" s="23">
        <f t="shared" si="778"/>
        <v>35.634999999999998</v>
      </c>
      <c r="CC274" s="23">
        <f t="shared" si="778"/>
        <v>35.634999999999998</v>
      </c>
      <c r="CD274" s="23">
        <f t="shared" si="778"/>
        <v>35.634999999999998</v>
      </c>
      <c r="CE274" s="23">
        <f t="shared" si="778"/>
        <v>35.634999999999998</v>
      </c>
      <c r="CF274" s="4"/>
      <c r="CG274" s="4"/>
      <c r="CH274" s="4"/>
      <c r="CI274" s="4"/>
      <c r="CJ274" s="4"/>
      <c r="CK274" s="4"/>
      <c r="CL274" s="4"/>
      <c r="CM274" s="4"/>
      <c r="CN274" s="240">
        <f t="shared" si="760"/>
        <v>267</v>
      </c>
    </row>
    <row r="275" spans="1:99" outlineLevel="1">
      <c r="A275" s="144"/>
      <c r="B275" s="19" t="s">
        <v>97</v>
      </c>
      <c r="C275" s="23">
        <f t="shared" si="774"/>
        <v>12.073</v>
      </c>
      <c r="D275" s="23">
        <f t="shared" si="774"/>
        <v>29.236000000000001</v>
      </c>
      <c r="E275" s="23">
        <f t="shared" si="774"/>
        <v>54.395000000000003</v>
      </c>
      <c r="F275" s="23">
        <f t="shared" si="774"/>
        <v>56.164999999999999</v>
      </c>
      <c r="G275" s="23">
        <f t="shared" si="774"/>
        <v>80.888000000000005</v>
      </c>
      <c r="H275" s="23">
        <f t="shared" si="774"/>
        <v>155.928</v>
      </c>
      <c r="I275" s="23">
        <f t="shared" si="774"/>
        <v>155.00700000000001</v>
      </c>
      <c r="J275" s="23">
        <f t="shared" si="774"/>
        <v>153.17599999999999</v>
      </c>
      <c r="K275" s="23">
        <f t="shared" si="774"/>
        <v>156.977</v>
      </c>
      <c r="L275" s="23">
        <f t="shared" si="774"/>
        <v>115.495</v>
      </c>
      <c r="M275" s="23">
        <f t="shared" si="774"/>
        <v>81.465999999999994</v>
      </c>
      <c r="N275" s="23">
        <f t="shared" si="774"/>
        <v>39.436999999999998</v>
      </c>
      <c r="O275" s="23">
        <f t="shared" si="774"/>
        <v>39.436999999999998</v>
      </c>
      <c r="P275" s="23">
        <f t="shared" si="775"/>
        <v>39.436999999999998</v>
      </c>
      <c r="Q275" s="23">
        <f t="shared" si="775"/>
        <v>39.436999999999998</v>
      </c>
      <c r="R275" s="23"/>
      <c r="S275" s="23"/>
      <c r="T275" s="194"/>
      <c r="U275" s="194"/>
      <c r="V275" s="194"/>
      <c r="W275" s="194">
        <v>8.7579999999999991</v>
      </c>
      <c r="X275" s="194">
        <v>7.7770000000000001</v>
      </c>
      <c r="Y275" s="194">
        <v>8.0739999999999998</v>
      </c>
      <c r="Z275" s="194">
        <v>7.9219999999999997</v>
      </c>
      <c r="AA275" s="194">
        <v>12.073</v>
      </c>
      <c r="AB275" s="194">
        <v>14.49</v>
      </c>
      <c r="AC275" s="194">
        <v>12.263999999999999</v>
      </c>
      <c r="AD275" s="194">
        <v>16.295000000000002</v>
      </c>
      <c r="AE275" s="194">
        <v>29.236000000000001</v>
      </c>
      <c r="AF275" s="194">
        <v>30.530999999999999</v>
      </c>
      <c r="AG275" s="194">
        <v>31.029</v>
      </c>
      <c r="AH275" s="194">
        <v>48.036000000000001</v>
      </c>
      <c r="AI275" s="194">
        <v>54.395000000000003</v>
      </c>
      <c r="AJ275" s="194">
        <v>53.706000000000003</v>
      </c>
      <c r="AK275" s="194">
        <v>50.542000000000002</v>
      </c>
      <c r="AL275" s="194">
        <v>58.036000000000001</v>
      </c>
      <c r="AM275" s="194">
        <v>56.164999999999999</v>
      </c>
      <c r="AN275" s="194">
        <v>53.244999999999997</v>
      </c>
      <c r="AO275" s="194">
        <v>48.000999999999998</v>
      </c>
      <c r="AP275" s="194">
        <v>53.009</v>
      </c>
      <c r="AQ275" s="194">
        <v>80.888000000000005</v>
      </c>
      <c r="AR275" s="194">
        <v>78.992000000000004</v>
      </c>
      <c r="AS275" s="194">
        <v>89.376000000000005</v>
      </c>
      <c r="AT275" s="194">
        <v>139.08199999999999</v>
      </c>
      <c r="AU275" s="194">
        <v>155.928</v>
      </c>
      <c r="AV275" s="194">
        <v>147.43899999999999</v>
      </c>
      <c r="AW275" s="194">
        <v>164.66499999999999</v>
      </c>
      <c r="AX275" s="194">
        <v>162.62299999999999</v>
      </c>
      <c r="AY275" s="194">
        <v>155.00700000000001</v>
      </c>
      <c r="AZ275" s="194">
        <v>150.21</v>
      </c>
      <c r="BA275" s="194">
        <v>141.38200000000001</v>
      </c>
      <c r="BB275" s="194">
        <v>146.035</v>
      </c>
      <c r="BC275" s="194">
        <v>153.17599999999999</v>
      </c>
      <c r="BD275" s="194">
        <v>141.33000000000001</v>
      </c>
      <c r="BE275" s="194">
        <v>127.459</v>
      </c>
      <c r="BF275" s="194">
        <v>114.459</v>
      </c>
      <c r="BG275" s="194">
        <v>156.977</v>
      </c>
      <c r="BH275" s="194">
        <v>137.774</v>
      </c>
      <c r="BI275" s="194">
        <v>130.00200000000001</v>
      </c>
      <c r="BJ275" s="194">
        <v>103.89100000000001</v>
      </c>
      <c r="BK275" s="194">
        <v>115.495</v>
      </c>
      <c r="BL275" s="194">
        <v>107.76900000000001</v>
      </c>
      <c r="BM275" s="194">
        <v>95.257000000000005</v>
      </c>
      <c r="BN275" s="194">
        <v>84.665000000000006</v>
      </c>
      <c r="BO275" s="194">
        <v>81.465999999999994</v>
      </c>
      <c r="BP275" s="194">
        <v>69.869</v>
      </c>
      <c r="BQ275" s="194">
        <v>60.848999999999997</v>
      </c>
      <c r="BR275" s="194">
        <v>53.529000000000003</v>
      </c>
      <c r="BS275" s="194">
        <v>39.436999999999998</v>
      </c>
      <c r="BT275" s="23">
        <f t="shared" si="777"/>
        <v>39.436999999999998</v>
      </c>
      <c r="BU275" s="23">
        <f t="shared" si="777"/>
        <v>39.436999999999998</v>
      </c>
      <c r="BV275" s="23">
        <f t="shared" si="777"/>
        <v>39.436999999999998</v>
      </c>
      <c r="BW275" s="23">
        <f t="shared" si="777"/>
        <v>39.436999999999998</v>
      </c>
      <c r="BX275" s="23">
        <f t="shared" si="778"/>
        <v>39.436999999999998</v>
      </c>
      <c r="BY275" s="23">
        <f t="shared" si="778"/>
        <v>39.436999999999998</v>
      </c>
      <c r="BZ275" s="23">
        <f t="shared" si="778"/>
        <v>39.436999999999998</v>
      </c>
      <c r="CA275" s="23">
        <f t="shared" si="778"/>
        <v>39.436999999999998</v>
      </c>
      <c r="CB275" s="23">
        <f t="shared" si="778"/>
        <v>39.436999999999998</v>
      </c>
      <c r="CC275" s="23">
        <f t="shared" si="778"/>
        <v>39.436999999999998</v>
      </c>
      <c r="CD275" s="23">
        <f t="shared" si="778"/>
        <v>39.436999999999998</v>
      </c>
      <c r="CE275" s="23">
        <f t="shared" si="778"/>
        <v>39.436999999999998</v>
      </c>
      <c r="CF275" s="4"/>
      <c r="CG275" s="4"/>
      <c r="CH275" s="4"/>
      <c r="CI275" s="4"/>
      <c r="CJ275" s="4"/>
      <c r="CK275" s="4"/>
      <c r="CL275" s="4"/>
      <c r="CM275" s="4"/>
      <c r="CN275" s="240">
        <f t="shared" si="760"/>
        <v>268</v>
      </c>
    </row>
    <row r="276" spans="1:99" outlineLevel="1">
      <c r="A276" s="144"/>
      <c r="B276" s="45" t="s">
        <v>78</v>
      </c>
      <c r="C276" s="23">
        <f t="shared" si="774"/>
        <v>11.21</v>
      </c>
      <c r="D276" s="23">
        <f t="shared" si="774"/>
        <v>10.858000000000001</v>
      </c>
      <c r="E276" s="23">
        <f t="shared" si="774"/>
        <v>12.026</v>
      </c>
      <c r="F276" s="23">
        <f t="shared" si="774"/>
        <v>10.435</v>
      </c>
      <c r="G276" s="23">
        <f t="shared" si="774"/>
        <v>10.937000000000001</v>
      </c>
      <c r="H276" s="23">
        <f t="shared" si="774"/>
        <v>12.48</v>
      </c>
      <c r="I276" s="23">
        <f t="shared" si="774"/>
        <v>14.870000000000001</v>
      </c>
      <c r="J276" s="23">
        <f t="shared" si="774"/>
        <v>18.664000000000001</v>
      </c>
      <c r="K276" s="23">
        <f t="shared" si="774"/>
        <v>26.088000000000001</v>
      </c>
      <c r="L276" s="23">
        <f t="shared" si="774"/>
        <v>28.844999999999999</v>
      </c>
      <c r="M276" s="23">
        <f t="shared" si="774"/>
        <v>12.855</v>
      </c>
      <c r="N276" s="23">
        <f t="shared" si="774"/>
        <v>15.094999999999999</v>
      </c>
      <c r="O276" s="23">
        <f t="shared" si="774"/>
        <v>15.094999999999999</v>
      </c>
      <c r="P276" s="23">
        <f t="shared" si="775"/>
        <v>15.094999999999999</v>
      </c>
      <c r="Q276" s="23">
        <f t="shared" si="775"/>
        <v>15.094999999999999</v>
      </c>
      <c r="R276" s="23"/>
      <c r="S276" s="23"/>
      <c r="T276" s="194"/>
      <c r="U276" s="194"/>
      <c r="V276" s="194"/>
      <c r="W276" s="194">
        <v>9.2840000000000007</v>
      </c>
      <c r="X276" s="194">
        <v>7.2679999999999998</v>
      </c>
      <c r="Y276" s="194">
        <v>8.4499999999999993</v>
      </c>
      <c r="Z276" s="194">
        <v>9.9080000000000013</v>
      </c>
      <c r="AA276" s="194">
        <v>11.21</v>
      </c>
      <c r="AB276" s="194">
        <v>8.8149999999999995</v>
      </c>
      <c r="AC276" s="194">
        <v>9.152000000000001</v>
      </c>
      <c r="AD276" s="194">
        <v>10.544</v>
      </c>
      <c r="AE276" s="194">
        <v>10.858000000000001</v>
      </c>
      <c r="AF276" s="194">
        <v>10.334</v>
      </c>
      <c r="AG276" s="194">
        <v>10.725999999999999</v>
      </c>
      <c r="AH276" s="194">
        <v>11.163</v>
      </c>
      <c r="AI276" s="194">
        <v>12.026</v>
      </c>
      <c r="AJ276" s="194">
        <v>10.442</v>
      </c>
      <c r="AK276" s="194">
        <v>10.675999999999998</v>
      </c>
      <c r="AL276" s="194">
        <v>10.339</v>
      </c>
      <c r="AM276" s="194">
        <v>10.435</v>
      </c>
      <c r="AN276" s="194">
        <v>9.5360000000000014</v>
      </c>
      <c r="AO276" s="194">
        <f>8.351+1.796</f>
        <v>10.147</v>
      </c>
      <c r="AP276" s="194">
        <f>1.749+8.524</f>
        <v>10.273</v>
      </c>
      <c r="AQ276" s="194">
        <f>2.448+8.489</f>
        <v>10.937000000000001</v>
      </c>
      <c r="AR276" s="194">
        <f>1.711+8.296</f>
        <v>10.007</v>
      </c>
      <c r="AS276" s="194">
        <f>9.189+2.318</f>
        <v>11.507</v>
      </c>
      <c r="AT276" s="194">
        <f>8.889+2.926</f>
        <v>11.815</v>
      </c>
      <c r="AU276" s="194">
        <f>9+3.48</f>
        <v>12.48</v>
      </c>
      <c r="AV276" s="194">
        <f>9.254+1.938</f>
        <v>11.192</v>
      </c>
      <c r="AW276" s="194">
        <f>2.814+9.23</f>
        <v>12.044</v>
      </c>
      <c r="AX276" s="194">
        <f>10.791+3.545</f>
        <v>14.336</v>
      </c>
      <c r="AY276" s="194">
        <f>10.4+4.47</f>
        <v>14.870000000000001</v>
      </c>
      <c r="AZ276" s="194">
        <f>10.714+2.388</f>
        <v>13.102</v>
      </c>
      <c r="BA276" s="194">
        <f>11.005+2.634</f>
        <v>13.639000000000001</v>
      </c>
      <c r="BB276" s="194">
        <f>3.14+10.989</f>
        <v>14.129000000000001</v>
      </c>
      <c r="BC276" s="194">
        <f>8.439+10.225</f>
        <v>18.664000000000001</v>
      </c>
      <c r="BD276" s="194">
        <f>7.902+11.183</f>
        <v>19.085000000000001</v>
      </c>
      <c r="BE276" s="194">
        <f>11.412+10.618</f>
        <v>22.03</v>
      </c>
      <c r="BF276" s="194">
        <f>10.082+14.285</f>
        <v>24.367000000000001</v>
      </c>
      <c r="BG276" s="194">
        <f>15.989+10.099</f>
        <v>26.088000000000001</v>
      </c>
      <c r="BH276" s="194">
        <f>15.523+10.868</f>
        <v>26.390999999999998</v>
      </c>
      <c r="BI276" s="194">
        <f>11.324+15.818</f>
        <v>27.141999999999999</v>
      </c>
      <c r="BJ276" s="194">
        <f>10.874+15.992</f>
        <v>26.866</v>
      </c>
      <c r="BK276" s="194">
        <f>17.497+11.348</f>
        <v>28.844999999999999</v>
      </c>
      <c r="BL276" s="194">
        <f>10.249+3.377</f>
        <v>13.626000000000001</v>
      </c>
      <c r="BM276" s="194">
        <f>3.36+10.085</f>
        <v>13.445</v>
      </c>
      <c r="BN276" s="194">
        <f>3.338+9.706</f>
        <v>13.044</v>
      </c>
      <c r="BO276" s="194">
        <f>3.318+9.537</f>
        <v>12.855</v>
      </c>
      <c r="BP276" s="194">
        <f>9.882+3.288</f>
        <v>13.17</v>
      </c>
      <c r="BQ276" s="194">
        <f>3.537+9.926</f>
        <v>13.463000000000001</v>
      </c>
      <c r="BR276" s="194">
        <f>10.32+3.627</f>
        <v>13.946999999999999</v>
      </c>
      <c r="BS276" s="194">
        <f>10.376+4.719</f>
        <v>15.094999999999999</v>
      </c>
      <c r="BT276" s="23">
        <f t="shared" si="777"/>
        <v>15.094999999999999</v>
      </c>
      <c r="BU276" s="23">
        <f t="shared" si="777"/>
        <v>15.094999999999999</v>
      </c>
      <c r="BV276" s="23">
        <f t="shared" si="777"/>
        <v>15.094999999999999</v>
      </c>
      <c r="BW276" s="23">
        <f t="shared" si="777"/>
        <v>15.094999999999999</v>
      </c>
      <c r="BX276" s="23">
        <f t="shared" si="778"/>
        <v>15.094999999999999</v>
      </c>
      <c r="BY276" s="23">
        <f t="shared" si="778"/>
        <v>15.094999999999999</v>
      </c>
      <c r="BZ276" s="23">
        <f t="shared" si="778"/>
        <v>15.094999999999999</v>
      </c>
      <c r="CA276" s="23">
        <f t="shared" si="778"/>
        <v>15.094999999999999</v>
      </c>
      <c r="CB276" s="23">
        <f t="shared" si="778"/>
        <v>15.094999999999999</v>
      </c>
      <c r="CC276" s="23">
        <f t="shared" si="778"/>
        <v>15.094999999999999</v>
      </c>
      <c r="CD276" s="23">
        <f t="shared" si="778"/>
        <v>15.094999999999999</v>
      </c>
      <c r="CE276" s="23">
        <f t="shared" si="778"/>
        <v>15.094999999999999</v>
      </c>
      <c r="CF276" s="4"/>
      <c r="CG276" s="4"/>
      <c r="CH276" s="4"/>
      <c r="CI276" s="4"/>
      <c r="CJ276" s="4"/>
      <c r="CK276" s="4"/>
      <c r="CL276" s="4"/>
      <c r="CM276" s="4"/>
      <c r="CN276" s="240">
        <f t="shared" si="760"/>
        <v>269</v>
      </c>
    </row>
    <row r="277" spans="1:99" s="170" customFormat="1" hidden="1" outlineLevel="2">
      <c r="A277" s="159"/>
      <c r="B277" s="166" t="s">
        <v>118</v>
      </c>
      <c r="C277" s="160">
        <f t="shared" si="774"/>
        <v>23.316000000000003</v>
      </c>
      <c r="D277" s="160">
        <f t="shared" si="774"/>
        <v>26.532000000000004</v>
      </c>
      <c r="E277" s="160">
        <f t="shared" si="774"/>
        <v>13.76</v>
      </c>
      <c r="F277" s="160">
        <f t="shared" si="774"/>
        <v>17.474</v>
      </c>
      <c r="G277" s="160">
        <f t="shared" si="774"/>
        <v>21.277999999999999</v>
      </c>
      <c r="H277" s="160">
        <f t="shared" si="774"/>
        <v>14.746</v>
      </c>
      <c r="I277" s="160">
        <f t="shared" si="774"/>
        <v>22.013999999999999</v>
      </c>
      <c r="J277" s="160">
        <f t="shared" si="774"/>
        <v>21.899000000000001</v>
      </c>
      <c r="K277" s="160">
        <f t="shared" si="774"/>
        <v>21.654</v>
      </c>
      <c r="L277" s="160">
        <f t="shared" si="774"/>
        <v>21.699000000000002</v>
      </c>
      <c r="M277" s="160">
        <f t="shared" si="774"/>
        <v>21.748999999999999</v>
      </c>
      <c r="N277" s="160">
        <f t="shared" si="774"/>
        <v>21.654</v>
      </c>
      <c r="O277" s="160">
        <f t="shared" si="774"/>
        <v>29.937999999999992</v>
      </c>
      <c r="P277" s="160">
        <f t="shared" si="775"/>
        <v>38.221999999999987</v>
      </c>
      <c r="Q277" s="160">
        <f t="shared" si="775"/>
        <v>46.505999999999979</v>
      </c>
      <c r="R277" s="160"/>
      <c r="S277" s="160"/>
      <c r="T277" s="160"/>
      <c r="U277" s="160"/>
      <c r="V277" s="160"/>
      <c r="W277" s="160">
        <v>25.68</v>
      </c>
      <c r="X277" s="160">
        <v>21.064</v>
      </c>
      <c r="Y277" s="160">
        <v>22.081</v>
      </c>
      <c r="Z277" s="160">
        <v>22.542000000000002</v>
      </c>
      <c r="AA277" s="160">
        <v>23.316000000000003</v>
      </c>
      <c r="AB277" s="160">
        <v>23.901</v>
      </c>
      <c r="AC277" s="160">
        <v>24.777999999999999</v>
      </c>
      <c r="AD277" s="160">
        <v>25.658999999999999</v>
      </c>
      <c r="AE277" s="160">
        <v>26.532000000000004</v>
      </c>
      <c r="AF277" s="160">
        <v>22.65</v>
      </c>
      <c r="AG277" s="160">
        <v>23.471</v>
      </c>
      <c r="AH277" s="160">
        <v>16.306000000000001</v>
      </c>
      <c r="AI277" s="160">
        <v>13.76</v>
      </c>
      <c r="AJ277" s="160">
        <v>13.164999999999999</v>
      </c>
      <c r="AK277" s="160">
        <v>15.13</v>
      </c>
      <c r="AL277" s="160">
        <v>16.23</v>
      </c>
      <c r="AM277" s="160">
        <v>17.474</v>
      </c>
      <c r="AN277" s="160">
        <v>17.361999999999998</v>
      </c>
      <c r="AO277" s="160">
        <f>9.876+8.911</f>
        <v>18.786999999999999</v>
      </c>
      <c r="AP277" s="160">
        <f>9.876+10.235</f>
        <v>20.110999999999997</v>
      </c>
      <c r="AQ277" s="160">
        <f>14.818+6.46</f>
        <v>21.277999999999999</v>
      </c>
      <c r="AR277" s="160">
        <f>14.804</f>
        <v>14.804</v>
      </c>
      <c r="AS277" s="160">
        <v>14.829000000000001</v>
      </c>
      <c r="AT277" s="160">
        <v>14.831</v>
      </c>
      <c r="AU277" s="160">
        <v>14.746</v>
      </c>
      <c r="AV277" s="160">
        <v>21.949000000000002</v>
      </c>
      <c r="AW277" s="160">
        <v>21.943000000000001</v>
      </c>
      <c r="AX277" s="160">
        <v>21.972000000000001</v>
      </c>
      <c r="AY277" s="160">
        <f>22.014</f>
        <v>22.013999999999999</v>
      </c>
      <c r="AZ277" s="160">
        <v>22.056000000000001</v>
      </c>
      <c r="BA277" s="160">
        <v>21.936</v>
      </c>
      <c r="BB277" s="160">
        <v>21.904</v>
      </c>
      <c r="BC277" s="160">
        <v>21.899000000000001</v>
      </c>
      <c r="BD277" s="160">
        <f>21.884</f>
        <v>21.884</v>
      </c>
      <c r="BE277" s="160">
        <v>21.882999999999999</v>
      </c>
      <c r="BF277" s="160">
        <v>21.86</v>
      </c>
      <c r="BG277" s="160">
        <v>21.654</v>
      </c>
      <c r="BH277" s="160">
        <v>21.707000000000001</v>
      </c>
      <c r="BI277" s="160">
        <v>21.702000000000002</v>
      </c>
      <c r="BJ277" s="160">
        <v>21.702000000000002</v>
      </c>
      <c r="BK277" s="160">
        <v>21.699000000000002</v>
      </c>
      <c r="BL277" s="160">
        <v>21.760999999999999</v>
      </c>
      <c r="BM277" s="160">
        <v>21.754999999999999</v>
      </c>
      <c r="BN277" s="160">
        <v>21.751999999999999</v>
      </c>
      <c r="BO277" s="160">
        <v>21.748999999999999</v>
      </c>
      <c r="BP277" s="160">
        <v>21.777999999999999</v>
      </c>
      <c r="BQ277" s="160">
        <v>21.734999999999999</v>
      </c>
      <c r="BR277" s="160">
        <v>21.658999999999999</v>
      </c>
      <c r="BS277" s="160">
        <v>21.654</v>
      </c>
      <c r="BT277" s="160">
        <f t="shared" ref="BT277:CE277" si="779">BS277+BT248+BT234</f>
        <v>23.724999999999998</v>
      </c>
      <c r="BU277" s="160">
        <f t="shared" si="779"/>
        <v>25.795999999999996</v>
      </c>
      <c r="BV277" s="160">
        <f t="shared" si="779"/>
        <v>27.866999999999994</v>
      </c>
      <c r="BW277" s="160">
        <f t="shared" si="779"/>
        <v>29.937999999999992</v>
      </c>
      <c r="BX277" s="160">
        <f t="shared" si="779"/>
        <v>32.008999999999993</v>
      </c>
      <c r="BY277" s="160">
        <f t="shared" si="779"/>
        <v>34.079999999999991</v>
      </c>
      <c r="BZ277" s="160">
        <f t="shared" si="779"/>
        <v>36.150999999999989</v>
      </c>
      <c r="CA277" s="160">
        <f t="shared" si="779"/>
        <v>38.221999999999987</v>
      </c>
      <c r="CB277" s="160">
        <f t="shared" si="779"/>
        <v>40.292999999999985</v>
      </c>
      <c r="CC277" s="160">
        <f t="shared" si="779"/>
        <v>42.363999999999983</v>
      </c>
      <c r="CD277" s="160">
        <f t="shared" si="779"/>
        <v>44.434999999999981</v>
      </c>
      <c r="CE277" s="160">
        <f t="shared" si="779"/>
        <v>46.505999999999979</v>
      </c>
      <c r="CF277" s="205"/>
      <c r="CG277" s="205"/>
      <c r="CH277" s="205"/>
      <c r="CI277" s="205"/>
      <c r="CJ277" s="205"/>
      <c r="CK277" s="205"/>
      <c r="CL277" s="205"/>
      <c r="CM277" s="205"/>
      <c r="CN277" s="240">
        <f t="shared" si="760"/>
        <v>270</v>
      </c>
      <c r="CO277"/>
      <c r="CP277"/>
      <c r="CQ277"/>
      <c r="CR277"/>
      <c r="CS277"/>
      <c r="CT277"/>
      <c r="CU277" s="211"/>
    </row>
    <row r="278" spans="1:99" s="170" customFormat="1" hidden="1" outlineLevel="2">
      <c r="A278" s="159"/>
      <c r="B278" s="167" t="s">
        <v>79</v>
      </c>
      <c r="C278" s="160">
        <f t="shared" si="774"/>
        <v>317.70499999999998</v>
      </c>
      <c r="D278" s="160">
        <f t="shared" si="774"/>
        <v>385.28100000000001</v>
      </c>
      <c r="E278" s="160">
        <f t="shared" si="774"/>
        <v>445.35599999999999</v>
      </c>
      <c r="F278" s="160">
        <f t="shared" si="774"/>
        <v>401.05500000000001</v>
      </c>
      <c r="G278" s="160">
        <f t="shared" si="774"/>
        <v>527.15</v>
      </c>
      <c r="H278" s="160">
        <f t="shared" si="774"/>
        <v>760.49199999999996</v>
      </c>
      <c r="I278" s="160">
        <f t="shared" si="774"/>
        <v>891.46400000000006</v>
      </c>
      <c r="J278" s="160">
        <f t="shared" si="774"/>
        <v>956.91800000000001</v>
      </c>
      <c r="K278" s="160">
        <f t="shared" si="774"/>
        <v>1074.5609999999999</v>
      </c>
      <c r="L278" s="160">
        <f t="shared" si="774"/>
        <v>948.55100000000004</v>
      </c>
      <c r="M278" s="160">
        <f t="shared" si="774"/>
        <v>803.15200000000004</v>
      </c>
      <c r="N278" s="160">
        <f t="shared" si="774"/>
        <v>906.745</v>
      </c>
      <c r="O278" s="160">
        <f t="shared" si="774"/>
        <v>1143.6350831021236</v>
      </c>
      <c r="P278" s="160">
        <f t="shared" si="775"/>
        <v>1446.9203628592825</v>
      </c>
      <c r="Q278" s="160">
        <f t="shared" si="775"/>
        <v>1767.8142644105408</v>
      </c>
      <c r="R278" s="160"/>
      <c r="S278" s="160"/>
      <c r="T278" s="160"/>
      <c r="U278" s="160"/>
      <c r="V278" s="160"/>
      <c r="W278" s="160">
        <v>219.90700000000001</v>
      </c>
      <c r="X278" s="160">
        <v>241.637</v>
      </c>
      <c r="Y278" s="160">
        <v>266.00799999999998</v>
      </c>
      <c r="Z278" s="160">
        <v>291.589</v>
      </c>
      <c r="AA278" s="160">
        <v>317.70499999999998</v>
      </c>
      <c r="AB278" s="160">
        <v>340.86099999999999</v>
      </c>
      <c r="AC278" s="160">
        <v>359.82</v>
      </c>
      <c r="AD278" s="160">
        <v>369.85</v>
      </c>
      <c r="AE278" s="160">
        <v>385.28100000000001</v>
      </c>
      <c r="AF278" s="160">
        <v>394.24400000000003</v>
      </c>
      <c r="AG278" s="160">
        <v>410.85399999999998</v>
      </c>
      <c r="AH278" s="160">
        <v>430.77800000000002</v>
      </c>
      <c r="AI278" s="160">
        <v>445.35599999999999</v>
      </c>
      <c r="AJ278" s="160">
        <v>443.01799999999997</v>
      </c>
      <c r="AK278" s="160">
        <v>424.58800000000002</v>
      </c>
      <c r="AL278" s="160">
        <v>410.18599999999998</v>
      </c>
      <c r="AM278" s="160">
        <v>401.05500000000001</v>
      </c>
      <c r="AN278" s="160">
        <v>410.51900000000001</v>
      </c>
      <c r="AO278" s="160">
        <v>438.19</v>
      </c>
      <c r="AP278" s="160">
        <v>478.56</v>
      </c>
      <c r="AQ278" s="160">
        <v>527.15</v>
      </c>
      <c r="AR278" s="160">
        <v>576.11199999999997</v>
      </c>
      <c r="AS278" s="160">
        <v>640.56200000000001</v>
      </c>
      <c r="AT278" s="160">
        <v>713.53700000000003</v>
      </c>
      <c r="AU278" s="160">
        <v>760.49199999999996</v>
      </c>
      <c r="AV278" s="160">
        <v>790.89300000000003</v>
      </c>
      <c r="AW278" s="160">
        <v>847.44299999999998</v>
      </c>
      <c r="AX278" s="160">
        <v>898.23199999999997</v>
      </c>
      <c r="AY278" s="160">
        <v>891.46400000000006</v>
      </c>
      <c r="AZ278" s="160">
        <v>904.86</v>
      </c>
      <c r="BA278" s="160">
        <v>909.86699999999996</v>
      </c>
      <c r="BB278" s="160">
        <v>939.33600000000001</v>
      </c>
      <c r="BC278" s="160">
        <v>956.91800000000001</v>
      </c>
      <c r="BD278" s="160">
        <v>966.96600000000001</v>
      </c>
      <c r="BE278" s="160">
        <v>1009.711</v>
      </c>
      <c r="BF278" s="160">
        <v>1049.636</v>
      </c>
      <c r="BG278" s="160">
        <v>1074.5609999999999</v>
      </c>
      <c r="BH278" s="160">
        <v>1059.105</v>
      </c>
      <c r="BI278" s="160">
        <v>1016.754</v>
      </c>
      <c r="BJ278" s="160">
        <v>984.16800000000001</v>
      </c>
      <c r="BK278" s="160">
        <v>948.55100000000004</v>
      </c>
      <c r="BL278" s="160">
        <v>915.221</v>
      </c>
      <c r="BM278" s="160">
        <v>869.12199999999996</v>
      </c>
      <c r="BN278" s="160">
        <v>832.93700000000001</v>
      </c>
      <c r="BO278" s="160">
        <v>803.15200000000004</v>
      </c>
      <c r="BP278" s="160">
        <v>803.77</v>
      </c>
      <c r="BQ278" s="160">
        <v>844.19799999999998</v>
      </c>
      <c r="BR278" s="160">
        <v>877.32</v>
      </c>
      <c r="BS278" s="160">
        <v>906.745</v>
      </c>
      <c r="BT278" s="160">
        <f t="shared" ref="BT278:CE278" si="780">BS278+BT33+BT247</f>
        <v>944.75062284349531</v>
      </c>
      <c r="BU278" s="160">
        <f t="shared" si="780"/>
        <v>1008.5992481669261</v>
      </c>
      <c r="BV278" s="160">
        <f t="shared" si="780"/>
        <v>1072.7300132061346</v>
      </c>
      <c r="BW278" s="160">
        <f t="shared" si="780"/>
        <v>1143.6350831021236</v>
      </c>
      <c r="BX278" s="160">
        <f t="shared" si="780"/>
        <v>1215.558162769152</v>
      </c>
      <c r="BY278" s="160">
        <f t="shared" si="780"/>
        <v>1288.1531175817577</v>
      </c>
      <c r="BZ278" s="160">
        <f t="shared" si="780"/>
        <v>1366.1740043316777</v>
      </c>
      <c r="CA278" s="160">
        <f t="shared" si="780"/>
        <v>1446.9203628592825</v>
      </c>
      <c r="CB278" s="160">
        <f t="shared" si="780"/>
        <v>1525.9506597750878</v>
      </c>
      <c r="CC278" s="160">
        <f t="shared" si="780"/>
        <v>1605.5294375272779</v>
      </c>
      <c r="CD278" s="160">
        <f t="shared" si="780"/>
        <v>1686.0849505613755</v>
      </c>
      <c r="CE278" s="160">
        <f t="shared" si="780"/>
        <v>1767.8142644105408</v>
      </c>
      <c r="CF278" s="205"/>
      <c r="CG278" s="205"/>
      <c r="CH278" s="205"/>
      <c r="CI278" s="205"/>
      <c r="CJ278" s="205"/>
      <c r="CK278" s="205"/>
      <c r="CL278" s="205"/>
      <c r="CM278" s="205"/>
      <c r="CN278" s="240">
        <f t="shared" si="760"/>
        <v>271</v>
      </c>
      <c r="CO278"/>
      <c r="CP278"/>
      <c r="CQ278"/>
      <c r="CR278"/>
      <c r="CS278"/>
      <c r="CT278"/>
      <c r="CU278" s="211"/>
    </row>
    <row r="279" spans="1:99" s="170" customFormat="1" hidden="1" outlineLevel="2">
      <c r="A279" s="159"/>
      <c r="B279" s="167" t="s">
        <v>134</v>
      </c>
      <c r="C279" s="160">
        <f t="shared" si="774"/>
        <v>-5.734</v>
      </c>
      <c r="D279" s="160">
        <f t="shared" si="774"/>
        <v>-2.5409999999999999</v>
      </c>
      <c r="E279" s="160">
        <f t="shared" si="774"/>
        <v>-10.032</v>
      </c>
      <c r="F279" s="160">
        <f t="shared" si="774"/>
        <v>-8.8059999999999992</v>
      </c>
      <c r="G279" s="160">
        <f t="shared" si="774"/>
        <v>-9.5329999999999995</v>
      </c>
      <c r="H279" s="160">
        <f t="shared" si="774"/>
        <v>-12.646000000000001</v>
      </c>
      <c r="I279" s="160">
        <f t="shared" si="774"/>
        <v>-14.246</v>
      </c>
      <c r="J279" s="160">
        <f t="shared" si="774"/>
        <v>-10.115</v>
      </c>
      <c r="K279" s="160">
        <f t="shared" si="774"/>
        <v>-17.832999999999998</v>
      </c>
      <c r="L279" s="160">
        <f t="shared" si="774"/>
        <v>-17.969000000000001</v>
      </c>
      <c r="M279" s="160">
        <f t="shared" si="774"/>
        <v>-18.102</v>
      </c>
      <c r="N279" s="160">
        <f t="shared" si="774"/>
        <v>-16.702000000000002</v>
      </c>
      <c r="O279" s="160">
        <f t="shared" si="774"/>
        <v>-16.702000000000002</v>
      </c>
      <c r="P279" s="160">
        <f t="shared" si="775"/>
        <v>-16.702000000000002</v>
      </c>
      <c r="Q279" s="160">
        <f t="shared" si="775"/>
        <v>-16.702000000000002</v>
      </c>
      <c r="R279" s="160"/>
      <c r="S279" s="160"/>
      <c r="T279" s="160"/>
      <c r="U279" s="160"/>
      <c r="V279" s="160"/>
      <c r="W279" s="160">
        <v>-13.086</v>
      </c>
      <c r="X279" s="160">
        <v>-7.8029999999999999</v>
      </c>
      <c r="Y279" s="160">
        <v>-7.8540000000000001</v>
      </c>
      <c r="Z279" s="160">
        <v>-7.8739999999999997</v>
      </c>
      <c r="AA279" s="160">
        <v>-5.734</v>
      </c>
      <c r="AB279" s="160">
        <v>-5.5110000000000001</v>
      </c>
      <c r="AC279" s="160">
        <v>-5.3179999999999996</v>
      </c>
      <c r="AD279" s="160">
        <v>-5.1040000000000001</v>
      </c>
      <c r="AE279" s="160">
        <v>-2.5409999999999999</v>
      </c>
      <c r="AF279" s="160">
        <v>-2.4780000000000002</v>
      </c>
      <c r="AG279" s="160">
        <v>-1.984</v>
      </c>
      <c r="AH279" s="160">
        <v>-2.5329999999999999</v>
      </c>
      <c r="AI279" s="160">
        <v>-10.032</v>
      </c>
      <c r="AJ279" s="160">
        <v>-10.071</v>
      </c>
      <c r="AK279" s="160">
        <v>-9.3160000000000007</v>
      </c>
      <c r="AL279" s="160">
        <v>-9</v>
      </c>
      <c r="AM279" s="160">
        <v>-8.8059999999999992</v>
      </c>
      <c r="AN279" s="160">
        <v>-8.7149999999999999</v>
      </c>
      <c r="AO279" s="160">
        <v>-8.7100000000000009</v>
      </c>
      <c r="AP279" s="160">
        <v>-8.4309999999999992</v>
      </c>
      <c r="AQ279" s="160">
        <v>-9.5329999999999995</v>
      </c>
      <c r="AR279" s="160">
        <v>-9.2040000000000006</v>
      </c>
      <c r="AS279" s="160">
        <v>-9.1270000000000007</v>
      </c>
      <c r="AT279" s="160">
        <v>-9.5399999999999991</v>
      </c>
      <c r="AU279" s="160">
        <v>-12.646000000000001</v>
      </c>
      <c r="AV279" s="160">
        <v>-12.444000000000001</v>
      </c>
      <c r="AW279" s="160">
        <v>-12.573</v>
      </c>
      <c r="AX279" s="160">
        <v>-12.250999999999999</v>
      </c>
      <c r="AY279" s="160">
        <v>-14.246</v>
      </c>
      <c r="AZ279" s="160">
        <v>-14.427</v>
      </c>
      <c r="BA279" s="160">
        <v>-14.656000000000001</v>
      </c>
      <c r="BB279" s="160">
        <v>-14.289</v>
      </c>
      <c r="BC279" s="160">
        <v>-10.115</v>
      </c>
      <c r="BD279" s="160">
        <v>-10.538</v>
      </c>
      <c r="BE279" s="160">
        <v>-9.9489999999999998</v>
      </c>
      <c r="BF279" s="160">
        <v>-10.551</v>
      </c>
      <c r="BG279" s="160">
        <v>-17.832999999999998</v>
      </c>
      <c r="BH279" s="160">
        <v>-18.716999999999999</v>
      </c>
      <c r="BI279" s="160">
        <v>-18.460999999999999</v>
      </c>
      <c r="BJ279" s="160">
        <v>-18.960999999999999</v>
      </c>
      <c r="BK279" s="160">
        <v>-17.969000000000001</v>
      </c>
      <c r="BL279" s="160">
        <v>-17.158999999999999</v>
      </c>
      <c r="BM279" s="160">
        <v>-16.867999999999999</v>
      </c>
      <c r="BN279" s="160">
        <v>-16.879000000000001</v>
      </c>
      <c r="BO279" s="160">
        <v>-18.102</v>
      </c>
      <c r="BP279" s="160">
        <v>-17.940000000000001</v>
      </c>
      <c r="BQ279" s="160">
        <v>-17.622</v>
      </c>
      <c r="BR279" s="160">
        <v>-17.126000000000001</v>
      </c>
      <c r="BS279" s="160">
        <v>-16.702000000000002</v>
      </c>
      <c r="BT279" s="160">
        <f>BS279</f>
        <v>-16.702000000000002</v>
      </c>
      <c r="BU279" s="160">
        <f>BT279</f>
        <v>-16.702000000000002</v>
      </c>
      <c r="BV279" s="160">
        <f>BU279</f>
        <v>-16.702000000000002</v>
      </c>
      <c r="BW279" s="160">
        <f>BV279</f>
        <v>-16.702000000000002</v>
      </c>
      <c r="BX279" s="160">
        <f t="shared" ref="BX279:CE279" si="781">BW279</f>
        <v>-16.702000000000002</v>
      </c>
      <c r="BY279" s="160">
        <f t="shared" si="781"/>
        <v>-16.702000000000002</v>
      </c>
      <c r="BZ279" s="160">
        <f t="shared" si="781"/>
        <v>-16.702000000000002</v>
      </c>
      <c r="CA279" s="160">
        <f t="shared" si="781"/>
        <v>-16.702000000000002</v>
      </c>
      <c r="CB279" s="160">
        <f t="shared" si="781"/>
        <v>-16.702000000000002</v>
      </c>
      <c r="CC279" s="160">
        <f t="shared" si="781"/>
        <v>-16.702000000000002</v>
      </c>
      <c r="CD279" s="160">
        <f t="shared" si="781"/>
        <v>-16.702000000000002</v>
      </c>
      <c r="CE279" s="160">
        <f t="shared" si="781"/>
        <v>-16.702000000000002</v>
      </c>
      <c r="CF279" s="205"/>
      <c r="CG279" s="205"/>
      <c r="CH279" s="205"/>
      <c r="CI279" s="205"/>
      <c r="CJ279" s="205"/>
      <c r="CK279" s="205"/>
      <c r="CL279" s="205"/>
      <c r="CM279" s="205"/>
      <c r="CN279" s="240">
        <f t="shared" si="760"/>
        <v>272</v>
      </c>
      <c r="CO279"/>
      <c r="CP279"/>
      <c r="CQ279"/>
      <c r="CR279"/>
      <c r="CS279"/>
      <c r="CT279"/>
      <c r="CU279" s="211"/>
    </row>
    <row r="280" spans="1:99" outlineLevel="1" collapsed="1">
      <c r="A280" s="144"/>
      <c r="B280" s="10" t="s">
        <v>80</v>
      </c>
      <c r="C280" s="55">
        <f t="shared" ref="C280:M280" si="782">SUM(C277:C279)</f>
        <v>335.28699999999998</v>
      </c>
      <c r="D280" s="55">
        <f t="shared" si="782"/>
        <v>409.27199999999999</v>
      </c>
      <c r="E280" s="55">
        <f t="shared" si="782"/>
        <v>449.084</v>
      </c>
      <c r="F280" s="55">
        <f t="shared" si="782"/>
        <v>409.72300000000001</v>
      </c>
      <c r="G280" s="55">
        <f t="shared" si="782"/>
        <v>538.89499999999998</v>
      </c>
      <c r="H280" s="55">
        <f t="shared" si="782"/>
        <v>762.59199999999998</v>
      </c>
      <c r="I280" s="55">
        <f t="shared" si="782"/>
        <v>899.23200000000008</v>
      </c>
      <c r="J280" s="55">
        <f t="shared" si="782"/>
        <v>968.702</v>
      </c>
      <c r="K280" s="55">
        <f t="shared" si="782"/>
        <v>1078.3819999999998</v>
      </c>
      <c r="L280" s="55">
        <f t="shared" si="782"/>
        <v>952.28099999999995</v>
      </c>
      <c r="M280" s="55">
        <f t="shared" si="782"/>
        <v>806.79900000000009</v>
      </c>
      <c r="N280" s="55">
        <f>SUM(N277:N279)</f>
        <v>911.697</v>
      </c>
      <c r="O280" s="55">
        <f>SUM(O277:O279)</f>
        <v>1156.8710831021237</v>
      </c>
      <c r="P280" s="55">
        <f>SUM(P277:P279)</f>
        <v>1468.4403628592825</v>
      </c>
      <c r="Q280" s="55">
        <f>SUM(Q277:Q279)</f>
        <v>1797.6182644105409</v>
      </c>
      <c r="R280" s="108"/>
      <c r="S280" s="23"/>
      <c r="T280" s="55">
        <v>190.49199999999999</v>
      </c>
      <c r="U280" s="55">
        <v>191.084</v>
      </c>
      <c r="V280" s="55">
        <v>213.12</v>
      </c>
      <c r="W280" s="55">
        <f>SUM(W277:W279)</f>
        <v>232.501</v>
      </c>
      <c r="X280" s="55">
        <f t="shared" ref="X280:AY280" si="783">SUM(X277:X279)</f>
        <v>254.89800000000002</v>
      </c>
      <c r="Y280" s="55">
        <f t="shared" si="783"/>
        <v>280.23500000000001</v>
      </c>
      <c r="Z280" s="55">
        <f t="shared" si="783"/>
        <v>306.25699999999995</v>
      </c>
      <c r="AA280" s="55">
        <f t="shared" si="783"/>
        <v>335.28699999999998</v>
      </c>
      <c r="AB280" s="55">
        <f t="shared" si="783"/>
        <v>359.25099999999998</v>
      </c>
      <c r="AC280" s="55">
        <f t="shared" si="783"/>
        <v>379.28000000000003</v>
      </c>
      <c r="AD280" s="55">
        <f t="shared" si="783"/>
        <v>390.40500000000003</v>
      </c>
      <c r="AE280" s="55">
        <f t="shared" si="783"/>
        <v>409.27199999999999</v>
      </c>
      <c r="AF280" s="55">
        <f t="shared" si="783"/>
        <v>414.416</v>
      </c>
      <c r="AG280" s="55">
        <f t="shared" si="783"/>
        <v>432.34100000000001</v>
      </c>
      <c r="AH280" s="55">
        <f t="shared" si="783"/>
        <v>444.55099999999999</v>
      </c>
      <c r="AI280" s="55">
        <f t="shared" si="783"/>
        <v>449.084</v>
      </c>
      <c r="AJ280" s="55">
        <f t="shared" si="783"/>
        <v>446.11199999999997</v>
      </c>
      <c r="AK280" s="55">
        <f t="shared" si="783"/>
        <v>430.40200000000004</v>
      </c>
      <c r="AL280" s="55">
        <f t="shared" si="783"/>
        <v>417.416</v>
      </c>
      <c r="AM280" s="55">
        <f t="shared" si="783"/>
        <v>409.72300000000001</v>
      </c>
      <c r="AN280" s="55">
        <f t="shared" si="783"/>
        <v>419.16600000000005</v>
      </c>
      <c r="AO280" s="55">
        <f t="shared" si="783"/>
        <v>448.267</v>
      </c>
      <c r="AP280" s="55">
        <f t="shared" si="783"/>
        <v>490.24</v>
      </c>
      <c r="AQ280" s="55">
        <f t="shared" si="783"/>
        <v>538.89499999999998</v>
      </c>
      <c r="AR280" s="55">
        <f t="shared" si="783"/>
        <v>581.71199999999999</v>
      </c>
      <c r="AS280" s="55">
        <f t="shared" si="783"/>
        <v>646.26400000000001</v>
      </c>
      <c r="AT280" s="55">
        <f t="shared" si="783"/>
        <v>718.82800000000009</v>
      </c>
      <c r="AU280" s="55">
        <f t="shared" si="783"/>
        <v>762.59199999999998</v>
      </c>
      <c r="AV280" s="55">
        <f t="shared" si="783"/>
        <v>800.39800000000002</v>
      </c>
      <c r="AW280" s="55">
        <f t="shared" si="783"/>
        <v>856.81299999999999</v>
      </c>
      <c r="AX280" s="55">
        <f t="shared" si="783"/>
        <v>907.95299999999997</v>
      </c>
      <c r="AY280" s="55">
        <f t="shared" si="783"/>
        <v>899.23200000000008</v>
      </c>
      <c r="AZ280" s="55">
        <f t="shared" ref="AZ280:BG280" si="784">SUM(AZ277:AZ279)</f>
        <v>912.48900000000003</v>
      </c>
      <c r="BA280" s="55">
        <f t="shared" si="784"/>
        <v>917.14700000000005</v>
      </c>
      <c r="BB280" s="55">
        <f t="shared" si="784"/>
        <v>946.95100000000002</v>
      </c>
      <c r="BC280" s="55">
        <f t="shared" si="784"/>
        <v>968.702</v>
      </c>
      <c r="BD280" s="55">
        <f t="shared" si="784"/>
        <v>978.31200000000001</v>
      </c>
      <c r="BE280" s="55">
        <f t="shared" si="784"/>
        <v>1021.6450000000001</v>
      </c>
      <c r="BF280" s="55">
        <f t="shared" si="784"/>
        <v>1060.9449999999999</v>
      </c>
      <c r="BG280" s="55">
        <f t="shared" si="784"/>
        <v>1078.3819999999998</v>
      </c>
      <c r="BH280" s="55">
        <f t="shared" ref="BH280:BO280" si="785">SUM(BH277:BH279)</f>
        <v>1062.095</v>
      </c>
      <c r="BI280" s="55">
        <f t="shared" si="785"/>
        <v>1019.9950000000001</v>
      </c>
      <c r="BJ280" s="55">
        <f t="shared" si="785"/>
        <v>986.90899999999999</v>
      </c>
      <c r="BK280" s="55">
        <f t="shared" si="785"/>
        <v>952.28099999999995</v>
      </c>
      <c r="BL280" s="55">
        <f t="shared" si="785"/>
        <v>919.82299999999998</v>
      </c>
      <c r="BM280" s="55">
        <f t="shared" si="785"/>
        <v>874.0089999999999</v>
      </c>
      <c r="BN280" s="55">
        <f t="shared" si="785"/>
        <v>837.81</v>
      </c>
      <c r="BO280" s="55">
        <f t="shared" si="785"/>
        <v>806.79900000000009</v>
      </c>
      <c r="BP280" s="55">
        <f t="shared" ref="BP280:BW280" si="786">SUM(BP277:BP279)</f>
        <v>807.60799999999995</v>
      </c>
      <c r="BQ280" s="55">
        <f t="shared" si="786"/>
        <v>848.31100000000004</v>
      </c>
      <c r="BR280" s="55">
        <f t="shared" si="786"/>
        <v>881.85300000000007</v>
      </c>
      <c r="BS280" s="55">
        <f t="shared" si="786"/>
        <v>911.697</v>
      </c>
      <c r="BT280" s="55">
        <f t="shared" si="786"/>
        <v>951.77362284349533</v>
      </c>
      <c r="BU280" s="55">
        <f t="shared" si="786"/>
        <v>1017.6932481669262</v>
      </c>
      <c r="BV280" s="55">
        <f t="shared" si="786"/>
        <v>1083.8950132061345</v>
      </c>
      <c r="BW280" s="55">
        <f t="shared" si="786"/>
        <v>1156.8710831021237</v>
      </c>
      <c r="BX280" s="55">
        <f t="shared" ref="BX280:CE280" si="787">SUM(BX277:BX279)</f>
        <v>1230.865162769152</v>
      </c>
      <c r="BY280" s="55">
        <f t="shared" si="787"/>
        <v>1305.5311175817576</v>
      </c>
      <c r="BZ280" s="55">
        <f t="shared" si="787"/>
        <v>1385.6230043316777</v>
      </c>
      <c r="CA280" s="55">
        <f t="shared" si="787"/>
        <v>1468.4403628592825</v>
      </c>
      <c r="CB280" s="55">
        <f t="shared" si="787"/>
        <v>1549.5416597750877</v>
      </c>
      <c r="CC280" s="55">
        <f t="shared" si="787"/>
        <v>1631.1914375272779</v>
      </c>
      <c r="CD280" s="55">
        <f t="shared" si="787"/>
        <v>1713.8179505613755</v>
      </c>
      <c r="CE280" s="55">
        <f t="shared" si="787"/>
        <v>1797.6182644105409</v>
      </c>
      <c r="CF280" s="4"/>
      <c r="CG280" s="4"/>
      <c r="CH280" s="4"/>
      <c r="CI280" s="4"/>
      <c r="CJ280" s="4"/>
      <c r="CK280" s="4"/>
      <c r="CL280" s="4"/>
      <c r="CM280" s="4"/>
      <c r="CN280" s="240">
        <f t="shared" si="760"/>
        <v>273</v>
      </c>
    </row>
    <row r="281" spans="1:99" outlineLevel="1">
      <c r="A281" s="144"/>
      <c r="B281" s="21" t="s">
        <v>81</v>
      </c>
      <c r="C281" s="54">
        <f t="shared" ref="C281:M281" si="788">SUM(C280,C273:C276,C272)</f>
        <v>478.00699999999995</v>
      </c>
      <c r="D281" s="54">
        <f t="shared" si="788"/>
        <v>701.01499999999999</v>
      </c>
      <c r="E281" s="54">
        <f t="shared" si="788"/>
        <v>793.46100000000001</v>
      </c>
      <c r="F281" s="54">
        <f t="shared" si="788"/>
        <v>649.04300000000001</v>
      </c>
      <c r="G281" s="54">
        <f t="shared" si="788"/>
        <v>887.87100000000009</v>
      </c>
      <c r="H281" s="54">
        <f t="shared" si="788"/>
        <v>1338.2110000000002</v>
      </c>
      <c r="I281" s="54">
        <f t="shared" si="788"/>
        <v>1367.163</v>
      </c>
      <c r="J281" s="54">
        <f t="shared" si="788"/>
        <v>1383.8599999999997</v>
      </c>
      <c r="K281" s="54">
        <f t="shared" si="788"/>
        <v>1759.3579999999999</v>
      </c>
      <c r="L281" s="54">
        <f t="shared" si="788"/>
        <v>1237.0939999999998</v>
      </c>
      <c r="M281" s="54">
        <f t="shared" si="788"/>
        <v>1035.4520000000002</v>
      </c>
      <c r="N281" s="54">
        <f>SUM(N280,N273:N276,N272)</f>
        <v>1147.2240000000002</v>
      </c>
      <c r="O281" s="54">
        <f>SUM(O280,O273:O276,O272)</f>
        <v>1436.6270139188637</v>
      </c>
      <c r="P281" s="54">
        <f>SUM(P280,P273:P276,P272)</f>
        <v>1766.8715598753251</v>
      </c>
      <c r="Q281" s="54">
        <f>SUM(Q280,Q273:Q276,Q272)</f>
        <v>2103.4915463538482</v>
      </c>
      <c r="R281" s="69"/>
      <c r="S281" s="23"/>
      <c r="T281" s="23"/>
      <c r="U281" s="23"/>
      <c r="V281" s="23"/>
      <c r="W281" s="54">
        <f t="shared" ref="W281:AY281" si="789">SUM(W280,W273:W276,W272)</f>
        <v>311.78500000000003</v>
      </c>
      <c r="X281" s="54">
        <f t="shared" si="789"/>
        <v>330.96199999999999</v>
      </c>
      <c r="Y281" s="54">
        <f t="shared" si="789"/>
        <v>367.80500000000001</v>
      </c>
      <c r="Z281" s="54">
        <f t="shared" si="789"/>
        <v>424.18499999999995</v>
      </c>
      <c r="AA281" s="54">
        <f t="shared" si="789"/>
        <v>478.00699999999995</v>
      </c>
      <c r="AB281" s="54">
        <f t="shared" si="789"/>
        <v>547.64300000000003</v>
      </c>
      <c r="AC281" s="54">
        <f t="shared" si="789"/>
        <v>611.71300000000008</v>
      </c>
      <c r="AD281" s="54">
        <f t="shared" si="789"/>
        <v>650.53599999999994</v>
      </c>
      <c r="AE281" s="54">
        <f t="shared" si="789"/>
        <v>701.01499999999999</v>
      </c>
      <c r="AF281" s="54">
        <f t="shared" si="789"/>
        <v>737.35899999999992</v>
      </c>
      <c r="AG281" s="54">
        <f t="shared" si="789"/>
        <v>753.15400000000011</v>
      </c>
      <c r="AH281" s="54">
        <f t="shared" si="789"/>
        <v>801.05499999999984</v>
      </c>
      <c r="AI281" s="54">
        <f t="shared" si="789"/>
        <v>793.46100000000001</v>
      </c>
      <c r="AJ281" s="54">
        <f t="shared" si="789"/>
        <v>727.59699999999998</v>
      </c>
      <c r="AK281" s="54">
        <f t="shared" si="789"/>
        <v>682.65200000000004</v>
      </c>
      <c r="AL281" s="54">
        <f t="shared" si="789"/>
        <v>658.06699999999989</v>
      </c>
      <c r="AM281" s="54">
        <f t="shared" si="789"/>
        <v>649.04300000000001</v>
      </c>
      <c r="AN281" s="54">
        <f t="shared" si="789"/>
        <v>685.86099999999988</v>
      </c>
      <c r="AO281" s="54">
        <f t="shared" si="789"/>
        <v>710.17499999999995</v>
      </c>
      <c r="AP281" s="54">
        <f t="shared" si="789"/>
        <v>802.86500000000001</v>
      </c>
      <c r="AQ281" s="54">
        <f t="shared" si="789"/>
        <v>887.87100000000009</v>
      </c>
      <c r="AR281" s="54">
        <f t="shared" si="789"/>
        <v>997.12299999999982</v>
      </c>
      <c r="AS281" s="54">
        <f t="shared" si="789"/>
        <v>1114.7919999999999</v>
      </c>
      <c r="AT281" s="54">
        <f t="shared" si="789"/>
        <v>1214.0310000000002</v>
      </c>
      <c r="AU281" s="54">
        <f t="shared" si="789"/>
        <v>1338.2110000000002</v>
      </c>
      <c r="AV281" s="54">
        <f t="shared" si="789"/>
        <v>1369.0070000000001</v>
      </c>
      <c r="AW281" s="54">
        <f t="shared" si="789"/>
        <v>1383.6410000000001</v>
      </c>
      <c r="AX281" s="54">
        <f t="shared" si="789"/>
        <v>1358.146</v>
      </c>
      <c r="AY281" s="54">
        <f t="shared" si="789"/>
        <v>1367.163</v>
      </c>
      <c r="AZ281" s="54">
        <f t="shared" ref="AZ281:BG281" si="790">SUM(AZ280,AZ273:AZ276,AZ272)</f>
        <v>1352.576</v>
      </c>
      <c r="BA281" s="54">
        <f t="shared" si="790"/>
        <v>1328.982</v>
      </c>
      <c r="BB281" s="54">
        <f t="shared" si="790"/>
        <v>1352.329</v>
      </c>
      <c r="BC281" s="54">
        <f t="shared" si="790"/>
        <v>1383.8599999999997</v>
      </c>
      <c r="BD281" s="54">
        <f t="shared" si="790"/>
        <v>1434.2950000000001</v>
      </c>
      <c r="BE281" s="54">
        <f t="shared" si="790"/>
        <v>1530.8610000000001</v>
      </c>
      <c r="BF281" s="54">
        <f t="shared" si="790"/>
        <v>1616.0329999999999</v>
      </c>
      <c r="BG281" s="54">
        <f t="shared" si="790"/>
        <v>1759.3579999999999</v>
      </c>
      <c r="BH281" s="54">
        <f t="shared" ref="BH281:BO281" si="791">SUM(BH280,BH273:BH276,BH272)</f>
        <v>1549.9799999999998</v>
      </c>
      <c r="BI281" s="54">
        <f t="shared" si="791"/>
        <v>1383.7820000000002</v>
      </c>
      <c r="BJ281" s="54">
        <f t="shared" si="791"/>
        <v>1288.0909999999999</v>
      </c>
      <c r="BK281" s="54">
        <f t="shared" si="791"/>
        <v>1237.0939999999998</v>
      </c>
      <c r="BL281" s="54">
        <f t="shared" si="791"/>
        <v>1155.1959999999999</v>
      </c>
      <c r="BM281" s="54">
        <f t="shared" si="791"/>
        <v>1091.2769999999998</v>
      </c>
      <c r="BN281" s="54">
        <f t="shared" si="791"/>
        <v>1052.8919999999998</v>
      </c>
      <c r="BO281" s="54">
        <f t="shared" si="791"/>
        <v>1035.4520000000002</v>
      </c>
      <c r="BP281" s="54">
        <f t="shared" ref="BP281:BW281" si="792">SUM(BP280,BP273:BP276,BP272)</f>
        <v>1049.0539999999999</v>
      </c>
      <c r="BQ281" s="54">
        <f t="shared" si="792"/>
        <v>1105.885</v>
      </c>
      <c r="BR281" s="54">
        <f t="shared" si="792"/>
        <v>1148.626</v>
      </c>
      <c r="BS281" s="54">
        <f t="shared" si="792"/>
        <v>1147.2240000000002</v>
      </c>
      <c r="BT281" s="54">
        <f t="shared" si="792"/>
        <v>1199.7120322435476</v>
      </c>
      <c r="BU281" s="54">
        <f t="shared" si="792"/>
        <v>1282.7694593574629</v>
      </c>
      <c r="BV281" s="54">
        <f t="shared" si="792"/>
        <v>1359.5104012035183</v>
      </c>
      <c r="BW281" s="54">
        <f t="shared" si="792"/>
        <v>1436.6270139188637</v>
      </c>
      <c r="BX281" s="54">
        <f t="shared" ref="BX281:CE281" si="793">SUM(BX280,BX273:BX276,BX272)</f>
        <v>1511.9379603984482</v>
      </c>
      <c r="BY281" s="54">
        <f t="shared" si="793"/>
        <v>1587.3481280429137</v>
      </c>
      <c r="BZ281" s="54">
        <f t="shared" si="793"/>
        <v>1673.6823954803142</v>
      </c>
      <c r="CA281" s="54">
        <f t="shared" si="793"/>
        <v>1766.8715598753251</v>
      </c>
      <c r="CB281" s="54">
        <f t="shared" si="793"/>
        <v>1853.2626422166591</v>
      </c>
      <c r="CC281" s="54">
        <f t="shared" si="793"/>
        <v>1935.3185465695651</v>
      </c>
      <c r="CD281" s="54">
        <f t="shared" si="793"/>
        <v>2018.6833114882124</v>
      </c>
      <c r="CE281" s="54">
        <f t="shared" si="793"/>
        <v>2103.4915463538482</v>
      </c>
      <c r="CF281" s="4"/>
      <c r="CG281" s="4"/>
      <c r="CH281" s="4"/>
      <c r="CI281" s="4"/>
      <c r="CJ281" s="4"/>
      <c r="CK281" s="4"/>
      <c r="CL281" s="4"/>
      <c r="CM281" s="4"/>
      <c r="CN281" s="240">
        <f t="shared" si="760"/>
        <v>274</v>
      </c>
    </row>
    <row r="282" spans="1:99" outlineLevel="1">
      <c r="A282" s="143"/>
      <c r="B282" s="4"/>
      <c r="C282" s="127">
        <f t="shared" ref="C282:Q282" si="794">ROUND(C281-C267,3)</f>
        <v>0</v>
      </c>
      <c r="D282" s="127">
        <f t="shared" si="794"/>
        <v>0</v>
      </c>
      <c r="E282" s="127">
        <f t="shared" si="794"/>
        <v>0</v>
      </c>
      <c r="F282" s="127">
        <f t="shared" si="794"/>
        <v>0</v>
      </c>
      <c r="G282" s="127">
        <f t="shared" si="794"/>
        <v>0</v>
      </c>
      <c r="H282" s="127">
        <f t="shared" si="794"/>
        <v>0</v>
      </c>
      <c r="I282" s="127">
        <f t="shared" si="794"/>
        <v>0</v>
      </c>
      <c r="J282" s="127">
        <f t="shared" si="794"/>
        <v>0</v>
      </c>
      <c r="K282" s="127">
        <f t="shared" si="794"/>
        <v>0</v>
      </c>
      <c r="L282" s="127">
        <f t="shared" si="794"/>
        <v>0</v>
      </c>
      <c r="M282" s="127">
        <f t="shared" si="794"/>
        <v>0</v>
      </c>
      <c r="N282" s="127">
        <f t="shared" si="794"/>
        <v>0</v>
      </c>
      <c r="O282" s="127">
        <f t="shared" si="794"/>
        <v>0</v>
      </c>
      <c r="P282" s="127">
        <f t="shared" si="794"/>
        <v>0</v>
      </c>
      <c r="Q282" s="127">
        <f t="shared" si="794"/>
        <v>0</v>
      </c>
      <c r="R282" s="128"/>
      <c r="S282" s="212"/>
      <c r="T282" s="212"/>
      <c r="U282" s="212"/>
      <c r="V282" s="212"/>
      <c r="W282" s="127">
        <f>ROUND(W281-W267,3)</f>
        <v>0</v>
      </c>
      <c r="X282" s="127">
        <f t="shared" ref="X282:CE282" si="795">ROUND(X281-X267,3)</f>
        <v>0</v>
      </c>
      <c r="Y282" s="127">
        <f t="shared" si="795"/>
        <v>0</v>
      </c>
      <c r="Z282" s="127">
        <f t="shared" si="795"/>
        <v>0</v>
      </c>
      <c r="AA282" s="127">
        <f t="shared" si="795"/>
        <v>0</v>
      </c>
      <c r="AB282" s="127">
        <f t="shared" si="795"/>
        <v>0</v>
      </c>
      <c r="AC282" s="127">
        <f t="shared" si="795"/>
        <v>0</v>
      </c>
      <c r="AD282" s="127">
        <f t="shared" si="795"/>
        <v>0</v>
      </c>
      <c r="AE282" s="127">
        <f t="shared" si="795"/>
        <v>0</v>
      </c>
      <c r="AF282" s="127">
        <f t="shared" si="795"/>
        <v>0</v>
      </c>
      <c r="AG282" s="127">
        <f t="shared" si="795"/>
        <v>0</v>
      </c>
      <c r="AH282" s="127">
        <f t="shared" si="795"/>
        <v>0</v>
      </c>
      <c r="AI282" s="127">
        <f t="shared" si="795"/>
        <v>0</v>
      </c>
      <c r="AJ282" s="127">
        <f t="shared" si="795"/>
        <v>0</v>
      </c>
      <c r="AK282" s="127">
        <f t="shared" si="795"/>
        <v>0</v>
      </c>
      <c r="AL282" s="127">
        <f t="shared" si="795"/>
        <v>0</v>
      </c>
      <c r="AM282" s="127">
        <f t="shared" si="795"/>
        <v>0</v>
      </c>
      <c r="AN282" s="127">
        <f t="shared" si="795"/>
        <v>0</v>
      </c>
      <c r="AO282" s="127">
        <f t="shared" si="795"/>
        <v>0</v>
      </c>
      <c r="AP282" s="127">
        <f t="shared" si="795"/>
        <v>0</v>
      </c>
      <c r="AQ282" s="127">
        <f t="shared" si="795"/>
        <v>0</v>
      </c>
      <c r="AR282" s="127">
        <f t="shared" si="795"/>
        <v>0</v>
      </c>
      <c r="AS282" s="127">
        <f t="shared" si="795"/>
        <v>0</v>
      </c>
      <c r="AT282" s="127">
        <f t="shared" si="795"/>
        <v>0</v>
      </c>
      <c r="AU282" s="127">
        <f t="shared" si="795"/>
        <v>0</v>
      </c>
      <c r="AV282" s="127">
        <f t="shared" si="795"/>
        <v>0</v>
      </c>
      <c r="AW282" s="127">
        <f t="shared" si="795"/>
        <v>0</v>
      </c>
      <c r="AX282" s="127">
        <f t="shared" si="795"/>
        <v>0</v>
      </c>
      <c r="AY282" s="127">
        <f t="shared" si="795"/>
        <v>0</v>
      </c>
      <c r="AZ282" s="127">
        <f t="shared" si="795"/>
        <v>0</v>
      </c>
      <c r="BA282" s="127">
        <f t="shared" si="795"/>
        <v>0</v>
      </c>
      <c r="BB282" s="127">
        <f t="shared" si="795"/>
        <v>0</v>
      </c>
      <c r="BC282" s="127">
        <f t="shared" si="795"/>
        <v>0</v>
      </c>
      <c r="BD282" s="127">
        <f t="shared" si="795"/>
        <v>0</v>
      </c>
      <c r="BE282" s="127">
        <f t="shared" si="795"/>
        <v>0</v>
      </c>
      <c r="BF282" s="127">
        <f t="shared" si="795"/>
        <v>0</v>
      </c>
      <c r="BG282" s="127">
        <f t="shared" si="795"/>
        <v>0</v>
      </c>
      <c r="BH282" s="127">
        <f t="shared" si="795"/>
        <v>0</v>
      </c>
      <c r="BI282" s="127">
        <f t="shared" si="795"/>
        <v>0</v>
      </c>
      <c r="BJ282" s="127">
        <f t="shared" si="795"/>
        <v>0</v>
      </c>
      <c r="BK282" s="127">
        <f t="shared" si="795"/>
        <v>0</v>
      </c>
      <c r="BL282" s="127">
        <f t="shared" si="795"/>
        <v>0</v>
      </c>
      <c r="BM282" s="127">
        <f t="shared" si="795"/>
        <v>0</v>
      </c>
      <c r="BN282" s="127">
        <f t="shared" si="795"/>
        <v>0</v>
      </c>
      <c r="BO282" s="127">
        <f t="shared" si="795"/>
        <v>0</v>
      </c>
      <c r="BP282" s="127">
        <f t="shared" si="795"/>
        <v>0</v>
      </c>
      <c r="BQ282" s="127">
        <f t="shared" si="795"/>
        <v>0</v>
      </c>
      <c r="BR282" s="127">
        <f t="shared" si="795"/>
        <v>0</v>
      </c>
      <c r="BS282" s="222">
        <f t="shared" si="795"/>
        <v>0</v>
      </c>
      <c r="BT282" s="127">
        <f t="shared" si="795"/>
        <v>0</v>
      </c>
      <c r="BU282" s="127">
        <f t="shared" si="795"/>
        <v>0</v>
      </c>
      <c r="BV282" s="127">
        <f t="shared" si="795"/>
        <v>0</v>
      </c>
      <c r="BW282" s="127">
        <f t="shared" si="795"/>
        <v>0</v>
      </c>
      <c r="BX282" s="127">
        <f t="shared" si="795"/>
        <v>0</v>
      </c>
      <c r="BY282" s="127">
        <f t="shared" si="795"/>
        <v>0</v>
      </c>
      <c r="BZ282" s="127">
        <f t="shared" si="795"/>
        <v>0</v>
      </c>
      <c r="CA282" s="127">
        <f t="shared" si="795"/>
        <v>0</v>
      </c>
      <c r="CB282" s="127">
        <f t="shared" si="795"/>
        <v>0</v>
      </c>
      <c r="CC282" s="127">
        <f t="shared" si="795"/>
        <v>0</v>
      </c>
      <c r="CD282" s="127">
        <f t="shared" si="795"/>
        <v>0</v>
      </c>
      <c r="CE282" s="127">
        <f t="shared" si="795"/>
        <v>0</v>
      </c>
      <c r="CF282" s="4"/>
      <c r="CG282" s="4"/>
      <c r="CH282" s="4"/>
      <c r="CI282" s="4"/>
      <c r="CJ282" s="4"/>
      <c r="CK282" s="4"/>
      <c r="CL282" s="4"/>
      <c r="CM282" s="4"/>
      <c r="CN282" s="240">
        <f t="shared" si="760"/>
        <v>275</v>
      </c>
    </row>
    <row r="283" spans="1:99">
      <c r="A283" s="143" t="s">
        <v>33</v>
      </c>
      <c r="B283" s="20" t="s">
        <v>82</v>
      </c>
      <c r="C283" s="18">
        <f t="shared" ref="C283:Q283" si="796">C$6</f>
        <v>2006</v>
      </c>
      <c r="D283" s="18">
        <f t="shared" si="796"/>
        <v>2007</v>
      </c>
      <c r="E283" s="18">
        <f t="shared" si="796"/>
        <v>2008</v>
      </c>
      <c r="F283" s="18">
        <f t="shared" si="796"/>
        <v>2009</v>
      </c>
      <c r="G283" s="18">
        <f t="shared" si="796"/>
        <v>2010</v>
      </c>
      <c r="H283" s="18">
        <f t="shared" si="796"/>
        <v>2011</v>
      </c>
      <c r="I283" s="18">
        <f t="shared" si="796"/>
        <v>2012</v>
      </c>
      <c r="J283" s="18">
        <f t="shared" si="796"/>
        <v>2013</v>
      </c>
      <c r="K283" s="18">
        <f t="shared" si="796"/>
        <v>2014</v>
      </c>
      <c r="L283" s="18">
        <f t="shared" si="796"/>
        <v>2015</v>
      </c>
      <c r="M283" s="18">
        <f t="shared" si="796"/>
        <v>2016</v>
      </c>
      <c r="N283" s="18">
        <f t="shared" si="796"/>
        <v>2017</v>
      </c>
      <c r="O283" s="18" t="str">
        <f t="shared" si="796"/>
        <v>2018E</v>
      </c>
      <c r="P283" s="18" t="str">
        <f t="shared" si="796"/>
        <v>2019E</v>
      </c>
      <c r="Q283" s="18" t="str">
        <f t="shared" si="796"/>
        <v>2020E</v>
      </c>
      <c r="R283" s="27"/>
      <c r="S283" s="4"/>
      <c r="T283" s="4"/>
      <c r="U283" s="4"/>
      <c r="V283" s="4"/>
      <c r="W283" s="18" t="str">
        <f t="shared" ref="W283:CE283" si="797">W$6</f>
        <v>4Q05</v>
      </c>
      <c r="X283" s="18" t="str">
        <f t="shared" si="797"/>
        <v>1Q06</v>
      </c>
      <c r="Y283" s="18" t="str">
        <f t="shared" si="797"/>
        <v>2Q06</v>
      </c>
      <c r="Z283" s="18" t="str">
        <f t="shared" si="797"/>
        <v>3Q06</v>
      </c>
      <c r="AA283" s="18" t="str">
        <f t="shared" si="797"/>
        <v>4Q06</v>
      </c>
      <c r="AB283" s="18" t="str">
        <f t="shared" si="797"/>
        <v>1Q07</v>
      </c>
      <c r="AC283" s="18" t="str">
        <f t="shared" si="797"/>
        <v>2Q07</v>
      </c>
      <c r="AD283" s="18" t="str">
        <f t="shared" si="797"/>
        <v>3Q07</v>
      </c>
      <c r="AE283" s="18" t="str">
        <f t="shared" si="797"/>
        <v>4Q07</v>
      </c>
      <c r="AF283" s="18" t="str">
        <f t="shared" si="797"/>
        <v>1Q08</v>
      </c>
      <c r="AG283" s="18" t="str">
        <f t="shared" si="797"/>
        <v>2Q08</v>
      </c>
      <c r="AH283" s="18" t="str">
        <f t="shared" si="797"/>
        <v>3Q08</v>
      </c>
      <c r="AI283" s="18" t="str">
        <f t="shared" si="797"/>
        <v>4Q08</v>
      </c>
      <c r="AJ283" s="18" t="str">
        <f t="shared" si="797"/>
        <v>1Q09</v>
      </c>
      <c r="AK283" s="18" t="str">
        <f t="shared" si="797"/>
        <v>2Q09</v>
      </c>
      <c r="AL283" s="18" t="str">
        <f t="shared" si="797"/>
        <v>3Q09</v>
      </c>
      <c r="AM283" s="18" t="str">
        <f t="shared" si="797"/>
        <v>4Q09</v>
      </c>
      <c r="AN283" s="18" t="str">
        <f t="shared" si="797"/>
        <v>1Q10</v>
      </c>
      <c r="AO283" s="18" t="str">
        <f t="shared" si="797"/>
        <v>2Q10</v>
      </c>
      <c r="AP283" s="18" t="str">
        <f t="shared" si="797"/>
        <v>3Q10</v>
      </c>
      <c r="AQ283" s="18" t="str">
        <f t="shared" si="797"/>
        <v>4Q10</v>
      </c>
      <c r="AR283" s="18" t="str">
        <f t="shared" si="797"/>
        <v>1Q11</v>
      </c>
      <c r="AS283" s="18" t="str">
        <f t="shared" si="797"/>
        <v>2Q11</v>
      </c>
      <c r="AT283" s="18" t="str">
        <f t="shared" si="797"/>
        <v>3Q11</v>
      </c>
      <c r="AU283" s="18" t="str">
        <f t="shared" si="797"/>
        <v>4Q11</v>
      </c>
      <c r="AV283" s="18" t="str">
        <f t="shared" si="797"/>
        <v>1Q12</v>
      </c>
      <c r="AW283" s="18" t="str">
        <f t="shared" si="797"/>
        <v>2Q12</v>
      </c>
      <c r="AX283" s="18" t="str">
        <f t="shared" si="797"/>
        <v>3Q12</v>
      </c>
      <c r="AY283" s="18" t="str">
        <f t="shared" si="797"/>
        <v>4Q12</v>
      </c>
      <c r="AZ283" s="18" t="str">
        <f t="shared" si="797"/>
        <v>1Q13</v>
      </c>
      <c r="BA283" s="18" t="str">
        <f t="shared" si="797"/>
        <v>2Q13</v>
      </c>
      <c r="BB283" s="18" t="str">
        <f t="shared" si="797"/>
        <v>3Q13</v>
      </c>
      <c r="BC283" s="18" t="str">
        <f t="shared" si="797"/>
        <v>4Q13</v>
      </c>
      <c r="BD283" s="18" t="str">
        <f t="shared" si="797"/>
        <v>1Q14</v>
      </c>
      <c r="BE283" s="18" t="str">
        <f t="shared" si="797"/>
        <v>2Q14</v>
      </c>
      <c r="BF283" s="18" t="str">
        <f t="shared" si="797"/>
        <v>3Q14</v>
      </c>
      <c r="BG283" s="18" t="str">
        <f t="shared" si="797"/>
        <v>4Q14</v>
      </c>
      <c r="BH283" s="18" t="str">
        <f t="shared" si="797"/>
        <v>1Q15</v>
      </c>
      <c r="BI283" s="18" t="str">
        <f t="shared" si="797"/>
        <v>2Q15</v>
      </c>
      <c r="BJ283" s="18" t="str">
        <f t="shared" si="797"/>
        <v>3Q15</v>
      </c>
      <c r="BK283" s="18" t="str">
        <f t="shared" si="797"/>
        <v>4Q15</v>
      </c>
      <c r="BL283" s="18" t="str">
        <f t="shared" si="797"/>
        <v>1Q16</v>
      </c>
      <c r="BM283" s="18" t="str">
        <f t="shared" si="797"/>
        <v>2Q16</v>
      </c>
      <c r="BN283" s="18" t="str">
        <f t="shared" si="797"/>
        <v>3Q16</v>
      </c>
      <c r="BO283" s="18" t="str">
        <f t="shared" si="797"/>
        <v>4Q16</v>
      </c>
      <c r="BP283" s="18" t="str">
        <f t="shared" si="797"/>
        <v>1Q17</v>
      </c>
      <c r="BQ283" s="18" t="str">
        <f t="shared" si="797"/>
        <v>2Q17</v>
      </c>
      <c r="BR283" s="18" t="str">
        <f t="shared" si="797"/>
        <v>3Q17</v>
      </c>
      <c r="BS283" s="18" t="str">
        <f t="shared" si="797"/>
        <v>4Q17</v>
      </c>
      <c r="BT283" s="18" t="str">
        <f t="shared" si="797"/>
        <v>1Q18E</v>
      </c>
      <c r="BU283" s="18" t="str">
        <f t="shared" si="797"/>
        <v>2Q18E</v>
      </c>
      <c r="BV283" s="18" t="str">
        <f t="shared" si="797"/>
        <v>3Q18E</v>
      </c>
      <c r="BW283" s="18" t="str">
        <f t="shared" si="797"/>
        <v>4Q18E</v>
      </c>
      <c r="BX283" s="18" t="str">
        <f t="shared" si="797"/>
        <v>1Q19E</v>
      </c>
      <c r="BY283" s="18" t="str">
        <f t="shared" si="797"/>
        <v>2Q19E</v>
      </c>
      <c r="BZ283" s="18" t="str">
        <f t="shared" si="797"/>
        <v>3Q19E</v>
      </c>
      <c r="CA283" s="18" t="str">
        <f t="shared" si="797"/>
        <v>4Q19E</v>
      </c>
      <c r="CB283" s="18" t="str">
        <f t="shared" si="797"/>
        <v>1Q20E</v>
      </c>
      <c r="CC283" s="18" t="str">
        <f t="shared" si="797"/>
        <v>2Q20E</v>
      </c>
      <c r="CD283" s="18" t="str">
        <f t="shared" si="797"/>
        <v>3Q20E</v>
      </c>
      <c r="CE283" s="18" t="str">
        <f t="shared" si="797"/>
        <v>4Q20E</v>
      </c>
      <c r="CF283" s="4"/>
      <c r="CG283" s="4"/>
      <c r="CH283" s="4"/>
      <c r="CI283" s="4"/>
      <c r="CJ283" s="4"/>
      <c r="CK283" s="4"/>
      <c r="CL283" s="4"/>
      <c r="CM283" s="4"/>
      <c r="CN283" s="240">
        <f t="shared" si="760"/>
        <v>276</v>
      </c>
    </row>
    <row r="284" spans="1:99" outlineLevel="1">
      <c r="A284" s="143" t="s">
        <v>33</v>
      </c>
      <c r="B284" s="21" t="s">
        <v>222</v>
      </c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240">
        <f t="shared" si="760"/>
        <v>277</v>
      </c>
    </row>
    <row r="285" spans="1:99" outlineLevel="1">
      <c r="A285" s="143"/>
      <c r="B285" s="10" t="s">
        <v>83</v>
      </c>
      <c r="C285" s="23">
        <f t="shared" ref="C285:N285" si="798">C273+C280</f>
        <v>370.887</v>
      </c>
      <c r="D285" s="23">
        <f t="shared" si="798"/>
        <v>565.67200000000003</v>
      </c>
      <c r="E285" s="23">
        <f t="shared" si="798"/>
        <v>623.53399999999999</v>
      </c>
      <c r="F285" s="23">
        <f t="shared" si="798"/>
        <v>500.02300000000002</v>
      </c>
      <c r="G285" s="23">
        <f t="shared" si="798"/>
        <v>660.14499999999998</v>
      </c>
      <c r="H285" s="23">
        <f t="shared" si="798"/>
        <v>965.89200000000005</v>
      </c>
      <c r="I285" s="23">
        <f t="shared" si="798"/>
        <v>1006.2320000000001</v>
      </c>
      <c r="J285" s="23">
        <f t="shared" si="798"/>
        <v>1022.002</v>
      </c>
      <c r="K285" s="23">
        <f t="shared" si="798"/>
        <v>1302.8819999999998</v>
      </c>
      <c r="L285" s="23">
        <f t="shared" si="798"/>
        <v>952.28099999999995</v>
      </c>
      <c r="M285" s="23">
        <f t="shared" si="798"/>
        <v>806.79900000000009</v>
      </c>
      <c r="N285" s="23">
        <f t="shared" si="798"/>
        <v>911.697</v>
      </c>
      <c r="O285" s="23">
        <f>O273+O280</f>
        <v>1156.8710831021237</v>
      </c>
      <c r="P285" s="23">
        <f>P273+P280</f>
        <v>1468.4403628592825</v>
      </c>
      <c r="Q285" s="23">
        <f>Q273+Q280</f>
        <v>1797.6182644105409</v>
      </c>
      <c r="R285" s="23"/>
      <c r="S285" s="23"/>
      <c r="T285" s="23"/>
      <c r="U285" s="23"/>
      <c r="V285" s="23"/>
      <c r="W285" s="23">
        <f t="shared" ref="W285:BH285" si="799">W273+W280</f>
        <v>232.501</v>
      </c>
      <c r="X285" s="23">
        <f t="shared" si="799"/>
        <v>254.89800000000002</v>
      </c>
      <c r="Y285" s="23">
        <f t="shared" si="799"/>
        <v>280.23500000000001</v>
      </c>
      <c r="Z285" s="23">
        <f t="shared" si="799"/>
        <v>312.90699999999993</v>
      </c>
      <c r="AA285" s="23">
        <f t="shared" si="799"/>
        <v>370.887</v>
      </c>
      <c r="AB285" s="23">
        <f t="shared" si="799"/>
        <v>438.70099999999996</v>
      </c>
      <c r="AC285" s="23">
        <f t="shared" si="799"/>
        <v>504.43000000000006</v>
      </c>
      <c r="AD285" s="23">
        <f t="shared" si="799"/>
        <v>539.255</v>
      </c>
      <c r="AE285" s="23">
        <f t="shared" si="799"/>
        <v>565.67200000000003</v>
      </c>
      <c r="AF285" s="23">
        <f t="shared" si="799"/>
        <v>583.46600000000001</v>
      </c>
      <c r="AG285" s="23">
        <f t="shared" si="799"/>
        <v>614.89100000000008</v>
      </c>
      <c r="AH285" s="23">
        <f t="shared" si="799"/>
        <v>630.15099999999995</v>
      </c>
      <c r="AI285" s="23">
        <f t="shared" si="799"/>
        <v>623.53399999999999</v>
      </c>
      <c r="AJ285" s="23">
        <f t="shared" si="799"/>
        <v>578.61199999999997</v>
      </c>
      <c r="AK285" s="23">
        <f t="shared" si="799"/>
        <v>553.952</v>
      </c>
      <c r="AL285" s="23">
        <f t="shared" si="799"/>
        <v>519.26599999999996</v>
      </c>
      <c r="AM285" s="23">
        <f t="shared" si="799"/>
        <v>500.02300000000002</v>
      </c>
      <c r="AN285" s="23">
        <f t="shared" si="799"/>
        <v>533.46600000000001</v>
      </c>
      <c r="AO285" s="23">
        <f t="shared" si="799"/>
        <v>549.11699999999996</v>
      </c>
      <c r="AP285" s="23">
        <f t="shared" si="799"/>
        <v>598.54</v>
      </c>
      <c r="AQ285" s="23">
        <f t="shared" si="799"/>
        <v>660.14499999999998</v>
      </c>
      <c r="AR285" s="23">
        <f t="shared" si="799"/>
        <v>731.51199999999994</v>
      </c>
      <c r="AS285" s="23">
        <f t="shared" si="799"/>
        <v>819.36400000000003</v>
      </c>
      <c r="AT285" s="23">
        <f t="shared" si="799"/>
        <v>859.62800000000016</v>
      </c>
      <c r="AU285" s="23">
        <f t="shared" si="799"/>
        <v>965.89200000000005</v>
      </c>
      <c r="AV285" s="23">
        <f t="shared" si="799"/>
        <v>981.19800000000009</v>
      </c>
      <c r="AW285" s="23">
        <f t="shared" si="799"/>
        <v>1018.813</v>
      </c>
      <c r="AX285" s="23">
        <f t="shared" si="799"/>
        <v>991.65300000000002</v>
      </c>
      <c r="AY285" s="23">
        <f t="shared" si="799"/>
        <v>1006.2320000000001</v>
      </c>
      <c r="AZ285" s="23">
        <f t="shared" si="799"/>
        <v>1000.0890000000001</v>
      </c>
      <c r="BA285" s="23">
        <f t="shared" si="799"/>
        <v>984.34700000000009</v>
      </c>
      <c r="BB285" s="23">
        <f t="shared" si="799"/>
        <v>998.351</v>
      </c>
      <c r="BC285" s="23">
        <f t="shared" si="799"/>
        <v>1022.002</v>
      </c>
      <c r="BD285" s="23">
        <f t="shared" si="799"/>
        <v>1059.1120000000001</v>
      </c>
      <c r="BE285" s="23">
        <f t="shared" si="799"/>
        <v>1153.0450000000001</v>
      </c>
      <c r="BF285" s="23">
        <f t="shared" si="799"/>
        <v>1212.9449999999999</v>
      </c>
      <c r="BG285" s="23">
        <f t="shared" si="799"/>
        <v>1302.8819999999998</v>
      </c>
      <c r="BH285" s="23">
        <f t="shared" si="799"/>
        <v>1217.6949999999999</v>
      </c>
      <c r="BI285" s="23">
        <f t="shared" ref="BI285:BO285" si="800">BI273+BI280</f>
        <v>1074.8950000000002</v>
      </c>
      <c r="BJ285" s="23">
        <f t="shared" si="800"/>
        <v>1006.409</v>
      </c>
      <c r="BK285" s="23">
        <f t="shared" si="800"/>
        <v>952.28099999999995</v>
      </c>
      <c r="BL285" s="23">
        <f t="shared" si="800"/>
        <v>919.82299999999998</v>
      </c>
      <c r="BM285" s="23">
        <f t="shared" si="800"/>
        <v>874.0089999999999</v>
      </c>
      <c r="BN285" s="23">
        <f t="shared" si="800"/>
        <v>837.81</v>
      </c>
      <c r="BO285" s="23">
        <f t="shared" si="800"/>
        <v>806.79900000000009</v>
      </c>
      <c r="BP285" s="23">
        <f t="shared" ref="BP285:BW285" si="801">BP273+BP280</f>
        <v>807.60799999999995</v>
      </c>
      <c r="BQ285" s="23">
        <f t="shared" si="801"/>
        <v>848.31100000000004</v>
      </c>
      <c r="BR285" s="23">
        <f t="shared" si="801"/>
        <v>881.85300000000007</v>
      </c>
      <c r="BS285" s="23">
        <f t="shared" si="801"/>
        <v>911.697</v>
      </c>
      <c r="BT285" s="23">
        <f t="shared" si="801"/>
        <v>951.77362284349533</v>
      </c>
      <c r="BU285" s="23">
        <f t="shared" si="801"/>
        <v>1017.6932481669262</v>
      </c>
      <c r="BV285" s="23">
        <f t="shared" si="801"/>
        <v>1083.8950132061345</v>
      </c>
      <c r="BW285" s="23">
        <f t="shared" si="801"/>
        <v>1156.8710831021237</v>
      </c>
      <c r="BX285" s="23">
        <f t="shared" ref="BX285:CE285" si="802">BX273+BX280</f>
        <v>1230.865162769152</v>
      </c>
      <c r="BY285" s="23">
        <f t="shared" si="802"/>
        <v>1305.5311175817576</v>
      </c>
      <c r="BZ285" s="23">
        <f t="shared" si="802"/>
        <v>1385.6230043316777</v>
      </c>
      <c r="CA285" s="23">
        <f t="shared" si="802"/>
        <v>1468.4403628592825</v>
      </c>
      <c r="CB285" s="23">
        <f t="shared" si="802"/>
        <v>1549.5416597750877</v>
      </c>
      <c r="CC285" s="23">
        <f t="shared" si="802"/>
        <v>1631.1914375272779</v>
      </c>
      <c r="CD285" s="23">
        <f t="shared" si="802"/>
        <v>1713.8179505613755</v>
      </c>
      <c r="CE285" s="23">
        <f t="shared" si="802"/>
        <v>1797.6182644105409</v>
      </c>
      <c r="CF285" s="4"/>
      <c r="CG285" s="4"/>
      <c r="CH285" s="4"/>
      <c r="CI285" s="4"/>
      <c r="CJ285" s="4"/>
      <c r="CK285" s="4"/>
      <c r="CL285" s="4"/>
      <c r="CM285" s="4"/>
      <c r="CN285" s="240">
        <f t="shared" si="760"/>
        <v>278</v>
      </c>
    </row>
    <row r="286" spans="1:99" outlineLevel="1">
      <c r="A286" s="143"/>
      <c r="B286" s="10" t="s">
        <v>84</v>
      </c>
      <c r="C286" s="23">
        <f>C273</f>
        <v>35.6</v>
      </c>
      <c r="D286" s="23">
        <f t="shared" ref="D286:N286" si="803">D273</f>
        <v>156.4</v>
      </c>
      <c r="E286" s="23">
        <f t="shared" si="803"/>
        <v>174.45</v>
      </c>
      <c r="F286" s="23">
        <f t="shared" si="803"/>
        <v>90.3</v>
      </c>
      <c r="G286" s="23">
        <f t="shared" si="803"/>
        <v>121.25</v>
      </c>
      <c r="H286" s="23">
        <f t="shared" si="803"/>
        <v>203.3</v>
      </c>
      <c r="I286" s="23">
        <f t="shared" si="803"/>
        <v>107</v>
      </c>
      <c r="J286" s="23">
        <f t="shared" si="803"/>
        <v>53.3</v>
      </c>
      <c r="K286" s="23">
        <f t="shared" si="803"/>
        <v>224.5</v>
      </c>
      <c r="L286" s="23">
        <f t="shared" si="803"/>
        <v>0</v>
      </c>
      <c r="M286" s="23">
        <f t="shared" si="803"/>
        <v>0</v>
      </c>
      <c r="N286" s="23">
        <f t="shared" si="803"/>
        <v>0</v>
      </c>
      <c r="O286" s="23">
        <f>O273</f>
        <v>0</v>
      </c>
      <c r="P286" s="23">
        <f>P273</f>
        <v>0</v>
      </c>
      <c r="Q286" s="23">
        <f>Q273</f>
        <v>0</v>
      </c>
      <c r="R286" s="23"/>
      <c r="S286" s="23"/>
      <c r="T286" s="23"/>
      <c r="U286" s="23"/>
      <c r="V286" s="23"/>
      <c r="W286" s="23">
        <f t="shared" ref="W286:AE286" si="804">W273</f>
        <v>0</v>
      </c>
      <c r="X286" s="23">
        <f t="shared" si="804"/>
        <v>0</v>
      </c>
      <c r="Y286" s="23">
        <f t="shared" si="804"/>
        <v>0</v>
      </c>
      <c r="Z286" s="23">
        <f t="shared" si="804"/>
        <v>6.65</v>
      </c>
      <c r="AA286" s="23">
        <f t="shared" si="804"/>
        <v>35.6</v>
      </c>
      <c r="AB286" s="23">
        <f t="shared" si="804"/>
        <v>79.45</v>
      </c>
      <c r="AC286" s="23">
        <f t="shared" si="804"/>
        <v>125.15</v>
      </c>
      <c r="AD286" s="23">
        <f t="shared" si="804"/>
        <v>148.85</v>
      </c>
      <c r="AE286" s="23">
        <f t="shared" si="804"/>
        <v>156.4</v>
      </c>
      <c r="AF286" s="23">
        <f t="shared" ref="AF286:AO286" si="805">AF273</f>
        <v>169.05</v>
      </c>
      <c r="AG286" s="23">
        <f t="shared" si="805"/>
        <v>182.55</v>
      </c>
      <c r="AH286" s="23">
        <f t="shared" si="805"/>
        <v>185.6</v>
      </c>
      <c r="AI286" s="23">
        <f t="shared" si="805"/>
        <v>174.45</v>
      </c>
      <c r="AJ286" s="23">
        <f t="shared" si="805"/>
        <v>132.5</v>
      </c>
      <c r="AK286" s="23">
        <f t="shared" si="805"/>
        <v>123.55</v>
      </c>
      <c r="AL286" s="23">
        <f t="shared" si="805"/>
        <v>101.85</v>
      </c>
      <c r="AM286" s="23">
        <f t="shared" si="805"/>
        <v>90.3</v>
      </c>
      <c r="AN286" s="23">
        <f t="shared" si="805"/>
        <v>114.3</v>
      </c>
      <c r="AO286" s="23">
        <f t="shared" si="805"/>
        <v>100.85</v>
      </c>
      <c r="AP286" s="23">
        <f t="shared" ref="AP286:AU286" si="806">AP273</f>
        <v>108.3</v>
      </c>
      <c r="AQ286" s="23">
        <f t="shared" si="806"/>
        <v>121.25</v>
      </c>
      <c r="AR286" s="23">
        <f t="shared" si="806"/>
        <v>149.80000000000001</v>
      </c>
      <c r="AS286" s="23">
        <f t="shared" si="806"/>
        <v>173.1</v>
      </c>
      <c r="AT286" s="23">
        <f t="shared" si="806"/>
        <v>140.80000000000001</v>
      </c>
      <c r="AU286" s="23">
        <f t="shared" si="806"/>
        <v>203.3</v>
      </c>
      <c r="AV286" s="23">
        <f t="shared" ref="AV286:BA286" si="807">AV273</f>
        <v>180.8</v>
      </c>
      <c r="AW286" s="23">
        <f t="shared" si="807"/>
        <v>162</v>
      </c>
      <c r="AX286" s="23">
        <f t="shared" si="807"/>
        <v>83.7</v>
      </c>
      <c r="AY286" s="23">
        <f t="shared" si="807"/>
        <v>107</v>
      </c>
      <c r="AZ286" s="23">
        <f t="shared" si="807"/>
        <v>87.6</v>
      </c>
      <c r="BA286" s="23">
        <f t="shared" si="807"/>
        <v>67.2</v>
      </c>
      <c r="BB286" s="23">
        <f t="shared" ref="BB286:BH286" si="808">BB273</f>
        <v>51.4</v>
      </c>
      <c r="BC286" s="23">
        <f t="shared" si="808"/>
        <v>53.3</v>
      </c>
      <c r="BD286" s="23">
        <f t="shared" si="808"/>
        <v>80.8</v>
      </c>
      <c r="BE286" s="23">
        <f t="shared" si="808"/>
        <v>131.4</v>
      </c>
      <c r="BF286" s="23">
        <f t="shared" si="808"/>
        <v>152</v>
      </c>
      <c r="BG286" s="23">
        <f t="shared" si="808"/>
        <v>224.5</v>
      </c>
      <c r="BH286" s="23">
        <f t="shared" si="808"/>
        <v>155.6</v>
      </c>
      <c r="BI286" s="23">
        <f t="shared" ref="BI286:BO286" si="809">BI273</f>
        <v>54.9</v>
      </c>
      <c r="BJ286" s="23">
        <f t="shared" si="809"/>
        <v>19.5</v>
      </c>
      <c r="BK286" s="23">
        <f t="shared" si="809"/>
        <v>0</v>
      </c>
      <c r="BL286" s="23">
        <f t="shared" si="809"/>
        <v>0</v>
      </c>
      <c r="BM286" s="23">
        <f t="shared" si="809"/>
        <v>0</v>
      </c>
      <c r="BN286" s="23">
        <f t="shared" si="809"/>
        <v>0</v>
      </c>
      <c r="BO286" s="23">
        <f t="shared" si="809"/>
        <v>0</v>
      </c>
      <c r="BP286" s="23">
        <f t="shared" ref="BP286:BW286" si="810">BP273</f>
        <v>0</v>
      </c>
      <c r="BQ286" s="23">
        <f t="shared" si="810"/>
        <v>0</v>
      </c>
      <c r="BR286" s="23">
        <f t="shared" si="810"/>
        <v>0</v>
      </c>
      <c r="BS286" s="23">
        <f>BS273</f>
        <v>0</v>
      </c>
      <c r="BT286" s="23">
        <f t="shared" si="810"/>
        <v>0</v>
      </c>
      <c r="BU286" s="23">
        <f t="shared" si="810"/>
        <v>0</v>
      </c>
      <c r="BV286" s="23">
        <f t="shared" si="810"/>
        <v>0</v>
      </c>
      <c r="BW286" s="23">
        <f t="shared" si="810"/>
        <v>0</v>
      </c>
      <c r="BX286" s="23">
        <f t="shared" ref="BX286:CE286" si="811">BX273</f>
        <v>0</v>
      </c>
      <c r="BY286" s="23">
        <f t="shared" si="811"/>
        <v>0</v>
      </c>
      <c r="BZ286" s="23">
        <f t="shared" si="811"/>
        <v>0</v>
      </c>
      <c r="CA286" s="23">
        <f t="shared" si="811"/>
        <v>0</v>
      </c>
      <c r="CB286" s="23">
        <f t="shared" si="811"/>
        <v>0</v>
      </c>
      <c r="CC286" s="23">
        <f t="shared" si="811"/>
        <v>0</v>
      </c>
      <c r="CD286" s="23">
        <f t="shared" si="811"/>
        <v>0</v>
      </c>
      <c r="CE286" s="23">
        <f t="shared" si="811"/>
        <v>0</v>
      </c>
      <c r="CF286" s="4"/>
      <c r="CG286" s="4"/>
      <c r="CH286" s="4"/>
      <c r="CI286" s="4"/>
      <c r="CJ286" s="4"/>
      <c r="CK286" s="4"/>
      <c r="CL286" s="4"/>
      <c r="CM286" s="4"/>
      <c r="CN286" s="240">
        <f t="shared" si="760"/>
        <v>279</v>
      </c>
    </row>
    <row r="287" spans="1:99" outlineLevel="1">
      <c r="A287" s="143"/>
      <c r="B287" s="10" t="s">
        <v>85</v>
      </c>
      <c r="C287" s="23">
        <f t="shared" ref="C287:BH287" si="812">C286-C256</f>
        <v>32.871000000000002</v>
      </c>
      <c r="D287" s="23">
        <f t="shared" si="812"/>
        <v>150.06200000000001</v>
      </c>
      <c r="E287" s="23">
        <f t="shared" si="812"/>
        <v>171.41299999999998</v>
      </c>
      <c r="F287" s="23">
        <f t="shared" si="812"/>
        <v>85.810999999999993</v>
      </c>
      <c r="G287" s="23">
        <f t="shared" si="812"/>
        <v>112.215</v>
      </c>
      <c r="H287" s="23">
        <f t="shared" si="812"/>
        <v>195.90700000000001</v>
      </c>
      <c r="I287" s="23">
        <f t="shared" si="812"/>
        <v>92.837000000000003</v>
      </c>
      <c r="J287" s="23">
        <f t="shared" si="812"/>
        <v>44.599999999999994</v>
      </c>
      <c r="K287" s="23">
        <f t="shared" si="812"/>
        <v>214.72800000000001</v>
      </c>
      <c r="L287" s="23">
        <f t="shared" si="812"/>
        <v>-65.195999999999998</v>
      </c>
      <c r="M287" s="23">
        <f t="shared" si="812"/>
        <v>-131.83500000000001</v>
      </c>
      <c r="N287" s="23">
        <f t="shared" si="812"/>
        <v>-91.05</v>
      </c>
      <c r="O287" s="23">
        <f>O286-O256</f>
        <v>-174.12887529507259</v>
      </c>
      <c r="P287" s="23">
        <f>P286-P256</f>
        <v>-247.03121267382912</v>
      </c>
      <c r="Q287" s="23">
        <f>Q286-Q256</f>
        <v>-576.20673404316972</v>
      </c>
      <c r="R287" s="23"/>
      <c r="S287" s="23"/>
      <c r="T287" s="23"/>
      <c r="U287" s="23"/>
      <c r="V287" s="23"/>
      <c r="W287" s="23">
        <f t="shared" si="812"/>
        <v>-12.808999999999999</v>
      </c>
      <c r="X287" s="23">
        <f t="shared" si="812"/>
        <v>-7.3860000000000001</v>
      </c>
      <c r="Y287" s="23">
        <f t="shared" si="812"/>
        <v>-2.9359999999999999</v>
      </c>
      <c r="Z287" s="23">
        <f t="shared" si="812"/>
        <v>-0.36499999999999932</v>
      </c>
      <c r="AA287" s="23">
        <f t="shared" si="812"/>
        <v>32.871000000000002</v>
      </c>
      <c r="AB287" s="23">
        <f t="shared" si="812"/>
        <v>75.463000000000008</v>
      </c>
      <c r="AC287" s="23">
        <f t="shared" si="812"/>
        <v>120.42700000000001</v>
      </c>
      <c r="AD287" s="23">
        <f t="shared" si="812"/>
        <v>139.19299999999998</v>
      </c>
      <c r="AE287" s="23">
        <f t="shared" si="812"/>
        <v>150.06200000000001</v>
      </c>
      <c r="AF287" s="23">
        <f t="shared" si="812"/>
        <v>157.56</v>
      </c>
      <c r="AG287" s="23">
        <f t="shared" si="812"/>
        <v>173.52200000000002</v>
      </c>
      <c r="AH287" s="23">
        <f t="shared" si="812"/>
        <v>182.30699999999999</v>
      </c>
      <c r="AI287" s="23">
        <f t="shared" si="812"/>
        <v>171.41299999999998</v>
      </c>
      <c r="AJ287" s="23">
        <f t="shared" si="812"/>
        <v>130.18799999999999</v>
      </c>
      <c r="AK287" s="23">
        <f t="shared" si="812"/>
        <v>120.738</v>
      </c>
      <c r="AL287" s="23">
        <f t="shared" si="812"/>
        <v>98.524999999999991</v>
      </c>
      <c r="AM287" s="23">
        <f t="shared" si="812"/>
        <v>85.810999999999993</v>
      </c>
      <c r="AN287" s="23">
        <f t="shared" si="812"/>
        <v>110.479</v>
      </c>
      <c r="AO287" s="23">
        <f t="shared" si="812"/>
        <v>97.167000000000002</v>
      </c>
      <c r="AP287" s="23">
        <f t="shared" si="812"/>
        <v>105.066</v>
      </c>
      <c r="AQ287" s="23">
        <f t="shared" si="812"/>
        <v>112.215</v>
      </c>
      <c r="AR287" s="23">
        <f t="shared" si="812"/>
        <v>138.12200000000001</v>
      </c>
      <c r="AS287" s="23">
        <f t="shared" si="812"/>
        <v>165.91</v>
      </c>
      <c r="AT287" s="23">
        <f t="shared" si="812"/>
        <v>133.83000000000001</v>
      </c>
      <c r="AU287" s="23">
        <f t="shared" si="812"/>
        <v>195.90700000000001</v>
      </c>
      <c r="AV287" s="23">
        <f t="shared" si="812"/>
        <v>175.066</v>
      </c>
      <c r="AW287" s="23">
        <f t="shared" si="812"/>
        <v>152.744</v>
      </c>
      <c r="AX287" s="23">
        <f t="shared" si="812"/>
        <v>72.558000000000007</v>
      </c>
      <c r="AY287" s="23">
        <f t="shared" si="812"/>
        <v>92.837000000000003</v>
      </c>
      <c r="AZ287" s="23">
        <f t="shared" si="812"/>
        <v>77.316999999999993</v>
      </c>
      <c r="BA287" s="23">
        <f t="shared" si="812"/>
        <v>56.941000000000003</v>
      </c>
      <c r="BB287" s="23">
        <f t="shared" si="812"/>
        <v>28.462999999999997</v>
      </c>
      <c r="BC287" s="23">
        <f t="shared" si="812"/>
        <v>44.599999999999994</v>
      </c>
      <c r="BD287" s="23">
        <f t="shared" si="812"/>
        <v>36.506999999999998</v>
      </c>
      <c r="BE287" s="23">
        <f t="shared" si="812"/>
        <v>109.236</v>
      </c>
      <c r="BF287" s="23">
        <f t="shared" si="812"/>
        <v>143.47800000000001</v>
      </c>
      <c r="BG287" s="23">
        <f t="shared" si="812"/>
        <v>214.72800000000001</v>
      </c>
      <c r="BH287" s="23">
        <f t="shared" si="812"/>
        <v>140.124</v>
      </c>
      <c r="BI287" s="23">
        <f t="shared" ref="BI287:BO287" si="813">BI286-BI256</f>
        <v>40.055999999999997</v>
      </c>
      <c r="BJ287" s="23">
        <f t="shared" si="813"/>
        <v>11.992000000000001</v>
      </c>
      <c r="BK287" s="23">
        <f t="shared" si="813"/>
        <v>-65.195999999999998</v>
      </c>
      <c r="BL287" s="23">
        <f t="shared" si="813"/>
        <v>-108.309</v>
      </c>
      <c r="BM287" s="23">
        <f t="shared" si="813"/>
        <v>-141.35400000000001</v>
      </c>
      <c r="BN287" s="23">
        <f t="shared" si="813"/>
        <v>-139.08699999999999</v>
      </c>
      <c r="BO287" s="23">
        <f t="shared" si="813"/>
        <v>-131.83500000000001</v>
      </c>
      <c r="BP287" s="23">
        <f t="shared" ref="BP287:BW287" si="814">BP286-BP256</f>
        <v>-104.498</v>
      </c>
      <c r="BQ287" s="23">
        <f t="shared" si="814"/>
        <v>-125.812</v>
      </c>
      <c r="BR287" s="23">
        <f t="shared" si="814"/>
        <v>-136.89099999999999</v>
      </c>
      <c r="BS287" s="23">
        <f>BS286-BS256</f>
        <v>-91.05</v>
      </c>
      <c r="BT287" s="23">
        <f t="shared" si="814"/>
        <v>-124.58785240146749</v>
      </c>
      <c r="BU287" s="23">
        <f t="shared" si="814"/>
        <v>-84.703905707733469</v>
      </c>
      <c r="BV287" s="23">
        <f t="shared" si="814"/>
        <v>-117.42402784398659</v>
      </c>
      <c r="BW287" s="23">
        <f t="shared" si="814"/>
        <v>-174.12887529507259</v>
      </c>
      <c r="BX287" s="23">
        <f t="shared" ref="BX287:CE287" si="815">BX286-BX256</f>
        <v>-243.06475746139793</v>
      </c>
      <c r="BY287" s="23">
        <f t="shared" si="815"/>
        <v>-314.28357657214775</v>
      </c>
      <c r="BZ287" s="23">
        <f t="shared" si="815"/>
        <v>-283.3724042500433</v>
      </c>
      <c r="CA287" s="23">
        <f t="shared" si="815"/>
        <v>-247.03121267382912</v>
      </c>
      <c r="CB287" s="23">
        <f t="shared" si="815"/>
        <v>-319.13932111362828</v>
      </c>
      <c r="CC287" s="23">
        <f t="shared" si="815"/>
        <v>-405.18937145381756</v>
      </c>
      <c r="CD287" s="23">
        <f t="shared" si="815"/>
        <v>-490.6946584958913</v>
      </c>
      <c r="CE287" s="23">
        <f t="shared" si="815"/>
        <v>-576.20673404316972</v>
      </c>
      <c r="CF287" s="4"/>
      <c r="CG287" s="4"/>
      <c r="CH287" s="4"/>
      <c r="CI287" s="4"/>
      <c r="CJ287" s="4"/>
      <c r="CK287" s="4"/>
      <c r="CL287" s="4"/>
      <c r="CM287" s="4"/>
      <c r="CN287" s="240">
        <f t="shared" si="760"/>
        <v>280</v>
      </c>
    </row>
    <row r="288" spans="1:99" outlineLevel="1">
      <c r="A288" s="143"/>
      <c r="B288" s="86" t="s">
        <v>196</v>
      </c>
      <c r="C288" s="126">
        <f t="shared" ref="C288:N288" si="816">C286/C285</f>
        <v>9.5986108976588561E-2</v>
      </c>
      <c r="D288" s="126">
        <f t="shared" si="816"/>
        <v>0.27648531304360124</v>
      </c>
      <c r="E288" s="126">
        <f t="shared" si="816"/>
        <v>0.27977624315594657</v>
      </c>
      <c r="F288" s="126">
        <f t="shared" si="816"/>
        <v>0.180591692782132</v>
      </c>
      <c r="G288" s="126">
        <f t="shared" si="816"/>
        <v>0.18367176908103522</v>
      </c>
      <c r="H288" s="126">
        <f t="shared" si="816"/>
        <v>0.21047901835816013</v>
      </c>
      <c r="I288" s="126">
        <f t="shared" si="816"/>
        <v>0.10633730590957154</v>
      </c>
      <c r="J288" s="126">
        <f t="shared" si="816"/>
        <v>5.2152539818904463E-2</v>
      </c>
      <c r="K288" s="126">
        <f t="shared" si="816"/>
        <v>0.1723103089919118</v>
      </c>
      <c r="L288" s="126">
        <f t="shared" si="816"/>
        <v>0</v>
      </c>
      <c r="M288" s="126">
        <f t="shared" si="816"/>
        <v>0</v>
      </c>
      <c r="N288" s="126">
        <f t="shared" si="816"/>
        <v>0</v>
      </c>
      <c r="O288" s="126">
        <f>O286/O285</f>
        <v>0</v>
      </c>
      <c r="P288" s="126">
        <f>P286/P285</f>
        <v>0</v>
      </c>
      <c r="Q288" s="126">
        <f>Q286/Q285</f>
        <v>0</v>
      </c>
      <c r="R288" s="126"/>
      <c r="S288" s="57"/>
      <c r="T288" s="126"/>
      <c r="U288" s="126"/>
      <c r="V288" s="126"/>
      <c r="W288" s="126">
        <f>W286/W285</f>
        <v>0</v>
      </c>
      <c r="X288" s="126">
        <f>X286/X285</f>
        <v>0</v>
      </c>
      <c r="Y288" s="126">
        <f t="shared" ref="Y288:BW288" si="817">Y286/Y285</f>
        <v>0</v>
      </c>
      <c r="Z288" s="126">
        <f t="shared" si="817"/>
        <v>2.1252320977159355E-2</v>
      </c>
      <c r="AA288" s="126">
        <f t="shared" si="817"/>
        <v>9.5986108976588561E-2</v>
      </c>
      <c r="AB288" s="126">
        <f t="shared" si="817"/>
        <v>0.18110284681366126</v>
      </c>
      <c r="AC288" s="126">
        <f t="shared" si="817"/>
        <v>0.24810181789346389</v>
      </c>
      <c r="AD288" s="126">
        <f t="shared" si="817"/>
        <v>0.27602896588812342</v>
      </c>
      <c r="AE288" s="126">
        <f t="shared" si="817"/>
        <v>0.27648531304360124</v>
      </c>
      <c r="AF288" s="126">
        <f t="shared" si="817"/>
        <v>0.28973410618613599</v>
      </c>
      <c r="AG288" s="126">
        <f t="shared" si="817"/>
        <v>0.29688188638311502</v>
      </c>
      <c r="AH288" s="126">
        <f t="shared" si="817"/>
        <v>0.29453258028631235</v>
      </c>
      <c r="AI288" s="126">
        <f t="shared" si="817"/>
        <v>0.27977624315594657</v>
      </c>
      <c r="AJ288" s="126">
        <f t="shared" si="817"/>
        <v>0.228996287667729</v>
      </c>
      <c r="AK288" s="126">
        <f t="shared" si="817"/>
        <v>0.22303376465830974</v>
      </c>
      <c r="AL288" s="126">
        <f t="shared" si="817"/>
        <v>0.19614224694087423</v>
      </c>
      <c r="AM288" s="126">
        <f t="shared" si="817"/>
        <v>0.180591692782132</v>
      </c>
      <c r="AN288" s="126">
        <f t="shared" si="817"/>
        <v>0.21425920302324797</v>
      </c>
      <c r="AO288" s="126">
        <f t="shared" si="817"/>
        <v>0.18365849172398596</v>
      </c>
      <c r="AP288" s="126">
        <f t="shared" si="817"/>
        <v>0.18094028803421661</v>
      </c>
      <c r="AQ288" s="126">
        <f t="shared" si="817"/>
        <v>0.18367176908103522</v>
      </c>
      <c r="AR288" s="126">
        <f t="shared" si="817"/>
        <v>0.20478132962958914</v>
      </c>
      <c r="AS288" s="126">
        <f t="shared" si="817"/>
        <v>0.211261417392026</v>
      </c>
      <c r="AT288" s="126">
        <f t="shared" si="817"/>
        <v>0.16379177970005629</v>
      </c>
      <c r="AU288" s="126">
        <f t="shared" si="817"/>
        <v>0.21047901835816013</v>
      </c>
      <c r="AV288" s="126">
        <f t="shared" si="817"/>
        <v>0.1842645419171258</v>
      </c>
      <c r="AW288" s="126">
        <f t="shared" si="817"/>
        <v>0.15900857173985805</v>
      </c>
      <c r="AX288" s="126">
        <f t="shared" si="817"/>
        <v>8.4404524566557046E-2</v>
      </c>
      <c r="AY288" s="126">
        <f t="shared" si="817"/>
        <v>0.10633730590957154</v>
      </c>
      <c r="AZ288" s="126">
        <f t="shared" si="817"/>
        <v>8.7592204293817838E-2</v>
      </c>
      <c r="BA288" s="126">
        <f t="shared" si="817"/>
        <v>6.8268608529309271E-2</v>
      </c>
      <c r="BB288" s="126">
        <f t="shared" si="817"/>
        <v>5.1484898597787751E-2</v>
      </c>
      <c r="BC288" s="126">
        <f t="shared" si="817"/>
        <v>5.2152539818904463E-2</v>
      </c>
      <c r="BD288" s="126">
        <f t="shared" si="817"/>
        <v>7.6290326235563366E-2</v>
      </c>
      <c r="BE288" s="126">
        <f t="shared" si="817"/>
        <v>0.11395912561955518</v>
      </c>
      <c r="BF288" s="126">
        <f t="shared" si="817"/>
        <v>0.1253148329066858</v>
      </c>
      <c r="BG288" s="126">
        <f t="shared" si="817"/>
        <v>0.1723103089919118</v>
      </c>
      <c r="BH288" s="126">
        <f t="shared" si="817"/>
        <v>0.12778240856700571</v>
      </c>
      <c r="BI288" s="126">
        <f t="shared" ref="BI288:BO288" si="818">BI286/BI285</f>
        <v>5.1074756138971701E-2</v>
      </c>
      <c r="BJ288" s="126">
        <f t="shared" si="818"/>
        <v>1.9375820367266192E-2</v>
      </c>
      <c r="BK288" s="126">
        <f t="shared" si="818"/>
        <v>0</v>
      </c>
      <c r="BL288" s="126">
        <f t="shared" si="818"/>
        <v>0</v>
      </c>
      <c r="BM288" s="126">
        <f t="shared" si="818"/>
        <v>0</v>
      </c>
      <c r="BN288" s="126">
        <f t="shared" si="818"/>
        <v>0</v>
      </c>
      <c r="BO288" s="126">
        <f t="shared" si="818"/>
        <v>0</v>
      </c>
      <c r="BP288" s="126">
        <f>BP286/BP285</f>
        <v>0</v>
      </c>
      <c r="BQ288" s="126">
        <f>BQ286/BQ285</f>
        <v>0</v>
      </c>
      <c r="BR288" s="126">
        <f>BR286/BR285</f>
        <v>0</v>
      </c>
      <c r="BS288" s="126">
        <f>BS286/BS285</f>
        <v>0</v>
      </c>
      <c r="BT288" s="126">
        <f t="shared" si="817"/>
        <v>0</v>
      </c>
      <c r="BU288" s="126">
        <f t="shared" si="817"/>
        <v>0</v>
      </c>
      <c r="BV288" s="126">
        <f t="shared" si="817"/>
        <v>0</v>
      </c>
      <c r="BW288" s="126">
        <f t="shared" si="817"/>
        <v>0</v>
      </c>
      <c r="BX288" s="126">
        <f t="shared" ref="BX288:CE288" si="819">BX286/BX285</f>
        <v>0</v>
      </c>
      <c r="BY288" s="126">
        <f t="shared" si="819"/>
        <v>0</v>
      </c>
      <c r="BZ288" s="126">
        <f t="shared" si="819"/>
        <v>0</v>
      </c>
      <c r="CA288" s="126">
        <f t="shared" si="819"/>
        <v>0</v>
      </c>
      <c r="CB288" s="126">
        <f t="shared" si="819"/>
        <v>0</v>
      </c>
      <c r="CC288" s="126">
        <f t="shared" si="819"/>
        <v>0</v>
      </c>
      <c r="CD288" s="126">
        <f t="shared" si="819"/>
        <v>0</v>
      </c>
      <c r="CE288" s="126">
        <f t="shared" si="819"/>
        <v>0</v>
      </c>
      <c r="CF288" s="4"/>
      <c r="CG288" s="4"/>
      <c r="CH288" s="4"/>
      <c r="CI288" s="4"/>
      <c r="CJ288" s="4"/>
      <c r="CK288" s="4"/>
      <c r="CL288" s="4"/>
      <c r="CM288" s="4"/>
      <c r="CN288" s="240">
        <f t="shared" si="760"/>
        <v>281</v>
      </c>
    </row>
    <row r="289" spans="1:92" outlineLevel="1">
      <c r="A289" s="143"/>
      <c r="B289" s="10" t="s">
        <v>197</v>
      </c>
      <c r="C289" s="57">
        <f t="shared" ref="C289:N289" si="820">C287/C285</f>
        <v>8.8628072701388838E-2</v>
      </c>
      <c r="D289" s="57">
        <f t="shared" si="820"/>
        <v>0.26528094019148907</v>
      </c>
      <c r="E289" s="57">
        <f t="shared" si="820"/>
        <v>0.27490561861903279</v>
      </c>
      <c r="F289" s="57">
        <f t="shared" si="820"/>
        <v>0.17161410575113542</v>
      </c>
      <c r="G289" s="57">
        <f t="shared" si="820"/>
        <v>0.16998538199940924</v>
      </c>
      <c r="H289" s="57">
        <f t="shared" si="820"/>
        <v>0.20282495351447161</v>
      </c>
      <c r="I289" s="57">
        <f t="shared" si="820"/>
        <v>9.2262023072213956E-2</v>
      </c>
      <c r="J289" s="57">
        <f t="shared" si="820"/>
        <v>4.3639836321259645E-2</v>
      </c>
      <c r="K289" s="57">
        <f t="shared" si="820"/>
        <v>0.16481001349316365</v>
      </c>
      <c r="L289" s="57">
        <f t="shared" si="820"/>
        <v>-6.8462985190295728E-2</v>
      </c>
      <c r="M289" s="57">
        <f t="shared" si="820"/>
        <v>-0.16340501165717855</v>
      </c>
      <c r="N289" s="57">
        <f t="shared" si="820"/>
        <v>-9.9868706379422106E-2</v>
      </c>
      <c r="O289" s="57">
        <f>O287/O285</f>
        <v>-0.15051709549879139</v>
      </c>
      <c r="P289" s="57">
        <f>P287/P285</f>
        <v>-0.16822692900705943</v>
      </c>
      <c r="Q289" s="57">
        <f>Q287/Q285</f>
        <v>-0.32053898508430784</v>
      </c>
      <c r="R289" s="57"/>
      <c r="S289" s="57"/>
      <c r="T289" s="57"/>
      <c r="U289" s="57"/>
      <c r="V289" s="57"/>
      <c r="W289" s="57">
        <f>W287/W285</f>
        <v>-5.5092236162425104E-2</v>
      </c>
      <c r="X289" s="57">
        <f>X287/X285</f>
        <v>-2.8976296400913305E-2</v>
      </c>
      <c r="Y289" s="57">
        <f t="shared" ref="Y289:BW289" si="821">Y287/Y285</f>
        <v>-1.0476921155458811E-2</v>
      </c>
      <c r="Z289" s="57">
        <f t="shared" si="821"/>
        <v>-1.1664807754380676E-3</v>
      </c>
      <c r="AA289" s="57">
        <f t="shared" si="821"/>
        <v>8.8628072701388838E-2</v>
      </c>
      <c r="AB289" s="57">
        <f t="shared" si="821"/>
        <v>0.17201465234863839</v>
      </c>
      <c r="AC289" s="57">
        <f t="shared" si="821"/>
        <v>0.23873877445829944</v>
      </c>
      <c r="AD289" s="57">
        <f t="shared" si="821"/>
        <v>0.25812092609247939</v>
      </c>
      <c r="AE289" s="57">
        <f t="shared" si="821"/>
        <v>0.26528094019148907</v>
      </c>
      <c r="AF289" s="57">
        <f t="shared" si="821"/>
        <v>0.2700414420034758</v>
      </c>
      <c r="AG289" s="57">
        <f t="shared" si="821"/>
        <v>0.28219960936165922</v>
      </c>
      <c r="AH289" s="57">
        <f t="shared" si="821"/>
        <v>0.2893068486759523</v>
      </c>
      <c r="AI289" s="57">
        <f t="shared" si="821"/>
        <v>0.27490561861903279</v>
      </c>
      <c r="AJ289" s="57">
        <f t="shared" si="821"/>
        <v>0.22500051848216074</v>
      </c>
      <c r="AK289" s="57">
        <f t="shared" si="821"/>
        <v>0.21795751256426549</v>
      </c>
      <c r="AL289" s="57">
        <f t="shared" si="821"/>
        <v>0.18973897771084569</v>
      </c>
      <c r="AM289" s="57">
        <f t="shared" si="821"/>
        <v>0.17161410575113542</v>
      </c>
      <c r="AN289" s="57">
        <f t="shared" si="821"/>
        <v>0.20709660971833255</v>
      </c>
      <c r="AO289" s="57">
        <f t="shared" si="821"/>
        <v>0.17695136009265786</v>
      </c>
      <c r="AP289" s="57">
        <f t="shared" si="821"/>
        <v>0.1755371403749123</v>
      </c>
      <c r="AQ289" s="57">
        <f t="shared" si="821"/>
        <v>0.16998538199940924</v>
      </c>
      <c r="AR289" s="57">
        <f t="shared" si="821"/>
        <v>0.18881713492054816</v>
      </c>
      <c r="AS289" s="57">
        <f t="shared" si="821"/>
        <v>0.2024863186569095</v>
      </c>
      <c r="AT289" s="57">
        <f t="shared" si="821"/>
        <v>0.15568362128734753</v>
      </c>
      <c r="AU289" s="57">
        <f t="shared" si="821"/>
        <v>0.20282495351447161</v>
      </c>
      <c r="AV289" s="57">
        <f t="shared" si="821"/>
        <v>0.17842066534990897</v>
      </c>
      <c r="AW289" s="57">
        <f t="shared" si="821"/>
        <v>0.14992348939403011</v>
      </c>
      <c r="AX289" s="57">
        <f t="shared" si="821"/>
        <v>7.3168739468342264E-2</v>
      </c>
      <c r="AY289" s="57">
        <f t="shared" si="821"/>
        <v>9.2262023072213956E-2</v>
      </c>
      <c r="AZ289" s="57">
        <f t="shared" si="821"/>
        <v>7.7310119399373448E-2</v>
      </c>
      <c r="BA289" s="57">
        <f t="shared" si="821"/>
        <v>5.7846470807550586E-2</v>
      </c>
      <c r="BB289" s="57">
        <f t="shared" si="821"/>
        <v>2.8510013011455889E-2</v>
      </c>
      <c r="BC289" s="57">
        <f t="shared" si="821"/>
        <v>4.3639836321259645E-2</v>
      </c>
      <c r="BD289" s="57">
        <f t="shared" si="821"/>
        <v>3.4469442325268711E-2</v>
      </c>
      <c r="BE289" s="57">
        <f t="shared" si="821"/>
        <v>9.4736979042448474E-2</v>
      </c>
      <c r="BF289" s="57">
        <f t="shared" si="821"/>
        <v>0.11828895786700964</v>
      </c>
      <c r="BG289" s="57">
        <f t="shared" si="821"/>
        <v>0.16481001349316365</v>
      </c>
      <c r="BH289" s="57">
        <f t="shared" si="821"/>
        <v>0.11507315050156237</v>
      </c>
      <c r="BI289" s="57">
        <f t="shared" ref="BI289:BO289" si="822">BI287/BI285</f>
        <v>3.7265035189483611E-2</v>
      </c>
      <c r="BJ289" s="57">
        <f t="shared" si="822"/>
        <v>1.1915632709961856E-2</v>
      </c>
      <c r="BK289" s="57">
        <f t="shared" si="822"/>
        <v>-6.8462985190295728E-2</v>
      </c>
      <c r="BL289" s="57">
        <f t="shared" si="822"/>
        <v>-0.11774982795603067</v>
      </c>
      <c r="BM289" s="57">
        <f t="shared" si="822"/>
        <v>-0.16173060002814621</v>
      </c>
      <c r="BN289" s="57">
        <f t="shared" si="822"/>
        <v>-0.16601258041799452</v>
      </c>
      <c r="BO289" s="57">
        <f t="shared" si="822"/>
        <v>-0.16340501165717855</v>
      </c>
      <c r="BP289" s="57">
        <f>BP287/BP285</f>
        <v>-0.12939198224881379</v>
      </c>
      <c r="BQ289" s="57">
        <f>BQ287/BQ285</f>
        <v>-0.14830881598847592</v>
      </c>
      <c r="BR289" s="57">
        <f>BR287/BR285</f>
        <v>-0.155231087267379</v>
      </c>
      <c r="BS289" s="57">
        <f>BS287/BS285</f>
        <v>-9.9868706379422106E-2</v>
      </c>
      <c r="BT289" s="57">
        <f t="shared" si="821"/>
        <v>-0.13090071988888691</v>
      </c>
      <c r="BU289" s="57">
        <f t="shared" si="821"/>
        <v>-8.3231274119487914E-2</v>
      </c>
      <c r="BV289" s="57">
        <f t="shared" si="821"/>
        <v>-0.10833524134099412</v>
      </c>
      <c r="BW289" s="57">
        <f t="shared" si="821"/>
        <v>-0.15051709549879139</v>
      </c>
      <c r="BX289" s="57">
        <f t="shared" ref="BX289:CE289" si="823">BX287/BX285</f>
        <v>-0.19747472331945801</v>
      </c>
      <c r="BY289" s="57">
        <f t="shared" si="823"/>
        <v>-0.2407323520210663</v>
      </c>
      <c r="BZ289" s="57">
        <f t="shared" si="823"/>
        <v>-0.20450902111481703</v>
      </c>
      <c r="CA289" s="57">
        <f t="shared" si="823"/>
        <v>-0.16822692900705943</v>
      </c>
      <c r="CB289" s="57">
        <f t="shared" si="823"/>
        <v>-0.20595723845201463</v>
      </c>
      <c r="CC289" s="57">
        <f t="shared" si="823"/>
        <v>-0.24840086953131871</v>
      </c>
      <c r="CD289" s="57">
        <f t="shared" si="823"/>
        <v>-0.28631667577945497</v>
      </c>
      <c r="CE289" s="57">
        <f t="shared" si="823"/>
        <v>-0.32053898508430784</v>
      </c>
      <c r="CF289" s="4"/>
      <c r="CG289" s="4"/>
      <c r="CH289" s="4"/>
      <c r="CI289" s="4"/>
      <c r="CJ289" s="4"/>
      <c r="CK289" s="4"/>
      <c r="CL289" s="4"/>
      <c r="CM289" s="4"/>
      <c r="CN289" s="240">
        <f t="shared" si="760"/>
        <v>282</v>
      </c>
    </row>
    <row r="290" spans="1:92" outlineLevel="1">
      <c r="A290" s="143"/>
      <c r="B290" s="10" t="s">
        <v>198</v>
      </c>
      <c r="C290" s="57">
        <f t="shared" ref="C290:N290" si="824">C287/C280</f>
        <v>9.8038396955444154E-2</v>
      </c>
      <c r="D290" s="57">
        <f t="shared" si="824"/>
        <v>0.36665591587013041</v>
      </c>
      <c r="E290" s="57">
        <f t="shared" si="824"/>
        <v>0.38169473862350917</v>
      </c>
      <c r="F290" s="57">
        <f t="shared" si="824"/>
        <v>0.20943661937455302</v>
      </c>
      <c r="G290" s="57">
        <f t="shared" si="824"/>
        <v>0.2082316592286067</v>
      </c>
      <c r="H290" s="57">
        <f t="shared" si="824"/>
        <v>0.25689621711216487</v>
      </c>
      <c r="I290" s="57">
        <f t="shared" si="824"/>
        <v>0.1032403206291591</v>
      </c>
      <c r="J290" s="57">
        <f t="shared" si="824"/>
        <v>4.6040990934260478E-2</v>
      </c>
      <c r="K290" s="57">
        <f t="shared" si="824"/>
        <v>0.19912053428191498</v>
      </c>
      <c r="L290" s="57">
        <f t="shared" si="824"/>
        <v>-6.8462985190295728E-2</v>
      </c>
      <c r="M290" s="57">
        <f t="shared" si="824"/>
        <v>-0.16340501165717855</v>
      </c>
      <c r="N290" s="57">
        <f t="shared" si="824"/>
        <v>-9.9868706379422106E-2</v>
      </c>
      <c r="O290" s="57">
        <f>O287/O280</f>
        <v>-0.15051709549879139</v>
      </c>
      <c r="P290" s="57">
        <f>P287/P280</f>
        <v>-0.16822692900705943</v>
      </c>
      <c r="Q290" s="57">
        <f>Q287/Q280</f>
        <v>-0.32053898508430784</v>
      </c>
      <c r="R290" s="57"/>
      <c r="S290" s="57"/>
      <c r="T290" s="57"/>
      <c r="U290" s="57"/>
      <c r="V290" s="57"/>
      <c r="W290" s="57">
        <f>W287/W280</f>
        <v>-5.5092236162425104E-2</v>
      </c>
      <c r="X290" s="57">
        <f>X287/X280</f>
        <v>-2.8976296400913305E-2</v>
      </c>
      <c r="Y290" s="57">
        <f t="shared" ref="Y290:BW290" si="825">Y287/Y280</f>
        <v>-1.0476921155458811E-2</v>
      </c>
      <c r="Z290" s="57">
        <f t="shared" si="825"/>
        <v>-1.191809493334028E-3</v>
      </c>
      <c r="AA290" s="57">
        <f t="shared" si="825"/>
        <v>9.8038396955444154E-2</v>
      </c>
      <c r="AB290" s="57">
        <f t="shared" si="825"/>
        <v>0.21005647861801363</v>
      </c>
      <c r="AC290" s="57">
        <f t="shared" si="825"/>
        <v>0.31751476481754903</v>
      </c>
      <c r="AD290" s="57">
        <f t="shared" si="825"/>
        <v>0.35653488044466636</v>
      </c>
      <c r="AE290" s="57">
        <f t="shared" si="825"/>
        <v>0.36665591587013041</v>
      </c>
      <c r="AF290" s="57">
        <f t="shared" si="825"/>
        <v>0.38019767576541447</v>
      </c>
      <c r="AG290" s="57">
        <f t="shared" si="825"/>
        <v>0.40135448638921595</v>
      </c>
      <c r="AH290" s="57">
        <f t="shared" si="825"/>
        <v>0.41009243033982601</v>
      </c>
      <c r="AI290" s="57">
        <f t="shared" si="825"/>
        <v>0.38169473862350917</v>
      </c>
      <c r="AJ290" s="57">
        <f t="shared" si="825"/>
        <v>0.29182806111469767</v>
      </c>
      <c r="AK290" s="57">
        <f t="shared" si="825"/>
        <v>0.28052378938759576</v>
      </c>
      <c r="AL290" s="57">
        <f t="shared" si="825"/>
        <v>0.23603551373210416</v>
      </c>
      <c r="AM290" s="57">
        <f t="shared" si="825"/>
        <v>0.20943661937455302</v>
      </c>
      <c r="AN290" s="57">
        <f t="shared" si="825"/>
        <v>0.26356861004947918</v>
      </c>
      <c r="AO290" s="57">
        <f t="shared" si="825"/>
        <v>0.21676143905306436</v>
      </c>
      <c r="AP290" s="57">
        <f t="shared" si="825"/>
        <v>0.21431543733681463</v>
      </c>
      <c r="AQ290" s="57">
        <f t="shared" si="825"/>
        <v>0.2082316592286067</v>
      </c>
      <c r="AR290" s="57">
        <f t="shared" si="825"/>
        <v>0.2374405203949721</v>
      </c>
      <c r="AS290" s="57">
        <f t="shared" si="825"/>
        <v>0.25672171125112958</v>
      </c>
      <c r="AT290" s="57">
        <f t="shared" si="825"/>
        <v>0.18617805650308558</v>
      </c>
      <c r="AU290" s="57">
        <f t="shared" si="825"/>
        <v>0.25689621711216487</v>
      </c>
      <c r="AV290" s="57">
        <f t="shared" si="825"/>
        <v>0.21872368496672906</v>
      </c>
      <c r="AW290" s="57">
        <f t="shared" si="825"/>
        <v>0.17826993754763293</v>
      </c>
      <c r="AX290" s="57">
        <f t="shared" si="825"/>
        <v>7.9913828138681198E-2</v>
      </c>
      <c r="AY290" s="57">
        <f t="shared" si="825"/>
        <v>0.1032403206291591</v>
      </c>
      <c r="AZ290" s="57">
        <f t="shared" si="825"/>
        <v>8.4731980330721782E-2</v>
      </c>
      <c r="BA290" s="57">
        <f t="shared" si="825"/>
        <v>6.2084922046302282E-2</v>
      </c>
      <c r="BB290" s="57">
        <f t="shared" si="825"/>
        <v>3.0057521455703617E-2</v>
      </c>
      <c r="BC290" s="57">
        <f t="shared" si="825"/>
        <v>4.6040990934260478E-2</v>
      </c>
      <c r="BD290" s="57">
        <f t="shared" si="825"/>
        <v>3.7316316267203095E-2</v>
      </c>
      <c r="BE290" s="57">
        <f t="shared" si="825"/>
        <v>0.10692168023139152</v>
      </c>
      <c r="BF290" s="57">
        <f t="shared" si="825"/>
        <v>0.13523603956849792</v>
      </c>
      <c r="BG290" s="57">
        <f t="shared" si="825"/>
        <v>0.19912053428191498</v>
      </c>
      <c r="BH290" s="57">
        <f t="shared" si="825"/>
        <v>0.13193170102486124</v>
      </c>
      <c r="BI290" s="57">
        <f t="shared" ref="BI290:BO290" si="826">BI287/BI280</f>
        <v>3.9270780739121262E-2</v>
      </c>
      <c r="BJ290" s="57">
        <f t="shared" si="826"/>
        <v>1.2151069652825135E-2</v>
      </c>
      <c r="BK290" s="57">
        <f t="shared" si="826"/>
        <v>-6.8462985190295728E-2</v>
      </c>
      <c r="BL290" s="57">
        <f t="shared" si="826"/>
        <v>-0.11774982795603067</v>
      </c>
      <c r="BM290" s="57">
        <f t="shared" si="826"/>
        <v>-0.16173060002814621</v>
      </c>
      <c r="BN290" s="57">
        <f t="shared" si="826"/>
        <v>-0.16601258041799452</v>
      </c>
      <c r="BO290" s="57">
        <f t="shared" si="826"/>
        <v>-0.16340501165717855</v>
      </c>
      <c r="BP290" s="57">
        <f>BP287/BP280</f>
        <v>-0.12939198224881379</v>
      </c>
      <c r="BQ290" s="57">
        <f>BQ287/BQ280</f>
        <v>-0.14830881598847592</v>
      </c>
      <c r="BR290" s="57">
        <f>BR287/BR280</f>
        <v>-0.155231087267379</v>
      </c>
      <c r="BS290" s="57">
        <f>BS287/BS280</f>
        <v>-9.9868706379422106E-2</v>
      </c>
      <c r="BT290" s="57">
        <f t="shared" si="825"/>
        <v>-0.13090071988888691</v>
      </c>
      <c r="BU290" s="57">
        <f t="shared" si="825"/>
        <v>-8.3231274119487914E-2</v>
      </c>
      <c r="BV290" s="57">
        <f t="shared" si="825"/>
        <v>-0.10833524134099412</v>
      </c>
      <c r="BW290" s="57">
        <f t="shared" si="825"/>
        <v>-0.15051709549879139</v>
      </c>
      <c r="BX290" s="57">
        <f t="shared" ref="BX290:CE290" si="827">BX287/BX280</f>
        <v>-0.19747472331945801</v>
      </c>
      <c r="BY290" s="57">
        <f t="shared" si="827"/>
        <v>-0.2407323520210663</v>
      </c>
      <c r="BZ290" s="57">
        <f t="shared" si="827"/>
        <v>-0.20450902111481703</v>
      </c>
      <c r="CA290" s="57">
        <f t="shared" si="827"/>
        <v>-0.16822692900705943</v>
      </c>
      <c r="CB290" s="57">
        <f t="shared" si="827"/>
        <v>-0.20595723845201463</v>
      </c>
      <c r="CC290" s="57">
        <f t="shared" si="827"/>
        <v>-0.24840086953131871</v>
      </c>
      <c r="CD290" s="57">
        <f t="shared" si="827"/>
        <v>-0.28631667577945497</v>
      </c>
      <c r="CE290" s="57">
        <f t="shared" si="827"/>
        <v>-0.32053898508430784</v>
      </c>
      <c r="CF290" s="4"/>
      <c r="CG290" s="4"/>
      <c r="CH290" s="4"/>
      <c r="CI290" s="4"/>
      <c r="CJ290" s="4"/>
      <c r="CK290" s="4"/>
      <c r="CL290" s="4"/>
      <c r="CM290" s="4"/>
      <c r="CN290" s="240">
        <f t="shared" si="760"/>
        <v>283</v>
      </c>
    </row>
    <row r="291" spans="1:92" outlineLevel="1">
      <c r="A291" s="143"/>
      <c r="B291" s="86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4"/>
      <c r="T291" s="87"/>
      <c r="U291" s="87"/>
      <c r="V291" s="87"/>
      <c r="W291" s="87"/>
      <c r="X291" s="87"/>
      <c r="Y291" s="87"/>
      <c r="Z291" s="87"/>
      <c r="AA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  <c r="AL291" s="87"/>
      <c r="AM291" s="87"/>
      <c r="AN291" s="87"/>
      <c r="AO291" s="87"/>
      <c r="AP291" s="87"/>
      <c r="AQ291" s="87"/>
      <c r="AR291" s="87"/>
      <c r="AS291" s="87"/>
      <c r="AT291" s="87"/>
      <c r="AU291" s="87"/>
      <c r="AV291" s="87"/>
      <c r="AW291" s="87"/>
      <c r="AX291" s="87"/>
      <c r="AY291" s="87"/>
      <c r="AZ291" s="87"/>
      <c r="BA291" s="87"/>
      <c r="BB291" s="87"/>
      <c r="BC291" s="87"/>
      <c r="BD291" s="87"/>
      <c r="BE291" s="87"/>
      <c r="BF291" s="87"/>
      <c r="BG291" s="87"/>
      <c r="BH291" s="87"/>
      <c r="BI291" s="87"/>
      <c r="BJ291" s="87"/>
      <c r="BK291" s="87"/>
      <c r="BL291" s="87"/>
      <c r="BM291" s="150"/>
      <c r="BN291" s="150"/>
      <c r="BO291" s="150"/>
      <c r="BP291" s="150"/>
      <c r="BQ291" s="150"/>
      <c r="BR291" s="150"/>
      <c r="BS291" s="150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240">
        <f t="shared" si="760"/>
        <v>284</v>
      </c>
    </row>
    <row r="292" spans="1:92" outlineLevel="1">
      <c r="A292" s="143"/>
      <c r="B292" s="86" t="s">
        <v>199</v>
      </c>
      <c r="C292" s="88">
        <f t="shared" ref="C292:Q292" si="828">C287/C18</f>
        <v>0.15041044741971793</v>
      </c>
      <c r="D292" s="88">
        <f t="shared" si="828"/>
        <v>0.7004027985867044</v>
      </c>
      <c r="E292" s="88">
        <f t="shared" si="828"/>
        <v>0.66904366017969907</v>
      </c>
      <c r="F292" s="88">
        <f t="shared" si="828"/>
        <v>0.89029413290449733</v>
      </c>
      <c r="G292" s="88">
        <f t="shared" si="828"/>
        <v>0.30456212155343915</v>
      </c>
      <c r="H292" s="88">
        <f t="shared" si="828"/>
        <v>0.29423550314876318</v>
      </c>
      <c r="I292" s="88">
        <f t="shared" si="828"/>
        <v>0.13994374332969547</v>
      </c>
      <c r="J292" s="88">
        <f t="shared" si="828"/>
        <v>8.9574061279904887E-2</v>
      </c>
      <c r="K292" s="88">
        <f t="shared" si="828"/>
        <v>0.33226512754253351</v>
      </c>
      <c r="L292" s="88">
        <f t="shared" si="828"/>
        <v>-0.53375031724070177</v>
      </c>
      <c r="M292" s="88">
        <f t="shared" si="828"/>
        <v>4.7759382698159687</v>
      </c>
      <c r="N292" s="88">
        <f t="shared" si="828"/>
        <v>-0.23635599028097937</v>
      </c>
      <c r="O292" s="88">
        <f t="shared" si="828"/>
        <v>-0.28302409416116947</v>
      </c>
      <c r="P292" s="88">
        <f t="shared" si="828"/>
        <v>-0.33291074910915108</v>
      </c>
      <c r="Q292" s="88">
        <f t="shared" si="828"/>
        <v>-0.70664918570992652</v>
      </c>
      <c r="R292" s="88"/>
      <c r="S292" s="4"/>
      <c r="T292" s="87"/>
      <c r="U292" s="87"/>
      <c r="V292" s="87"/>
      <c r="W292" s="88">
        <f t="shared" ref="W292:BB292" si="829">W287/SUM(T18:W18)</f>
        <v>-0.10173785960508966</v>
      </c>
      <c r="X292" s="88">
        <f t="shared" si="829"/>
        <v>-4.8890271590555555E-2</v>
      </c>
      <c r="Y292" s="88">
        <f t="shared" si="829"/>
        <v>-1.662627132081455E-2</v>
      </c>
      <c r="Z292" s="88">
        <f t="shared" si="829"/>
        <v>-1.8468762491714319E-3</v>
      </c>
      <c r="AA292" s="88">
        <f t="shared" si="829"/>
        <v>0.15041044741971793</v>
      </c>
      <c r="AB292" s="88">
        <f t="shared" si="829"/>
        <v>0.33236145183240773</v>
      </c>
      <c r="AC292" s="88">
        <f t="shared" si="829"/>
        <v>0.52625898023038331</v>
      </c>
      <c r="AD292" s="88">
        <f t="shared" si="829"/>
        <v>0.64345579023765598</v>
      </c>
      <c r="AE292" s="88">
        <f t="shared" si="829"/>
        <v>0.70040279858670429</v>
      </c>
      <c r="AF292" s="88">
        <f t="shared" si="829"/>
        <v>0.75825825825825821</v>
      </c>
      <c r="AG292" s="88">
        <f t="shared" si="829"/>
        <v>0.79768127134733591</v>
      </c>
      <c r="AH292" s="88">
        <f t="shared" si="829"/>
        <v>0.7410582539663183</v>
      </c>
      <c r="AI292" s="88">
        <f t="shared" si="829"/>
        <v>0.66904366017969907</v>
      </c>
      <c r="AJ292" s="88">
        <f t="shared" si="829"/>
        <v>0.53429970327627319</v>
      </c>
      <c r="AK292" s="88">
        <f t="shared" si="829"/>
        <v>0.63305421999444222</v>
      </c>
      <c r="AL292" s="88">
        <f t="shared" si="829"/>
        <v>0.71959128821630469</v>
      </c>
      <c r="AM292" s="88">
        <f t="shared" si="829"/>
        <v>0.89029413290449744</v>
      </c>
      <c r="AN292" s="88">
        <f t="shared" si="829"/>
        <v>0.97438769480433574</v>
      </c>
      <c r="AO292" s="88">
        <f t="shared" si="829"/>
        <v>0.52591782720005198</v>
      </c>
      <c r="AP292" s="88">
        <f t="shared" si="829"/>
        <v>0.3856213228412349</v>
      </c>
      <c r="AQ292" s="88">
        <f t="shared" si="829"/>
        <v>0.3045621215534392</v>
      </c>
      <c r="AR292" s="88">
        <f t="shared" si="829"/>
        <v>0.30210014741713809</v>
      </c>
      <c r="AS292" s="88">
        <f t="shared" si="829"/>
        <v>0.30875708107222882</v>
      </c>
      <c r="AT292" s="88">
        <f t="shared" si="829"/>
        <v>0.21729847162032928</v>
      </c>
      <c r="AU292" s="88">
        <f t="shared" si="829"/>
        <v>0.29423550314876312</v>
      </c>
      <c r="AV292" s="88">
        <f t="shared" si="829"/>
        <v>0.24825154992370915</v>
      </c>
      <c r="AW292" s="88">
        <f t="shared" si="829"/>
        <v>0.21308378881346379</v>
      </c>
      <c r="AX292" s="88">
        <f t="shared" si="829"/>
        <v>0.10519951632406289</v>
      </c>
      <c r="AY292" s="88">
        <f t="shared" si="829"/>
        <v>0.13994374332969547</v>
      </c>
      <c r="AZ292" s="88">
        <f t="shared" si="829"/>
        <v>0.13055077612509855</v>
      </c>
      <c r="BA292" s="88">
        <f t="shared" si="829"/>
        <v>0.1056611406155479</v>
      </c>
      <c r="BB292" s="88">
        <f t="shared" si="829"/>
        <v>5.4608523480533126E-2</v>
      </c>
      <c r="BC292" s="88">
        <f t="shared" ref="BC292:CE292" si="830">BC287/SUM(AZ18:BC18)</f>
        <v>8.957406127990486E-2</v>
      </c>
      <c r="BD292" s="88">
        <f t="shared" si="830"/>
        <v>7.1835750028040088E-2</v>
      </c>
      <c r="BE292" s="88">
        <f t="shared" si="830"/>
        <v>0.1997816294394241</v>
      </c>
      <c r="BF292" s="88">
        <f t="shared" si="830"/>
        <v>0.24822195656574214</v>
      </c>
      <c r="BG292" s="88">
        <f t="shared" si="830"/>
        <v>0.33226512754253351</v>
      </c>
      <c r="BH292" s="88">
        <f t="shared" si="830"/>
        <v>0.23571089736472914</v>
      </c>
      <c r="BI292" s="88">
        <f t="shared" si="830"/>
        <v>8.914407798103885E-2</v>
      </c>
      <c r="BJ292" s="88">
        <f t="shared" si="830"/>
        <v>4.0125005855467001E-2</v>
      </c>
      <c r="BK292" s="88">
        <f t="shared" si="830"/>
        <v>-0.53375031724070177</v>
      </c>
      <c r="BL292" s="88">
        <f t="shared" si="830"/>
        <v>-2.9074680554064209</v>
      </c>
      <c r="BM292" s="88">
        <f t="shared" si="830"/>
        <v>-144.82991803278597</v>
      </c>
      <c r="BN292" s="88">
        <f t="shared" si="830"/>
        <v>5.4111033302209783</v>
      </c>
      <c r="BO292" s="88">
        <f t="shared" si="830"/>
        <v>4.7759382698159687</v>
      </c>
      <c r="BP292" s="88">
        <f t="shared" si="830"/>
        <v>-3.3902605197417515</v>
      </c>
      <c r="BQ292" s="88">
        <f t="shared" si="830"/>
        <v>-0.80759503421360068</v>
      </c>
      <c r="BR292" s="88">
        <f t="shared" si="830"/>
        <v>-0.45964803889636918</v>
      </c>
      <c r="BS292" s="88">
        <f t="shared" si="830"/>
        <v>-0.23635599028097934</v>
      </c>
      <c r="BT292" s="88">
        <f t="shared" si="830"/>
        <v>-0.27292874752344248</v>
      </c>
      <c r="BU292" s="88">
        <f t="shared" si="830"/>
        <v>-0.16765685475034112</v>
      </c>
      <c r="BV292" s="88">
        <f t="shared" si="830"/>
        <v>-0.21849066155425684</v>
      </c>
      <c r="BW292" s="88">
        <f t="shared" si="830"/>
        <v>-0.28302409416116941</v>
      </c>
      <c r="BX292" s="88">
        <f t="shared" si="830"/>
        <v>-0.35856702377465771</v>
      </c>
      <c r="BY292" s="88">
        <f t="shared" si="830"/>
        <v>-0.4464267910462445</v>
      </c>
      <c r="BZ292" s="88">
        <f t="shared" si="830"/>
        <v>-0.39271464833386749</v>
      </c>
      <c r="CA292" s="88">
        <f t="shared" si="830"/>
        <v>-0.33291074910915103</v>
      </c>
      <c r="CB292" s="88">
        <f t="shared" si="830"/>
        <v>-0.4161794269797407</v>
      </c>
      <c r="CC292" s="88">
        <f t="shared" si="830"/>
        <v>-0.51234621278142167</v>
      </c>
      <c r="CD292" s="88">
        <f t="shared" si="830"/>
        <v>-0.60690193023429284</v>
      </c>
      <c r="CE292" s="88">
        <f t="shared" si="830"/>
        <v>-0.70664918570992652</v>
      </c>
      <c r="CF292" s="4"/>
      <c r="CG292" s="4"/>
      <c r="CH292" s="4"/>
      <c r="CI292" s="4"/>
      <c r="CJ292" s="4"/>
      <c r="CK292" s="4"/>
      <c r="CL292" s="4"/>
      <c r="CM292" s="4"/>
      <c r="CN292" s="240">
        <f t="shared" si="760"/>
        <v>285</v>
      </c>
    </row>
    <row r="293" spans="1:92" outlineLevel="1">
      <c r="A293" s="143"/>
      <c r="B293" s="86" t="s">
        <v>200</v>
      </c>
      <c r="C293" s="88">
        <f t="shared" ref="C293:Q293" si="831">C287/C25</f>
        <v>0.19129842694275187</v>
      </c>
      <c r="D293" s="88">
        <f t="shared" si="831"/>
        <v>1.105469814726141</v>
      </c>
      <c r="E293" s="88">
        <f t="shared" si="831"/>
        <v>1.2438988991531388</v>
      </c>
      <c r="F293" s="88">
        <f t="shared" si="831"/>
        <v>-2.5094604474338356</v>
      </c>
      <c r="G293" s="88">
        <f t="shared" si="831"/>
        <v>0.47733392318588441</v>
      </c>
      <c r="H293" s="88">
        <f t="shared" si="831"/>
        <v>0.40109124039022603</v>
      </c>
      <c r="I293" s="88">
        <f t="shared" si="831"/>
        <v>0.20695474223448798</v>
      </c>
      <c r="J293" s="88">
        <f t="shared" si="831"/>
        <v>0.15660992190572506</v>
      </c>
      <c r="K293" s="88">
        <f t="shared" si="831"/>
        <v>0.51686637364541865</v>
      </c>
      <c r="L293" s="88">
        <f t="shared" si="831"/>
        <v>0.43805684337835116</v>
      </c>
      <c r="M293" s="88">
        <f t="shared" si="831"/>
        <v>0.53840530584574176</v>
      </c>
      <c r="N293" s="88">
        <f t="shared" si="831"/>
        <v>-0.41071420516313539</v>
      </c>
      <c r="O293" s="88">
        <f t="shared" si="831"/>
        <v>-0.39239799251766416</v>
      </c>
      <c r="P293" s="88">
        <f t="shared" si="831"/>
        <v>-0.44935411270773062</v>
      </c>
      <c r="Q293" s="88">
        <f t="shared" si="831"/>
        <v>-1.0092145132325279</v>
      </c>
      <c r="R293" s="88"/>
      <c r="S293" s="4"/>
      <c r="T293" s="87"/>
      <c r="U293" s="87"/>
      <c r="V293" s="87"/>
      <c r="W293" s="88">
        <f t="shared" ref="W293:BB293" si="832">W287/SUM(T25:W25)</f>
        <v>-0.14986018976752893</v>
      </c>
      <c r="X293" s="88">
        <f t="shared" si="832"/>
        <v>-6.6686529971017636E-2</v>
      </c>
      <c r="Y293" s="88">
        <f t="shared" si="832"/>
        <v>-2.1477217032545005E-2</v>
      </c>
      <c r="Z293" s="88">
        <f t="shared" si="832"/>
        <v>-2.3128493036105756E-3</v>
      </c>
      <c r="AA293" s="88">
        <f t="shared" si="832"/>
        <v>0.18487626546681668</v>
      </c>
      <c r="AB293" s="88">
        <f t="shared" si="832"/>
        <v>0.41402220905479853</v>
      </c>
      <c r="AC293" s="88">
        <f t="shared" si="832"/>
        <v>0.68183079213918918</v>
      </c>
      <c r="AD293" s="88">
        <f t="shared" si="832"/>
        <v>0.8999877150671467</v>
      </c>
      <c r="AE293" s="88">
        <f t="shared" si="832"/>
        <v>1.0564919246962081</v>
      </c>
      <c r="AF293" s="88">
        <f t="shared" si="832"/>
        <v>1.2758514583704472</v>
      </c>
      <c r="AG293" s="88">
        <f t="shared" si="832"/>
        <v>1.4154777345438825</v>
      </c>
      <c r="AH293" s="88">
        <f t="shared" si="832"/>
        <v>1.2824251888743512</v>
      </c>
      <c r="AI293" s="88">
        <f t="shared" si="832"/>
        <v>1.1889644170076992</v>
      </c>
      <c r="AJ293" s="88">
        <f t="shared" si="832"/>
        <v>1.024086339537152</v>
      </c>
      <c r="AK293" s="88">
        <f t="shared" si="832"/>
        <v>1.7290771610242308</v>
      </c>
      <c r="AL293" s="88">
        <f t="shared" si="832"/>
        <v>9.2174197773411883</v>
      </c>
      <c r="AM293" s="88">
        <f t="shared" si="832"/>
        <v>-2.5962422848844251</v>
      </c>
      <c r="AN293" s="88">
        <f t="shared" si="832"/>
        <v>-5.8513320269053546</v>
      </c>
      <c r="AO293" s="88">
        <f t="shared" si="832"/>
        <v>1.8435661973968807</v>
      </c>
      <c r="AP293" s="88">
        <f t="shared" si="832"/>
        <v>0.73988577706104808</v>
      </c>
      <c r="AQ293" s="88">
        <f t="shared" si="832"/>
        <v>0.46982352571751551</v>
      </c>
      <c r="AR293" s="88">
        <f t="shared" si="832"/>
        <v>0.42814852930691905</v>
      </c>
      <c r="AS293" s="88">
        <f t="shared" si="832"/>
        <v>0.42564927484921017</v>
      </c>
      <c r="AT293" s="88">
        <f t="shared" si="832"/>
        <v>0.29476415343682277</v>
      </c>
      <c r="AU293" s="88">
        <f t="shared" si="832"/>
        <v>0.40194213799315148</v>
      </c>
      <c r="AV293" s="88">
        <f t="shared" si="832"/>
        <v>0.34103589072264562</v>
      </c>
      <c r="AW293" s="88">
        <f t="shared" si="832"/>
        <v>0.29720952586651411</v>
      </c>
      <c r="AX293" s="88">
        <f t="shared" si="832"/>
        <v>0.15190239123061916</v>
      </c>
      <c r="AY293" s="88">
        <f t="shared" si="832"/>
        <v>0.20918939868497546</v>
      </c>
      <c r="AZ293" s="88">
        <f t="shared" si="832"/>
        <v>0.20967208313446434</v>
      </c>
      <c r="BA293" s="88">
        <f t="shared" si="832"/>
        <v>0.17976807988710233</v>
      </c>
      <c r="BB293" s="88">
        <f t="shared" si="832"/>
        <v>9.4807773018273367E-2</v>
      </c>
      <c r="BC293" s="88">
        <f t="shared" ref="BC293:CE293" si="833">BC287/SUM(AZ25:BC25)</f>
        <v>0.16193861582423486</v>
      </c>
      <c r="BD293" s="88">
        <f t="shared" si="833"/>
        <v>0.12880610811993254</v>
      </c>
      <c r="BE293" s="88">
        <f t="shared" si="833"/>
        <v>0.34285821898030155</v>
      </c>
      <c r="BF293" s="88">
        <f t="shared" si="833"/>
        <v>0.42270774778596809</v>
      </c>
      <c r="BG293" s="88">
        <f t="shared" si="833"/>
        <v>0.53686026451983904</v>
      </c>
      <c r="BH293" s="88">
        <f t="shared" si="833"/>
        <v>0.41103171530148891</v>
      </c>
      <c r="BI293" s="88">
        <f t="shared" si="833"/>
        <v>0.2161217222402072</v>
      </c>
      <c r="BJ293" s="88">
        <f t="shared" si="833"/>
        <v>0.44081752683428888</v>
      </c>
      <c r="BK293" s="88">
        <f t="shared" si="833"/>
        <v>0.4199501439641346</v>
      </c>
      <c r="BL293" s="88">
        <f t="shared" si="833"/>
        <v>0.46186418994985157</v>
      </c>
      <c r="BM293" s="88">
        <f t="shared" si="833"/>
        <v>0.54961137529210047</v>
      </c>
      <c r="BN293" s="88">
        <f t="shared" si="833"/>
        <v>0.53060111165791157</v>
      </c>
      <c r="BO293" s="88">
        <f t="shared" si="833"/>
        <v>0.55640198867233337</v>
      </c>
      <c r="BP293" s="88">
        <f t="shared" si="833"/>
        <v>0.64393243817822177</v>
      </c>
      <c r="BQ293" s="88">
        <f t="shared" si="833"/>
        <v>6.272722740190452</v>
      </c>
      <c r="BR293" s="88">
        <f t="shared" si="833"/>
        <v>-1.0237366976525049</v>
      </c>
      <c r="BS293" s="88">
        <f t="shared" si="833"/>
        <v>-0.40248964489848243</v>
      </c>
      <c r="BT293" s="88">
        <f t="shared" si="833"/>
        <v>-0.41334506664549386</v>
      </c>
      <c r="BU293" s="88">
        <f t="shared" si="833"/>
        <v>-0.24593631985204314</v>
      </c>
      <c r="BV293" s="88">
        <f t="shared" si="833"/>
        <v>-0.31845052180753813</v>
      </c>
      <c r="BW293" s="88">
        <f t="shared" si="833"/>
        <v>-0.39686608754853886</v>
      </c>
      <c r="BX293" s="88">
        <f t="shared" si="833"/>
        <v>-0.49261442682250972</v>
      </c>
      <c r="BY293" s="88">
        <f t="shared" si="833"/>
        <v>-0.60969516730886231</v>
      </c>
      <c r="BZ293" s="88">
        <f t="shared" si="833"/>
        <v>-0.53203706741305623</v>
      </c>
      <c r="CA293" s="88">
        <f t="shared" si="833"/>
        <v>-0.45347521003130831</v>
      </c>
      <c r="CB293" s="88">
        <f t="shared" si="833"/>
        <v>-0.57640321372267711</v>
      </c>
      <c r="CC293" s="88">
        <f t="shared" si="833"/>
        <v>-0.72043124447643514</v>
      </c>
      <c r="CD293" s="88">
        <f t="shared" si="833"/>
        <v>-0.86789138169206737</v>
      </c>
      <c r="CE293" s="88">
        <f t="shared" si="833"/>
        <v>-1.0181234945258291</v>
      </c>
      <c r="CF293" s="4"/>
      <c r="CG293" s="4"/>
      <c r="CH293" s="4"/>
      <c r="CI293" s="4"/>
      <c r="CJ293" s="4"/>
      <c r="CK293" s="4"/>
      <c r="CL293" s="4"/>
      <c r="CM293" s="4"/>
      <c r="CN293" s="240">
        <f t="shared" si="760"/>
        <v>286</v>
      </c>
    </row>
    <row r="294" spans="1:92" outlineLevel="1">
      <c r="A294" s="143"/>
      <c r="B294" s="86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4"/>
      <c r="T294" s="87"/>
      <c r="U294" s="87"/>
      <c r="V294" s="87"/>
      <c r="W294" s="87"/>
      <c r="X294" s="87"/>
      <c r="Y294" s="87"/>
      <c r="Z294" s="87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  <c r="AL294" s="87"/>
      <c r="AM294" s="87"/>
      <c r="AN294" s="87"/>
      <c r="AO294" s="87"/>
      <c r="AP294" s="87"/>
      <c r="AQ294" s="87"/>
      <c r="AR294" s="87"/>
      <c r="AS294" s="87"/>
      <c r="AT294" s="87"/>
      <c r="AU294" s="87"/>
      <c r="AV294" s="87"/>
      <c r="AW294" s="87"/>
      <c r="AX294" s="87"/>
      <c r="AY294" s="87"/>
      <c r="AZ294" s="87"/>
      <c r="BA294" s="87"/>
      <c r="BB294" s="87"/>
      <c r="BC294" s="87"/>
      <c r="BD294" s="87"/>
      <c r="BE294" s="87"/>
      <c r="BF294" s="87"/>
      <c r="BG294" s="87"/>
      <c r="BH294" s="87"/>
      <c r="BI294" s="87"/>
      <c r="BJ294" s="87"/>
      <c r="BK294" s="87"/>
      <c r="BL294" s="87"/>
      <c r="BM294" s="87"/>
      <c r="BN294" s="87"/>
      <c r="BO294" s="87"/>
      <c r="BP294" s="87"/>
      <c r="BQ294" s="87"/>
      <c r="BR294" s="87"/>
      <c r="BS294" s="87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240">
        <f t="shared" si="760"/>
        <v>287</v>
      </c>
    </row>
    <row r="295" spans="1:92" outlineLevel="1">
      <c r="A295" s="143"/>
      <c r="B295" s="10" t="s">
        <v>201</v>
      </c>
      <c r="C295" s="28" t="s">
        <v>137</v>
      </c>
      <c r="D295" s="22">
        <f>D18/-D26</f>
        <v>51.268485283560658</v>
      </c>
      <c r="E295" s="22">
        <f>E18/-E26</f>
        <v>48.505490344566454</v>
      </c>
      <c r="F295" s="22">
        <f>F18/-F26</f>
        <v>44.294577205882362</v>
      </c>
      <c r="G295" s="22">
        <f>G18/-G26</f>
        <v>138.40984222389181</v>
      </c>
      <c r="H295" s="28">
        <f t="shared" ref="H295:Q295" si="834">IFERROR(H18/-H26,"NM")</f>
        <v>192.8227628149435</v>
      </c>
      <c r="I295" s="28">
        <f t="shared" si="834"/>
        <v>335.72267206477727</v>
      </c>
      <c r="J295" s="28">
        <f t="shared" si="834"/>
        <v>273.27771679473102</v>
      </c>
      <c r="K295" s="28">
        <f t="shared" si="834"/>
        <v>451.61076170510131</v>
      </c>
      <c r="L295" s="28">
        <f t="shared" si="834"/>
        <v>60.111712598425193</v>
      </c>
      <c r="M295" s="28">
        <f t="shared" si="834"/>
        <v>-40.5345080763583</v>
      </c>
      <c r="N295" s="28">
        <f t="shared" si="834"/>
        <v>904.28169014084506</v>
      </c>
      <c r="O295" s="28">
        <f t="shared" si="834"/>
        <v>1538.1099956450532</v>
      </c>
      <c r="P295" s="28">
        <f t="shared" si="834"/>
        <v>1855.0858851424114</v>
      </c>
      <c r="Q295" s="28">
        <f t="shared" si="834"/>
        <v>2038.5176467170575</v>
      </c>
      <c r="R295" s="22"/>
      <c r="S295" s="4"/>
      <c r="T295" s="4"/>
      <c r="U295" s="4"/>
      <c r="V295" s="4"/>
      <c r="W295" s="28" t="s">
        <v>137</v>
      </c>
      <c r="X295" s="28" t="s">
        <v>137</v>
      </c>
      <c r="Y295" s="28" t="s">
        <v>137</v>
      </c>
      <c r="Z295" s="22">
        <f t="shared" ref="Z295:BC295" si="835">Z18/-Z26</f>
        <v>1206.7659574468087</v>
      </c>
      <c r="AA295" s="22">
        <f t="shared" si="835"/>
        <v>196.83221476510067</v>
      </c>
      <c r="AB295" s="22">
        <f t="shared" si="835"/>
        <v>76.523872679045098</v>
      </c>
      <c r="AC295" s="22">
        <f t="shared" si="835"/>
        <v>151.52989130434784</v>
      </c>
      <c r="AD295" s="22">
        <f t="shared" si="835"/>
        <v>31.777857656362325</v>
      </c>
      <c r="AE295" s="22">
        <f t="shared" si="835"/>
        <v>33.965186074429774</v>
      </c>
      <c r="AF295" s="22">
        <f t="shared" si="835"/>
        <v>34.833446634942213</v>
      </c>
      <c r="AG295" s="22">
        <f t="shared" si="835"/>
        <v>52.403199999999991</v>
      </c>
      <c r="AH295" s="22">
        <f t="shared" si="835"/>
        <v>58.56486704270749</v>
      </c>
      <c r="AI295" s="22">
        <f t="shared" si="835"/>
        <v>50.593181818181804</v>
      </c>
      <c r="AJ295" s="22">
        <f t="shared" si="835"/>
        <v>65.143097643097647</v>
      </c>
      <c r="AK295" s="22">
        <f t="shared" si="835"/>
        <v>23.844402277039848</v>
      </c>
      <c r="AL295" s="22">
        <f t="shared" si="835"/>
        <v>35.410881801125697</v>
      </c>
      <c r="AM295" s="22">
        <f t="shared" si="835"/>
        <v>50.287356321839084</v>
      </c>
      <c r="AN295" s="22">
        <f t="shared" si="835"/>
        <v>102.94454713493529</v>
      </c>
      <c r="AO295" s="22">
        <f t="shared" si="835"/>
        <v>167.21115537848604</v>
      </c>
      <c r="AP295" s="22">
        <f t="shared" si="835"/>
        <v>150.74398868458275</v>
      </c>
      <c r="AQ295" s="22">
        <f t="shared" si="835"/>
        <v>134.03289473684208</v>
      </c>
      <c r="AR295" s="22">
        <f t="shared" si="835"/>
        <v>133.87581093605189</v>
      </c>
      <c r="AS295" s="22">
        <f t="shared" si="835"/>
        <v>164.41082164328657</v>
      </c>
      <c r="AT295" s="22">
        <f t="shared" si="835"/>
        <v>208.69109357384443</v>
      </c>
      <c r="AU295" s="22">
        <f t="shared" si="835"/>
        <v>352.0940695296523</v>
      </c>
      <c r="AV295" s="22">
        <f t="shared" si="835"/>
        <v>308.44127516778525</v>
      </c>
      <c r="AW295" s="22">
        <f t="shared" si="835"/>
        <v>270.32615384615383</v>
      </c>
      <c r="AX295" s="22">
        <f t="shared" si="835"/>
        <v>358.27891156462584</v>
      </c>
      <c r="AY295" s="22">
        <f t="shared" si="835"/>
        <v>504.65051903114187</v>
      </c>
      <c r="AZ295" s="22">
        <f t="shared" si="835"/>
        <v>331.41176470588238</v>
      </c>
      <c r="BA295" s="22">
        <f t="shared" si="835"/>
        <v>129.91188959660298</v>
      </c>
      <c r="BB295" s="22">
        <f t="shared" si="835"/>
        <v>495.82332155477042</v>
      </c>
      <c r="BC295" s="22">
        <f t="shared" si="835"/>
        <v>476.79766536964979</v>
      </c>
      <c r="BD295" s="28">
        <f t="shared" ref="BD295:CE295" si="836">IFERROR(BD18/-BD26,"NM")</f>
        <v>364.893175074184</v>
      </c>
      <c r="BE295" s="28">
        <f t="shared" si="836"/>
        <v>3284.7551020408164</v>
      </c>
      <c r="BF295" s="28">
        <f t="shared" si="836"/>
        <v>376.23684210526318</v>
      </c>
      <c r="BG295" s="28">
        <f t="shared" si="836"/>
        <v>323.88624787775888</v>
      </c>
      <c r="BH295" s="28">
        <f t="shared" si="836"/>
        <v>103.02170767004343</v>
      </c>
      <c r="BI295" s="28">
        <f t="shared" si="836"/>
        <v>40.561538461538468</v>
      </c>
      <c r="BJ295" s="28">
        <f t="shared" si="836"/>
        <v>84.359999999999928</v>
      </c>
      <c r="BK295" s="28">
        <f t="shared" si="836"/>
        <v>20.042796005706158</v>
      </c>
      <c r="BL295" s="28">
        <f t="shared" si="836"/>
        <v>-42.175384615384615</v>
      </c>
      <c r="BM295" s="28">
        <f t="shared" si="836"/>
        <v>-162.3571428571428</v>
      </c>
      <c r="BN295" s="28">
        <f t="shared" si="836"/>
        <v>-48.608695652174077</v>
      </c>
      <c r="BO295" s="28">
        <f t="shared" si="836"/>
        <v>105.65217391304358</v>
      </c>
      <c r="BP295" s="28">
        <f t="shared" si="836"/>
        <v>434.17475728155341</v>
      </c>
      <c r="BQ295" s="28">
        <f t="shared" si="836"/>
        <v>916.71929824561403</v>
      </c>
      <c r="BR295" s="28">
        <f t="shared" si="836"/>
        <v>1299.4380952380952</v>
      </c>
      <c r="BS295" s="28">
        <f t="shared" si="836"/>
        <v>957.27884615384619</v>
      </c>
      <c r="BT295" s="28">
        <f t="shared" si="836"/>
        <v>1159.8090139634824</v>
      </c>
      <c r="BU295" s="28">
        <f t="shared" si="836"/>
        <v>1532.4294493893335</v>
      </c>
      <c r="BV295" s="28">
        <f t="shared" si="836"/>
        <v>1686.5186135427427</v>
      </c>
      <c r="BW295" s="28">
        <f t="shared" si="836"/>
        <v>1773.682905684655</v>
      </c>
      <c r="BX295" s="28">
        <f t="shared" si="836"/>
        <v>1786.1507191871242</v>
      </c>
      <c r="BY295" s="28">
        <f t="shared" si="836"/>
        <v>1793.6279526397311</v>
      </c>
      <c r="BZ295" s="28">
        <f t="shared" si="836"/>
        <v>1862.2714095894298</v>
      </c>
      <c r="CA295" s="28">
        <f t="shared" si="836"/>
        <v>1978.2934591533622</v>
      </c>
      <c r="CB295" s="28">
        <f t="shared" si="836"/>
        <v>2034.1180182391502</v>
      </c>
      <c r="CC295" s="28">
        <f t="shared" si="836"/>
        <v>2033.8243166553834</v>
      </c>
      <c r="CD295" s="28">
        <f t="shared" si="836"/>
        <v>2039.0022658551259</v>
      </c>
      <c r="CE295" s="28">
        <f t="shared" si="836"/>
        <v>2047.1259861185702</v>
      </c>
      <c r="CF295" s="4"/>
      <c r="CG295" s="4"/>
      <c r="CH295" s="4"/>
      <c r="CI295" s="4"/>
      <c r="CJ295" s="4"/>
      <c r="CK295" s="4"/>
      <c r="CL295" s="4"/>
      <c r="CM295" s="4"/>
      <c r="CN295" s="240">
        <f t="shared" si="760"/>
        <v>288</v>
      </c>
    </row>
    <row r="296" spans="1:92" outlineLevel="1">
      <c r="A296" s="143"/>
      <c r="B296" s="10" t="s">
        <v>202</v>
      </c>
      <c r="C296" s="28" t="s">
        <v>137</v>
      </c>
      <c r="D296" s="22">
        <f>(D18+D242)/-D26</f>
        <v>-8.2572385738214891</v>
      </c>
      <c r="E296" s="22">
        <f>(E18+E242)/-E26</f>
        <v>16.260507383566832</v>
      </c>
      <c r="F296" s="22">
        <f>(F18+F242)/-F26</f>
        <v>13.122702205882362</v>
      </c>
      <c r="G296" s="22">
        <f>(G18+G242)/-G26</f>
        <v>67.971825694966199</v>
      </c>
      <c r="H296" s="28">
        <f t="shared" ref="H296:Q296" si="837">IFERROR((H18+H242)/-H26,"NM")</f>
        <v>72.231972198088599</v>
      </c>
      <c r="I296" s="28">
        <f t="shared" si="837"/>
        <v>169.27429149797564</v>
      </c>
      <c r="J296" s="28">
        <f t="shared" si="837"/>
        <v>162.585620197585</v>
      </c>
      <c r="K296" s="28">
        <f t="shared" si="837"/>
        <v>192.00069881201955</v>
      </c>
      <c r="L296" s="28">
        <f t="shared" si="837"/>
        <v>-22.282972440944881</v>
      </c>
      <c r="M296" s="28">
        <f t="shared" si="837"/>
        <v>-90.370044052863435</v>
      </c>
      <c r="N296" s="28">
        <f t="shared" si="837"/>
        <v>628.43896713615015</v>
      </c>
      <c r="O296" s="28">
        <f t="shared" si="837"/>
        <v>876.20374564505312</v>
      </c>
      <c r="P296" s="28">
        <f t="shared" si="837"/>
        <v>910.2733851424116</v>
      </c>
      <c r="Q296" s="28">
        <f t="shared" si="837"/>
        <v>1477.8926467170575</v>
      </c>
      <c r="R296" s="22"/>
      <c r="S296" s="4"/>
      <c r="T296" s="4"/>
      <c r="U296" s="4"/>
      <c r="V296" s="4"/>
      <c r="W296" s="28" t="s">
        <v>137</v>
      </c>
      <c r="X296" s="28" t="s">
        <v>137</v>
      </c>
      <c r="Y296" s="28" t="s">
        <v>137</v>
      </c>
      <c r="Z296" s="22">
        <f t="shared" ref="Z296:BC296" si="838">(Z18+Z242)/-Z26</f>
        <v>279.74468085106389</v>
      </c>
      <c r="AA296" s="22">
        <f t="shared" si="838"/>
        <v>-12.932885906040266</v>
      </c>
      <c r="AB296" s="22">
        <f t="shared" si="838"/>
        <v>-7.9084880636604691</v>
      </c>
      <c r="AC296" s="22">
        <f t="shared" si="838"/>
        <v>-39.733695652173914</v>
      </c>
      <c r="AD296" s="22">
        <f t="shared" si="838"/>
        <v>-13.874910136592392</v>
      </c>
      <c r="AE296" s="22">
        <f t="shared" si="838"/>
        <v>3.2280912364946022</v>
      </c>
      <c r="AF296" s="22">
        <f t="shared" si="838"/>
        <v>3.3344663494221622</v>
      </c>
      <c r="AG296" s="22">
        <f t="shared" si="838"/>
        <v>8.4607999999999883</v>
      </c>
      <c r="AH296" s="22">
        <f t="shared" si="838"/>
        <v>29.815471394037068</v>
      </c>
      <c r="AI296" s="22">
        <f t="shared" si="838"/>
        <v>25.307575757575741</v>
      </c>
      <c r="AJ296" s="22">
        <f t="shared" si="838"/>
        <v>32.314814814814817</v>
      </c>
      <c r="AK296" s="22">
        <f t="shared" si="838"/>
        <v>-21.127134724857683</v>
      </c>
      <c r="AL296" s="22">
        <f t="shared" si="838"/>
        <v>6.3302063789868646</v>
      </c>
      <c r="AM296" s="22">
        <f t="shared" si="838"/>
        <v>32.79693486590039</v>
      </c>
      <c r="AN296" s="22">
        <f t="shared" si="838"/>
        <v>83.780036968576695</v>
      </c>
      <c r="AO296" s="22">
        <f t="shared" si="838"/>
        <v>74.581673306772899</v>
      </c>
      <c r="AP296" s="22">
        <f t="shared" si="838"/>
        <v>81.100424328147099</v>
      </c>
      <c r="AQ296" s="22">
        <f t="shared" si="838"/>
        <v>44.778508771929801</v>
      </c>
      <c r="AR296" s="22">
        <f t="shared" si="838"/>
        <v>48.316960148285453</v>
      </c>
      <c r="AS296" s="22">
        <f t="shared" si="838"/>
        <v>52.742484969939866</v>
      </c>
      <c r="AT296" s="22">
        <f t="shared" si="838"/>
        <v>93.735062006764394</v>
      </c>
      <c r="AU296" s="22">
        <f t="shared" si="838"/>
        <v>125.77300613496932</v>
      </c>
      <c r="AV296" s="22">
        <f t="shared" si="838"/>
        <v>104.73657718120809</v>
      </c>
      <c r="AW296" s="22">
        <f t="shared" si="838"/>
        <v>142.95076923076923</v>
      </c>
      <c r="AX296" s="22">
        <f t="shared" si="838"/>
        <v>200.45578231292518</v>
      </c>
      <c r="AY296" s="22">
        <f t="shared" si="838"/>
        <v>313.9930795847751</v>
      </c>
      <c r="AZ296" s="22">
        <f t="shared" si="838"/>
        <v>175.41176470588238</v>
      </c>
      <c r="BA296" s="22">
        <f t="shared" si="838"/>
        <v>71.047770700636946</v>
      </c>
      <c r="BB296" s="22">
        <f t="shared" si="838"/>
        <v>314.32508833922259</v>
      </c>
      <c r="BC296" s="22">
        <f t="shared" si="838"/>
        <v>314.04669260700393</v>
      </c>
      <c r="BD296" s="28">
        <f t="shared" ref="BD296:CE296" si="839">IFERROR((BD18+BD242)/-BD26,"NM")</f>
        <v>245.32344213649853</v>
      </c>
      <c r="BE296" s="28">
        <f t="shared" si="839"/>
        <v>1804.9795918367347</v>
      </c>
      <c r="BF296" s="28">
        <f t="shared" si="839"/>
        <v>102.83991228070181</v>
      </c>
      <c r="BG296" s="28">
        <f t="shared" si="839"/>
        <v>96.332767402376888</v>
      </c>
      <c r="BH296" s="28">
        <f t="shared" si="839"/>
        <v>-46.749638205499281</v>
      </c>
      <c r="BI296" s="28">
        <f t="shared" si="839"/>
        <v>-51.374358974358977</v>
      </c>
      <c r="BJ296" s="28">
        <f t="shared" si="839"/>
        <v>20.939999999999969</v>
      </c>
      <c r="BK296" s="28">
        <f t="shared" si="839"/>
        <v>2.6048502139800673</v>
      </c>
      <c r="BL296" s="28">
        <f t="shared" si="839"/>
        <v>-71.655384615384619</v>
      </c>
      <c r="BM296" s="28">
        <f t="shared" si="839"/>
        <v>-231.46825396825392</v>
      </c>
      <c r="BN296" s="28">
        <f t="shared" si="839"/>
        <v>-106.24347826086974</v>
      </c>
      <c r="BO296" s="28">
        <f t="shared" si="839"/>
        <v>27.208695652174015</v>
      </c>
      <c r="BP296" s="28">
        <f t="shared" si="839"/>
        <v>320.51456310679612</v>
      </c>
      <c r="BQ296" s="28">
        <f t="shared" si="839"/>
        <v>750.59649122807014</v>
      </c>
      <c r="BR296" s="28">
        <f t="shared" si="839"/>
        <v>876.85714285714278</v>
      </c>
      <c r="BS296" s="28">
        <f t="shared" si="839"/>
        <v>548.69230769230774</v>
      </c>
      <c r="BT296" s="28">
        <f t="shared" si="839"/>
        <v>308.87151396348241</v>
      </c>
      <c r="BU296" s="28">
        <f t="shared" si="839"/>
        <v>676.00757438933351</v>
      </c>
      <c r="BV296" s="28">
        <f t="shared" si="839"/>
        <v>1219.1279885427427</v>
      </c>
      <c r="BW296" s="28">
        <f t="shared" si="839"/>
        <v>1300.807905684655</v>
      </c>
      <c r="BX296" s="28">
        <f t="shared" si="839"/>
        <v>1313.2757191871242</v>
      </c>
      <c r="BY296" s="28">
        <f t="shared" si="839"/>
        <v>1320.7529526397311</v>
      </c>
      <c r="BZ296" s="28">
        <f t="shared" si="839"/>
        <v>467.45890958942994</v>
      </c>
      <c r="CA296" s="28">
        <f t="shared" si="839"/>
        <v>539.60595915336228</v>
      </c>
      <c r="CB296" s="28">
        <f t="shared" si="839"/>
        <v>1473.4930182391502</v>
      </c>
      <c r="CC296" s="28">
        <f t="shared" si="839"/>
        <v>1473.1993166553834</v>
      </c>
      <c r="CD296" s="28">
        <f t="shared" si="839"/>
        <v>1478.3772658551259</v>
      </c>
      <c r="CE296" s="28">
        <f t="shared" si="839"/>
        <v>1486.5009861185702</v>
      </c>
      <c r="CF296" s="4"/>
      <c r="CG296" s="4"/>
      <c r="CH296" s="4"/>
      <c r="CI296" s="4"/>
      <c r="CJ296" s="4"/>
      <c r="CK296" s="4"/>
      <c r="CL296" s="4"/>
      <c r="CM296" s="4"/>
      <c r="CN296" s="240">
        <f t="shared" si="760"/>
        <v>289</v>
      </c>
    </row>
    <row r="297" spans="1:92" outlineLevel="1">
      <c r="A297" s="143"/>
      <c r="B297" s="10" t="s">
        <v>203</v>
      </c>
      <c r="C297" s="28" t="s">
        <v>137</v>
      </c>
      <c r="D297" s="22">
        <f>D25/-D26</f>
        <v>32.482651351998086</v>
      </c>
      <c r="E297" s="22">
        <f>E25/-E26</f>
        <v>26.089170768648238</v>
      </c>
      <c r="F297" s="22">
        <f>F25/-F26</f>
        <v>-15.71461397058823</v>
      </c>
      <c r="G297" s="22">
        <f>G25/-G26</f>
        <v>88.312171299774604</v>
      </c>
      <c r="H297" s="28">
        <f t="shared" ref="H297:Q297" si="840">IFERROR(H25/-H26,"NM")</f>
        <v>141.45236026643497</v>
      </c>
      <c r="I297" s="28">
        <f t="shared" si="840"/>
        <v>227.01720647773274</v>
      </c>
      <c r="J297" s="28">
        <f t="shared" si="840"/>
        <v>156.30296377607021</v>
      </c>
      <c r="K297" s="28">
        <f t="shared" si="840"/>
        <v>290.31586303284416</v>
      </c>
      <c r="L297" s="28">
        <f t="shared" si="840"/>
        <v>-73.24311023622046</v>
      </c>
      <c r="M297" s="28">
        <f t="shared" si="840"/>
        <v>-359.56240822320115</v>
      </c>
      <c r="N297" s="28">
        <f t="shared" si="840"/>
        <v>520.39201877934272</v>
      </c>
      <c r="O297" s="28">
        <f t="shared" si="840"/>
        <v>1109.3894376080045</v>
      </c>
      <c r="P297" s="28">
        <f t="shared" si="840"/>
        <v>1374.3682637355953</v>
      </c>
      <c r="Q297" s="28">
        <f t="shared" si="840"/>
        <v>1427.3643672581848</v>
      </c>
      <c r="R297" s="22"/>
      <c r="S297" s="4"/>
      <c r="T297" s="4"/>
      <c r="U297" s="4"/>
      <c r="V297" s="4"/>
      <c r="W297" s="28" t="s">
        <v>137</v>
      </c>
      <c r="X297" s="28" t="s">
        <v>137</v>
      </c>
      <c r="Y297" s="28" t="s">
        <v>137</v>
      </c>
      <c r="Z297" s="22">
        <f t="shared" ref="Z297:BC297" si="841">Z25/-Z26</f>
        <v>992.02127659574467</v>
      </c>
      <c r="AA297" s="22">
        <f t="shared" si="841"/>
        <v>158.75167785234899</v>
      </c>
      <c r="AB297" s="22">
        <f t="shared" si="841"/>
        <v>58.335543766578247</v>
      </c>
      <c r="AC297" s="22">
        <f t="shared" si="841"/>
        <v>105.17663043478261</v>
      </c>
      <c r="AD297" s="22">
        <f t="shared" si="841"/>
        <v>17.73040977713875</v>
      </c>
      <c r="AE297" s="22">
        <f t="shared" si="841"/>
        <v>20.819327731092439</v>
      </c>
      <c r="AF297" s="22">
        <f t="shared" si="841"/>
        <v>17.295037389530933</v>
      </c>
      <c r="AG297" s="22">
        <f t="shared" si="841"/>
        <v>30.24</v>
      </c>
      <c r="AH297" s="22">
        <f t="shared" si="841"/>
        <v>35.642224012892818</v>
      </c>
      <c r="AI297" s="22">
        <f t="shared" si="841"/>
        <v>27.800757575757576</v>
      </c>
      <c r="AJ297" s="22">
        <f t="shared" si="841"/>
        <v>14.136363636363637</v>
      </c>
      <c r="AK297" s="22">
        <f t="shared" si="841"/>
        <v>-36.998102466793164</v>
      </c>
      <c r="AL297" s="22">
        <f t="shared" si="841"/>
        <v>-27.968105065666041</v>
      </c>
      <c r="AM297" s="22">
        <f t="shared" si="841"/>
        <v>-13.494252873563218</v>
      </c>
      <c r="AN297" s="22">
        <f t="shared" si="841"/>
        <v>41.715341959334559</v>
      </c>
      <c r="AO297" s="22">
        <f t="shared" si="841"/>
        <v>103.76294820717132</v>
      </c>
      <c r="AP297" s="22">
        <f t="shared" si="841"/>
        <v>105.21923620933522</v>
      </c>
      <c r="AQ297" s="22">
        <f t="shared" si="841"/>
        <v>98.462719298245617</v>
      </c>
      <c r="AR297" s="22">
        <f t="shared" si="841"/>
        <v>98.541241890639483</v>
      </c>
      <c r="AS297" s="22">
        <f t="shared" si="841"/>
        <v>119.50601202404809</v>
      </c>
      <c r="AT297" s="22">
        <f t="shared" si="841"/>
        <v>156.29425028184892</v>
      </c>
      <c r="AU297" s="22">
        <f t="shared" si="841"/>
        <v>251.89161554192225</v>
      </c>
      <c r="AV297" s="22">
        <f t="shared" si="841"/>
        <v>221.9144295302014</v>
      </c>
      <c r="AW297" s="22">
        <f t="shared" si="841"/>
        <v>184.39692307692306</v>
      </c>
      <c r="AX297" s="22">
        <f t="shared" si="841"/>
        <v>232.12698412698413</v>
      </c>
      <c r="AY297" s="22">
        <f t="shared" si="841"/>
        <v>309.02076124567475</v>
      </c>
      <c r="AZ297" s="22">
        <f t="shared" si="841"/>
        <v>168.29117647058823</v>
      </c>
      <c r="BA297" s="22">
        <f t="shared" si="841"/>
        <v>72.030785562632715</v>
      </c>
      <c r="BB297" s="22">
        <f t="shared" si="841"/>
        <v>303.3180212014135</v>
      </c>
      <c r="BC297" s="22">
        <f t="shared" si="841"/>
        <v>250.98054474708164</v>
      </c>
      <c r="BD297" s="28">
        <f t="shared" ref="BD297:CE297" si="842">IFERROR(BD25/-BD26,"NM")</f>
        <v>193.566765578635</v>
      </c>
      <c r="BE297" s="28">
        <f t="shared" si="842"/>
        <v>2102.6734693877552</v>
      </c>
      <c r="BF297" s="28">
        <f t="shared" si="842"/>
        <v>233.90570175438597</v>
      </c>
      <c r="BG297" s="28">
        <f t="shared" si="842"/>
        <v>212.30220713073007</v>
      </c>
      <c r="BH297" s="28">
        <f t="shared" si="842"/>
        <v>8.9290882778581775</v>
      </c>
      <c r="BI297" s="28">
        <f t="shared" si="842"/>
        <v>-134.71025641025639</v>
      </c>
      <c r="BJ297" s="28">
        <f t="shared" si="842"/>
        <v>-205.9</v>
      </c>
      <c r="BK297" s="28">
        <f t="shared" si="842"/>
        <v>-81.890156918687595</v>
      </c>
      <c r="BL297" s="28">
        <f t="shared" si="842"/>
        <v>-224.88307692307691</v>
      </c>
      <c r="BM297" s="28">
        <f t="shared" si="842"/>
        <v>-597</v>
      </c>
      <c r="BN297" s="28">
        <f t="shared" si="842"/>
        <v>-490.58260869565214</v>
      </c>
      <c r="BO297" s="28">
        <f t="shared" si="842"/>
        <v>-280.1391304347826</v>
      </c>
      <c r="BP297" s="28">
        <f t="shared" si="842"/>
        <v>15.281553398058252</v>
      </c>
      <c r="BQ297" s="28">
        <f t="shared" si="842"/>
        <v>587.73684210526312</v>
      </c>
      <c r="BR297" s="28">
        <f t="shared" si="842"/>
        <v>927.20952380952394</v>
      </c>
      <c r="BS297" s="28">
        <f t="shared" si="842"/>
        <v>579.65384615384619</v>
      </c>
      <c r="BT297" s="28">
        <f t="shared" si="842"/>
        <v>767.7066730843427</v>
      </c>
      <c r="BU297" s="28">
        <f t="shared" si="842"/>
        <v>1100.0230846664392</v>
      </c>
      <c r="BV297" s="28">
        <f t="shared" si="842"/>
        <v>1216.785727725676</v>
      </c>
      <c r="BW297" s="28">
        <f t="shared" si="842"/>
        <v>1303.0822649555614</v>
      </c>
      <c r="BX297" s="28">
        <f t="shared" si="842"/>
        <v>1314.2875464743731</v>
      </c>
      <c r="BY297" s="28">
        <f t="shared" si="842"/>
        <v>1320.610209757345</v>
      </c>
      <c r="BZ297" s="28">
        <f t="shared" si="842"/>
        <v>1388.1978263054805</v>
      </c>
      <c r="CA297" s="28">
        <f t="shared" si="842"/>
        <v>1424.4174724051836</v>
      </c>
      <c r="CB297" s="28">
        <f t="shared" si="842"/>
        <v>1403.5118572465176</v>
      </c>
      <c r="CC297" s="28">
        <f t="shared" si="842"/>
        <v>1408.1343479741781</v>
      </c>
      <c r="CD297" s="28">
        <f t="shared" si="842"/>
        <v>1417.8080953512647</v>
      </c>
      <c r="CE297" s="28">
        <f t="shared" si="842"/>
        <v>1430.0431684607784</v>
      </c>
      <c r="CF297" s="4"/>
      <c r="CG297" s="4"/>
      <c r="CH297" s="4"/>
      <c r="CI297" s="4"/>
      <c r="CJ297" s="4"/>
      <c r="CK297" s="4"/>
      <c r="CL297" s="4"/>
      <c r="CM297" s="4"/>
      <c r="CN297" s="240">
        <f t="shared" si="760"/>
        <v>290</v>
      </c>
    </row>
    <row r="298" spans="1:92" outlineLevel="1">
      <c r="A298" s="143"/>
      <c r="B298" s="86" t="s">
        <v>204</v>
      </c>
      <c r="C298" s="191">
        <f>+C318</f>
        <v>3.4216993855836955</v>
      </c>
      <c r="D298" s="191">
        <f t="shared" ref="D298:N298" si="843">+D318</f>
        <v>3.1686495299722317</v>
      </c>
      <c r="E298" s="191">
        <f t="shared" si="843"/>
        <v>1.4384601741509928</v>
      </c>
      <c r="F298" s="191">
        <f t="shared" si="843"/>
        <v>0.51945167713279206</v>
      </c>
      <c r="G298" s="191">
        <f t="shared" si="843"/>
        <v>1.4060137972405518</v>
      </c>
      <c r="H298" s="191">
        <f t="shared" si="843"/>
        <v>2.3474760685977154</v>
      </c>
      <c r="I298" s="191">
        <f t="shared" si="843"/>
        <v>1.5311868604575378</v>
      </c>
      <c r="J298" s="191">
        <f t="shared" si="843"/>
        <v>0.94629049209864502</v>
      </c>
      <c r="K298" s="191">
        <f t="shared" si="843"/>
        <v>1.60953672453458</v>
      </c>
      <c r="L298" s="191">
        <f t="shared" si="843"/>
        <v>0.61786055643098858</v>
      </c>
      <c r="M298" s="191">
        <f t="shared" si="843"/>
        <v>0.15621058833276569</v>
      </c>
      <c r="N298" s="191">
        <f t="shared" si="843"/>
        <v>0.71854687318466182</v>
      </c>
      <c r="O298" s="191">
        <f>+O318</f>
        <v>1.5439106839910404</v>
      </c>
      <c r="P298" s="191">
        <f>+P318</f>
        <v>1.9654209829775202</v>
      </c>
      <c r="Q298" s="191">
        <f>+Q318</f>
        <v>0.91732306582137391</v>
      </c>
      <c r="R298" s="191"/>
      <c r="S298" s="174"/>
      <c r="T298" s="174"/>
      <c r="U298" s="174"/>
      <c r="V298" s="174"/>
      <c r="W298" s="191">
        <f t="shared" ref="W298:BH298" si="844">+W318</f>
        <v>1.6734752866364782</v>
      </c>
      <c r="X298" s="191">
        <f t="shared" si="844"/>
        <v>2.4259691732835122</v>
      </c>
      <c r="Y298" s="191">
        <f t="shared" si="844"/>
        <v>2.3955333275847202</v>
      </c>
      <c r="Z298" s="191">
        <f t="shared" si="844"/>
        <v>3.7651227099896305</v>
      </c>
      <c r="AA298" s="191">
        <f t="shared" si="844"/>
        <v>4.86951780010906</v>
      </c>
      <c r="AB298" s="191">
        <f t="shared" si="844"/>
        <v>4.1710017689838175</v>
      </c>
      <c r="AC298" s="191">
        <f t="shared" si="844"/>
        <v>3.7649104038512973</v>
      </c>
      <c r="AD298" s="191">
        <f t="shared" si="844"/>
        <v>3.0462918545524329</v>
      </c>
      <c r="AE298" s="191">
        <f t="shared" si="844"/>
        <v>2.1604927854189517</v>
      </c>
      <c r="AF298" s="191">
        <f t="shared" si="844"/>
        <v>1.6956378540584058</v>
      </c>
      <c r="AG298" s="191">
        <f t="shared" si="844"/>
        <v>1.8825787435308636</v>
      </c>
      <c r="AH298" s="191">
        <f t="shared" si="844"/>
        <v>1.1718837247495482</v>
      </c>
      <c r="AI298" s="191">
        <f t="shared" si="844"/>
        <v>1.0611031632490864</v>
      </c>
      <c r="AJ298" s="191">
        <f t="shared" si="844"/>
        <v>0.60899437851342908</v>
      </c>
      <c r="AK298" s="191">
        <f t="shared" si="844"/>
        <v>0.73202372127501858</v>
      </c>
      <c r="AL298" s="191">
        <f t="shared" si="844"/>
        <v>0.46561927363393313</v>
      </c>
      <c r="AM298" s="191">
        <f t="shared" si="844"/>
        <v>0.27754977960176319</v>
      </c>
      <c r="AN298" s="191">
        <f t="shared" si="844"/>
        <v>0.32137875453333747</v>
      </c>
      <c r="AO298" s="191">
        <f t="shared" si="844"/>
        <v>1.392882818116463</v>
      </c>
      <c r="AP298" s="191">
        <f t="shared" si="844"/>
        <v>1.487957450666344</v>
      </c>
      <c r="AQ298" s="191">
        <f t="shared" si="844"/>
        <v>2.3509704251386321</v>
      </c>
      <c r="AR298" s="191">
        <f t="shared" si="844"/>
        <v>2.3349773629764523</v>
      </c>
      <c r="AS298" s="191">
        <f t="shared" si="844"/>
        <v>2.4824582897110909</v>
      </c>
      <c r="AT298" s="191">
        <f t="shared" si="844"/>
        <v>2.1939495653670713</v>
      </c>
      <c r="AU298" s="191">
        <f t="shared" si="844"/>
        <v>2.3812505379120403</v>
      </c>
      <c r="AV298" s="191">
        <f t="shared" si="844"/>
        <v>2.3526402480379809</v>
      </c>
      <c r="AW298" s="191">
        <f t="shared" si="844"/>
        <v>1.5346431881371638</v>
      </c>
      <c r="AX298" s="191">
        <f t="shared" si="844"/>
        <v>1.290083410565338</v>
      </c>
      <c r="AY298" s="191">
        <f t="shared" si="844"/>
        <v>0.99643741975152367</v>
      </c>
      <c r="AZ298" s="191">
        <f t="shared" si="844"/>
        <v>1.0041460782643268</v>
      </c>
      <c r="BA298" s="191">
        <f t="shared" si="844"/>
        <v>1.0508461727973921</v>
      </c>
      <c r="BB298" s="191">
        <f t="shared" si="844"/>
        <v>0.96528913194640253</v>
      </c>
      <c r="BC298" s="191">
        <f t="shared" si="844"/>
        <v>0.76988348764011838</v>
      </c>
      <c r="BD298" s="191">
        <f t="shared" si="844"/>
        <v>0.72597063327628142</v>
      </c>
      <c r="BE298" s="191">
        <f t="shared" si="844"/>
        <v>1.2829591096484243</v>
      </c>
      <c r="BF298" s="191">
        <f t="shared" si="844"/>
        <v>2.1788042433457417</v>
      </c>
      <c r="BG298" s="191">
        <f t="shared" si="844"/>
        <v>2.1767849022282855</v>
      </c>
      <c r="BH298" s="191">
        <f t="shared" si="844"/>
        <v>1.5686310173396387</v>
      </c>
      <c r="BI298" s="191">
        <f t="shared" ref="BI298:BN298" si="845">+BI318</f>
        <v>0.51367458918926667</v>
      </c>
      <c r="BJ298" s="191">
        <f t="shared" si="845"/>
        <v>0.22962619664865946</v>
      </c>
      <c r="BK298" s="191">
        <f t="shared" si="845"/>
        <v>0.18478375886203177</v>
      </c>
      <c r="BL298" s="191">
        <f t="shared" si="845"/>
        <v>0.1580084438287486</v>
      </c>
      <c r="BM298" s="191">
        <f t="shared" si="845"/>
        <v>0.15472636815920401</v>
      </c>
      <c r="BN298" s="191">
        <f t="shared" si="845"/>
        <v>0.12752284752284751</v>
      </c>
      <c r="BO298" s="191">
        <f t="shared" ref="BO298:BW298" si="846">+BO318</f>
        <v>0.18651146442822589</v>
      </c>
      <c r="BP298" s="191">
        <f t="shared" si="846"/>
        <v>0.26211853211830827</v>
      </c>
      <c r="BQ298" s="191">
        <f t="shared" si="846"/>
        <v>0.45895838887138596</v>
      </c>
      <c r="BR298" s="191">
        <f t="shared" si="846"/>
        <v>1.1208477530502436</v>
      </c>
      <c r="BS298" s="191">
        <f t="shared" si="846"/>
        <v>1.1175310330317694</v>
      </c>
      <c r="BT298" s="191">
        <f t="shared" si="846"/>
        <v>2.2415959871834619</v>
      </c>
      <c r="BU298" s="191">
        <f t="shared" si="846"/>
        <v>2.0395058324653732</v>
      </c>
      <c r="BV298" s="191">
        <f t="shared" si="846"/>
        <v>1.0221933232811271</v>
      </c>
      <c r="BW298" s="191">
        <f t="shared" si="846"/>
        <v>1.032228806664278</v>
      </c>
      <c r="BX298" s="191">
        <f t="shared" ref="BX298:CE298" si="847">+BX318</f>
        <v>1.029391849784167</v>
      </c>
      <c r="BY298" s="191">
        <f t="shared" si="847"/>
        <v>1.0268111038009009</v>
      </c>
      <c r="BZ298" s="191">
        <f t="shared" si="847"/>
        <v>3.0217983275673865</v>
      </c>
      <c r="CA298" s="191">
        <f t="shared" si="847"/>
        <v>2.6574154766018987</v>
      </c>
      <c r="CB298" s="191">
        <f t="shared" si="847"/>
        <v>0.90698971387464244</v>
      </c>
      <c r="CC298" s="191">
        <f t="shared" si="847"/>
        <v>0.91426129914149057</v>
      </c>
      <c r="CD298" s="191">
        <f t="shared" si="847"/>
        <v>0.92101389667814648</v>
      </c>
      <c r="CE298" s="191">
        <f t="shared" si="847"/>
        <v>0.92727697654741525</v>
      </c>
      <c r="CF298" s="4"/>
      <c r="CG298" s="4"/>
      <c r="CH298" s="4"/>
      <c r="CI298" s="4"/>
      <c r="CJ298" s="4"/>
      <c r="CK298" s="4"/>
      <c r="CL298" s="4"/>
      <c r="CM298" s="4"/>
      <c r="CN298" s="240">
        <f t="shared" si="760"/>
        <v>291</v>
      </c>
    </row>
    <row r="299" spans="1:92" outlineLevel="1">
      <c r="A299" s="143"/>
      <c r="B299" s="86"/>
      <c r="C299" s="89"/>
      <c r="D299" s="89"/>
      <c r="E299" s="89"/>
      <c r="F299" s="89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4"/>
      <c r="T299" s="4"/>
      <c r="U299" s="4"/>
      <c r="V299" s="4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89"/>
      <c r="AK299" s="89"/>
      <c r="AL299" s="89"/>
      <c r="AM299" s="89"/>
      <c r="AN299" s="89"/>
      <c r="AO299" s="89"/>
      <c r="AP299" s="89"/>
      <c r="AQ299" s="89"/>
      <c r="AR299" s="89"/>
      <c r="AS299" s="89"/>
      <c r="AT299" s="89"/>
      <c r="AU299" s="89"/>
      <c r="AV299" s="89"/>
      <c r="AW299" s="89"/>
      <c r="AX299" s="89"/>
      <c r="AY299" s="89"/>
      <c r="AZ299" s="89"/>
      <c r="BA299" s="89"/>
      <c r="BB299" s="89"/>
      <c r="BC299" s="89"/>
      <c r="BD299" s="89"/>
      <c r="BE299" s="89"/>
      <c r="BF299" s="89"/>
      <c r="BG299" s="89"/>
      <c r="BH299" s="89"/>
      <c r="BI299" s="89"/>
      <c r="BJ299" s="89"/>
      <c r="BK299" s="89"/>
      <c r="BL299" s="89"/>
      <c r="BM299" s="89"/>
      <c r="BN299" s="89"/>
      <c r="BO299" s="89"/>
      <c r="BP299" s="89"/>
      <c r="BQ299" s="89"/>
      <c r="BR299" s="89"/>
      <c r="BS299" s="89"/>
      <c r="BT299" s="89"/>
      <c r="BU299" s="89"/>
      <c r="BV299" s="89"/>
      <c r="BW299" s="89"/>
      <c r="BX299" s="89"/>
      <c r="BY299" s="89"/>
      <c r="BZ299" s="89"/>
      <c r="CA299" s="89"/>
      <c r="CB299" s="89"/>
      <c r="CC299" s="89"/>
      <c r="CD299" s="89"/>
      <c r="CE299" s="89"/>
      <c r="CF299" s="4"/>
      <c r="CG299" s="4"/>
      <c r="CH299" s="4"/>
      <c r="CI299" s="4"/>
      <c r="CJ299" s="4"/>
      <c r="CK299" s="4"/>
      <c r="CL299" s="4"/>
      <c r="CM299" s="4"/>
      <c r="CN299" s="240">
        <f t="shared" si="760"/>
        <v>292</v>
      </c>
    </row>
    <row r="300" spans="1:92" outlineLevel="1">
      <c r="A300" s="143" t="s">
        <v>33</v>
      </c>
      <c r="B300" s="21" t="s">
        <v>86</v>
      </c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240">
        <f t="shared" si="760"/>
        <v>293</v>
      </c>
    </row>
    <row r="301" spans="1:92" hidden="1" outlineLevel="2">
      <c r="A301" s="143"/>
      <c r="B301" s="10" t="s">
        <v>98</v>
      </c>
      <c r="C301" s="56">
        <f t="shared" ref="C301:O301" si="848">C261-C272</f>
        <v>111.30199999999998</v>
      </c>
      <c r="D301" s="56">
        <f t="shared" si="848"/>
        <v>144.33799999999997</v>
      </c>
      <c r="E301" s="56">
        <f t="shared" si="848"/>
        <v>200.49400000000003</v>
      </c>
      <c r="F301" s="56">
        <f t="shared" si="848"/>
        <v>151.68100000000004</v>
      </c>
      <c r="G301" s="56">
        <f t="shared" si="848"/>
        <v>281.17399999999998</v>
      </c>
      <c r="H301" s="56">
        <f t="shared" si="848"/>
        <v>447.08899999999994</v>
      </c>
      <c r="I301" s="56">
        <f t="shared" si="848"/>
        <v>403.31600000000003</v>
      </c>
      <c r="J301" s="56">
        <f t="shared" si="848"/>
        <v>436.87299999999993</v>
      </c>
      <c r="K301" s="56">
        <f t="shared" si="848"/>
        <v>612.61599999999999</v>
      </c>
      <c r="L301" s="56">
        <f t="shared" si="848"/>
        <v>384.74400000000009</v>
      </c>
      <c r="M301" s="56">
        <f t="shared" si="848"/>
        <v>377.589</v>
      </c>
      <c r="N301" s="56">
        <f t="shared" si="848"/>
        <v>494.77499999999998</v>
      </c>
      <c r="O301" s="56">
        <f t="shared" si="848"/>
        <v>646.6748063169432</v>
      </c>
      <c r="P301" s="56">
        <f>P261-P272</f>
        <v>772.60613463682773</v>
      </c>
      <c r="Q301" s="56">
        <f>Q261-Q272</f>
        <v>1121.9953479716341</v>
      </c>
      <c r="R301" s="56"/>
      <c r="S301" s="56"/>
      <c r="T301" s="56"/>
      <c r="U301" s="56"/>
      <c r="V301" s="56"/>
      <c r="W301" s="56">
        <f t="shared" ref="W301:BB301" si="849">W261-W272</f>
        <v>95.214999999999989</v>
      </c>
      <c r="X301" s="56">
        <f t="shared" si="849"/>
        <v>97.234999999999985</v>
      </c>
      <c r="Y301" s="56">
        <f t="shared" si="849"/>
        <v>99.834000000000003</v>
      </c>
      <c r="Z301" s="56">
        <f t="shared" si="849"/>
        <v>89.525999999999996</v>
      </c>
      <c r="AA301" s="56">
        <f t="shared" si="849"/>
        <v>111.30199999999998</v>
      </c>
      <c r="AB301" s="56">
        <f t="shared" si="849"/>
        <v>123.10100000000001</v>
      </c>
      <c r="AC301" s="56">
        <f t="shared" si="849"/>
        <v>130.49500000000003</v>
      </c>
      <c r="AD301" s="56">
        <f t="shared" si="849"/>
        <v>138.10700000000003</v>
      </c>
      <c r="AE301" s="56">
        <f t="shared" si="849"/>
        <v>144.33799999999997</v>
      </c>
      <c r="AF301" s="56">
        <f t="shared" si="849"/>
        <v>129.97900000000001</v>
      </c>
      <c r="AG301" s="56">
        <f t="shared" si="849"/>
        <v>157.00899999999996</v>
      </c>
      <c r="AH301" s="56">
        <f t="shared" si="849"/>
        <v>183.209</v>
      </c>
      <c r="AI301" s="56">
        <f t="shared" si="849"/>
        <v>200.49400000000003</v>
      </c>
      <c r="AJ301" s="56">
        <f t="shared" si="849"/>
        <v>162.00399999999999</v>
      </c>
      <c r="AK301" s="56">
        <f t="shared" si="849"/>
        <v>151.12700000000001</v>
      </c>
      <c r="AL301" s="56">
        <f t="shared" si="849"/>
        <v>146.60600000000002</v>
      </c>
      <c r="AM301" s="56">
        <f t="shared" si="849"/>
        <v>151.68100000000004</v>
      </c>
      <c r="AN301" s="56">
        <f t="shared" si="849"/>
        <v>204.846</v>
      </c>
      <c r="AO301" s="56">
        <f t="shared" si="849"/>
        <v>202.21</v>
      </c>
      <c r="AP301" s="56">
        <f t="shared" si="849"/>
        <v>231</v>
      </c>
      <c r="AQ301" s="56">
        <f t="shared" si="849"/>
        <v>281.17399999999998</v>
      </c>
      <c r="AR301" s="56">
        <f t="shared" si="849"/>
        <v>298.10000000000002</v>
      </c>
      <c r="AS301" s="56">
        <f t="shared" si="849"/>
        <v>334.51900000000001</v>
      </c>
      <c r="AT301" s="56">
        <f t="shared" si="849"/>
        <v>380.21800000000007</v>
      </c>
      <c r="AU301" s="56">
        <f t="shared" si="849"/>
        <v>447.08899999999994</v>
      </c>
      <c r="AV301" s="56">
        <f t="shared" si="849"/>
        <v>384.86699999999996</v>
      </c>
      <c r="AW301" s="56">
        <f t="shared" si="849"/>
        <v>428.72300000000013</v>
      </c>
      <c r="AX301" s="56">
        <f t="shared" si="849"/>
        <v>390.54300000000001</v>
      </c>
      <c r="AY301" s="56">
        <f t="shared" si="849"/>
        <v>403.31600000000003</v>
      </c>
      <c r="AZ301" s="56">
        <f t="shared" si="849"/>
        <v>389.28799999999995</v>
      </c>
      <c r="BA301" s="56">
        <f t="shared" si="849"/>
        <v>383.84400000000005</v>
      </c>
      <c r="BB301" s="56">
        <f t="shared" si="849"/>
        <v>406.19100000000009</v>
      </c>
      <c r="BC301" s="56">
        <f t="shared" ref="BC301:BW301" si="850">BC261-BC272</f>
        <v>436.87299999999993</v>
      </c>
      <c r="BD301" s="56">
        <f t="shared" si="850"/>
        <v>480.28899999999987</v>
      </c>
      <c r="BE301" s="56">
        <f t="shared" si="850"/>
        <v>562.76700000000005</v>
      </c>
      <c r="BF301" s="56">
        <f t="shared" si="850"/>
        <v>543.58000000000004</v>
      </c>
      <c r="BG301" s="56">
        <f t="shared" si="850"/>
        <v>612.61599999999999</v>
      </c>
      <c r="BH301" s="56">
        <f t="shared" si="850"/>
        <v>500.67400000000009</v>
      </c>
      <c r="BI301" s="56">
        <f t="shared" si="850"/>
        <v>394.87600000000003</v>
      </c>
      <c r="BJ301" s="56">
        <f t="shared" si="850"/>
        <v>360.77799999999996</v>
      </c>
      <c r="BK301" s="56">
        <f t="shared" si="850"/>
        <v>384.74400000000009</v>
      </c>
      <c r="BL301" s="56">
        <f t="shared" si="850"/>
        <v>381.56099999999998</v>
      </c>
      <c r="BM301" s="56">
        <f t="shared" ref="BM301:BR301" si="851">BM261-BM272</f>
        <v>373.49100000000004</v>
      </c>
      <c r="BN301" s="56">
        <f t="shared" si="851"/>
        <v>368.72199999999992</v>
      </c>
      <c r="BO301" s="56">
        <f t="shared" si="851"/>
        <v>377.589</v>
      </c>
      <c r="BP301" s="56">
        <f t="shared" si="851"/>
        <v>399.88300000000004</v>
      </c>
      <c r="BQ301" s="56">
        <f t="shared" si="851"/>
        <v>453.334</v>
      </c>
      <c r="BR301" s="56">
        <f t="shared" si="851"/>
        <v>478.07700000000006</v>
      </c>
      <c r="BS301" s="56">
        <f>BS261-BS272</f>
        <v>494.77499999999998</v>
      </c>
      <c r="BT301" s="56">
        <f t="shared" si="850"/>
        <v>487.71910693140939</v>
      </c>
      <c r="BU301" s="56">
        <f t="shared" si="850"/>
        <v>509.98818122712987</v>
      </c>
      <c r="BV301" s="56">
        <f t="shared" si="850"/>
        <v>575.17517234804473</v>
      </c>
      <c r="BW301" s="56">
        <f t="shared" si="850"/>
        <v>646.6748063169432</v>
      </c>
      <c r="BX301" s="56">
        <f t="shared" ref="BX301:CE301" si="852">BX261-BX272</f>
        <v>719.31870325524642</v>
      </c>
      <c r="BY301" s="56">
        <f t="shared" si="852"/>
        <v>792.74993235609054</v>
      </c>
      <c r="BZ301" s="56">
        <f t="shared" si="852"/>
        <v>779.51892743440544</v>
      </c>
      <c r="CA301" s="56">
        <f t="shared" si="852"/>
        <v>772.60613463682773</v>
      </c>
      <c r="CB301" s="56">
        <f t="shared" si="852"/>
        <v>859.45654765189624</v>
      </c>
      <c r="CC301" s="56">
        <f t="shared" si="852"/>
        <v>946.36382227220668</v>
      </c>
      <c r="CD301" s="56">
        <f t="shared" si="852"/>
        <v>1033.7982523566902</v>
      </c>
      <c r="CE301" s="56">
        <f t="shared" si="852"/>
        <v>1121.9953479716341</v>
      </c>
      <c r="CF301" s="4"/>
      <c r="CG301" s="4"/>
      <c r="CH301" s="4"/>
      <c r="CI301" s="4"/>
      <c r="CJ301" s="4"/>
      <c r="CK301" s="4"/>
      <c r="CL301" s="4"/>
      <c r="CM301" s="4"/>
      <c r="CN301" s="240">
        <f t="shared" si="760"/>
        <v>294</v>
      </c>
    </row>
    <row r="302" spans="1:92" hidden="1" outlineLevel="2">
      <c r="A302" s="143"/>
      <c r="B302" s="10" t="s">
        <v>87</v>
      </c>
      <c r="C302" s="22">
        <f t="shared" ref="C302:O302" si="853">C261/C272</f>
        <v>2.490944649841933</v>
      </c>
      <c r="D302" s="22">
        <f t="shared" si="853"/>
        <v>2.5909922620753507</v>
      </c>
      <c r="E302" s="22">
        <f t="shared" si="853"/>
        <v>3.1715170748085653</v>
      </c>
      <c r="F302" s="22">
        <f t="shared" si="853"/>
        <v>3.2380741593259859</v>
      </c>
      <c r="G302" s="22">
        <f t="shared" si="853"/>
        <v>3.3928887527233118</v>
      </c>
      <c r="H302" s="22">
        <f t="shared" si="853"/>
        <v>3.4912183923417244</v>
      </c>
      <c r="I302" s="22">
        <f t="shared" si="853"/>
        <v>3.4516050598440229</v>
      </c>
      <c r="J302" s="22">
        <f t="shared" si="853"/>
        <v>3.5996298764668078</v>
      </c>
      <c r="K302" s="22">
        <f t="shared" si="853"/>
        <v>3.5631181697990062</v>
      </c>
      <c r="L302" s="22">
        <f t="shared" si="853"/>
        <v>4.580212908508897</v>
      </c>
      <c r="M302" s="22">
        <f t="shared" si="853"/>
        <v>4.7212618756652347</v>
      </c>
      <c r="N302" s="22">
        <f t="shared" si="853"/>
        <v>4.4037905888827735</v>
      </c>
      <c r="O302" s="22">
        <f t="shared" si="853"/>
        <v>4.4109312370247515</v>
      </c>
      <c r="P302" s="22">
        <f>P261/P272</f>
        <v>4.7097405396920564</v>
      </c>
      <c r="Q302" s="22">
        <f>Q261/Q272</f>
        <v>6.2014959317064298</v>
      </c>
      <c r="R302" s="22"/>
      <c r="S302" s="4"/>
      <c r="T302" s="4"/>
      <c r="U302" s="4"/>
      <c r="V302" s="4"/>
      <c r="W302" s="22">
        <f t="shared" ref="W302:BB302" si="854">W261/W272</f>
        <v>2.9991391618375745</v>
      </c>
      <c r="X302" s="22">
        <f t="shared" si="854"/>
        <v>2.9754779464049892</v>
      </c>
      <c r="Y302" s="22">
        <f t="shared" si="854"/>
        <v>2.6921016949152543</v>
      </c>
      <c r="Z302" s="22">
        <f t="shared" si="854"/>
        <v>2.1034474258316593</v>
      </c>
      <c r="AA302" s="22">
        <f t="shared" si="854"/>
        <v>2.490944649841933</v>
      </c>
      <c r="AB302" s="22">
        <f t="shared" si="854"/>
        <v>2.5312021891908705</v>
      </c>
      <c r="AC302" s="22">
        <f t="shared" si="854"/>
        <v>2.6238396256937362</v>
      </c>
      <c r="AD302" s="22">
        <f t="shared" si="854"/>
        <v>2.756661875628029</v>
      </c>
      <c r="AE302" s="22">
        <f t="shared" si="854"/>
        <v>2.5909922620753507</v>
      </c>
      <c r="AF302" s="22">
        <f t="shared" si="854"/>
        <v>2.2039774727208732</v>
      </c>
      <c r="AG302" s="22">
        <f t="shared" si="854"/>
        <v>2.721929766839946</v>
      </c>
      <c r="AH302" s="22">
        <f t="shared" si="854"/>
        <v>2.7197717096432026</v>
      </c>
      <c r="AI302" s="22">
        <f t="shared" si="854"/>
        <v>3.1715170748085653</v>
      </c>
      <c r="AJ302" s="22">
        <f t="shared" si="854"/>
        <v>3.225237970962735</v>
      </c>
      <c r="AK302" s="22">
        <f t="shared" si="854"/>
        <v>3.7673869254715258</v>
      </c>
      <c r="AL302" s="22">
        <f t="shared" si="854"/>
        <v>3.5898459581684574</v>
      </c>
      <c r="AM302" s="22">
        <f t="shared" si="854"/>
        <v>3.2380741593259859</v>
      </c>
      <c r="AN302" s="22">
        <f t="shared" si="854"/>
        <v>3.7627383810320181</v>
      </c>
      <c r="AO302" s="22">
        <f t="shared" si="854"/>
        <v>3.2983632643782683</v>
      </c>
      <c r="AP302" s="22">
        <f t="shared" si="854"/>
        <v>2.8371242245904247</v>
      </c>
      <c r="AQ302" s="22">
        <f t="shared" si="854"/>
        <v>3.3928887527233118</v>
      </c>
      <c r="AR302" s="22">
        <f t="shared" si="854"/>
        <v>2.8877363628304016</v>
      </c>
      <c r="AS302" s="22">
        <f t="shared" si="854"/>
        <v>2.9048972154205339</v>
      </c>
      <c r="AT302" s="22">
        <f t="shared" si="854"/>
        <v>3.0543995677428075</v>
      </c>
      <c r="AU302" s="22">
        <f t="shared" si="854"/>
        <v>3.4912183923417244</v>
      </c>
      <c r="AV302" s="22">
        <f t="shared" si="854"/>
        <v>2.8614190365641323</v>
      </c>
      <c r="AW302" s="22">
        <f t="shared" si="854"/>
        <v>3.5802438672091292</v>
      </c>
      <c r="AX302" s="22">
        <f t="shared" si="854"/>
        <v>3.3391271015386832</v>
      </c>
      <c r="AY302" s="22">
        <f t="shared" si="854"/>
        <v>3.4516050598440229</v>
      </c>
      <c r="AZ302" s="22">
        <f t="shared" si="854"/>
        <v>3.4122892357646997</v>
      </c>
      <c r="BA302" s="22">
        <f t="shared" si="854"/>
        <v>3.3614193961168395</v>
      </c>
      <c r="BB302" s="22">
        <f t="shared" si="854"/>
        <v>3.4508018680085439</v>
      </c>
      <c r="BC302" s="22">
        <f t="shared" ref="BC302:BW302" si="855">BC261/BC272</f>
        <v>3.5996298764668078</v>
      </c>
      <c r="BD302" s="22">
        <f t="shared" si="855"/>
        <v>3.4945024124982464</v>
      </c>
      <c r="BE302" s="22">
        <f t="shared" si="855"/>
        <v>3.7390586975567022</v>
      </c>
      <c r="BF302" s="22">
        <f t="shared" si="855"/>
        <v>3.2510725703589594</v>
      </c>
      <c r="BG302" s="22">
        <f t="shared" si="855"/>
        <v>3.5631181697990062</v>
      </c>
      <c r="BH302" s="22">
        <f t="shared" si="855"/>
        <v>4.7487103078040418</v>
      </c>
      <c r="BI302" s="22">
        <f t="shared" si="855"/>
        <v>4.3828440233361032</v>
      </c>
      <c r="BJ302" s="22">
        <f t="shared" si="855"/>
        <v>4.0766305089370993</v>
      </c>
      <c r="BK302" s="22">
        <f t="shared" si="855"/>
        <v>4.580212908508897</v>
      </c>
      <c r="BL302" s="22">
        <f t="shared" si="855"/>
        <v>5.6588075847669739</v>
      </c>
      <c r="BM302" s="22">
        <f t="shared" ref="BM302:BR302" si="856">BM261/BM272</f>
        <v>5.9113825842253371</v>
      </c>
      <c r="BN302" s="22">
        <f t="shared" si="856"/>
        <v>5.2340958155344257</v>
      </c>
      <c r="BO302" s="22">
        <f t="shared" si="856"/>
        <v>4.7212618756652347</v>
      </c>
      <c r="BP302" s="22">
        <f t="shared" si="856"/>
        <v>4.2049611284763966</v>
      </c>
      <c r="BQ302" s="22">
        <f t="shared" si="856"/>
        <v>4.0559645149112873</v>
      </c>
      <c r="BR302" s="22">
        <f t="shared" si="856"/>
        <v>3.9086655755857467</v>
      </c>
      <c r="BS302" s="22">
        <f>BS261/BS272</f>
        <v>4.4037905888827735</v>
      </c>
      <c r="BT302" s="22">
        <f t="shared" si="855"/>
        <v>4.0913022123972196</v>
      </c>
      <c r="BU302" s="22">
        <f t="shared" si="855"/>
        <v>3.915730839764497</v>
      </c>
      <c r="BV302" s="22">
        <f t="shared" si="855"/>
        <v>4.1015377300349396</v>
      </c>
      <c r="BW302" s="22">
        <f t="shared" si="855"/>
        <v>4.4109312370247515</v>
      </c>
      <c r="BX302" s="22">
        <f t="shared" ref="BX302:CE302" si="857">BX261/BX272</f>
        <v>4.7679248728319417</v>
      </c>
      <c r="BY302" s="22">
        <f t="shared" si="857"/>
        <v>5.1364460687924991</v>
      </c>
      <c r="BZ302" s="22">
        <f t="shared" si="857"/>
        <v>4.9391051010592442</v>
      </c>
      <c r="CA302" s="22">
        <f t="shared" si="857"/>
        <v>4.7097405396920564</v>
      </c>
      <c r="CB302" s="22">
        <f t="shared" si="857"/>
        <v>5.0245400147807784</v>
      </c>
      <c r="CC302" s="22">
        <f t="shared" si="857"/>
        <v>5.4230853429092569</v>
      </c>
      <c r="CD302" s="22">
        <f t="shared" si="857"/>
        <v>5.8151194442931917</v>
      </c>
      <c r="CE302" s="22">
        <f t="shared" si="857"/>
        <v>6.2014959317064298</v>
      </c>
      <c r="CF302" s="4"/>
      <c r="CG302" s="4"/>
      <c r="CH302" s="4"/>
      <c r="CI302" s="4"/>
      <c r="CJ302" s="4"/>
      <c r="CK302" s="4"/>
      <c r="CL302" s="4"/>
      <c r="CM302" s="4"/>
      <c r="CN302" s="240">
        <f t="shared" si="760"/>
        <v>295</v>
      </c>
    </row>
    <row r="303" spans="1:92" hidden="1" outlineLevel="2">
      <c r="A303" s="143"/>
      <c r="B303" s="10" t="s">
        <v>88</v>
      </c>
      <c r="C303" s="22"/>
      <c r="D303" s="22">
        <f t="shared" ref="D303:Q303" si="858">(D12)/AVERAGE(C257:D257)</f>
        <v>4.2524774892721702</v>
      </c>
      <c r="E303" s="22">
        <f t="shared" si="858"/>
        <v>4.5377035099565619</v>
      </c>
      <c r="F303" s="22">
        <f t="shared" si="858"/>
        <v>3.4479375003665753</v>
      </c>
      <c r="G303" s="22">
        <f t="shared" si="858"/>
        <v>5.1640592434194259</v>
      </c>
      <c r="H303" s="22">
        <f t="shared" si="858"/>
        <v>4.8454123933830626</v>
      </c>
      <c r="I303" s="22">
        <f t="shared" si="858"/>
        <v>4.5829840174740406</v>
      </c>
      <c r="J303" s="22">
        <f t="shared" si="858"/>
        <v>4.5145502035985654</v>
      </c>
      <c r="K303" s="22">
        <f t="shared" si="858"/>
        <v>4.361406598983824</v>
      </c>
      <c r="L303" s="22">
        <f t="shared" si="858"/>
        <v>2.9157116540568477</v>
      </c>
      <c r="M303" s="22">
        <f t="shared" si="858"/>
        <v>3.6325827887171642</v>
      </c>
      <c r="N303" s="22">
        <f t="shared" si="858"/>
        <v>5.8324372645191476</v>
      </c>
      <c r="O303" s="22">
        <f t="shared" si="858"/>
        <v>5.1700462446481152</v>
      </c>
      <c r="P303" s="22">
        <f t="shared" si="858"/>
        <v>5.1610430659811728</v>
      </c>
      <c r="Q303" s="22">
        <f t="shared" si="858"/>
        <v>5.2834256351620619</v>
      </c>
      <c r="R303" s="22"/>
      <c r="S303" s="4"/>
      <c r="T303" s="4"/>
      <c r="U303" s="4"/>
      <c r="V303" s="4"/>
      <c r="W303" s="22"/>
      <c r="X303" s="22">
        <f t="shared" ref="X303:BS303" si="859">(4*X12)/AVERAGE(W257:X257)</f>
        <v>4.8668428796965912</v>
      </c>
      <c r="Y303" s="22">
        <f t="shared" si="859"/>
        <v>4.7062708929074866</v>
      </c>
      <c r="Z303" s="22">
        <f t="shared" si="859"/>
        <v>4.5567005739866584</v>
      </c>
      <c r="AA303" s="22">
        <f t="shared" si="859"/>
        <v>4.4679081238113154</v>
      </c>
      <c r="AB303" s="22">
        <f t="shared" si="859"/>
        <v>4.3947277141866108</v>
      </c>
      <c r="AC303" s="22">
        <f t="shared" si="859"/>
        <v>4.1716531447892748</v>
      </c>
      <c r="AD303" s="22">
        <f t="shared" si="859"/>
        <v>3.9817826455728875</v>
      </c>
      <c r="AE303" s="22">
        <f t="shared" si="859"/>
        <v>4.4269316959217271</v>
      </c>
      <c r="AF303" s="22">
        <f t="shared" si="859"/>
        <v>4.5071957859375082</v>
      </c>
      <c r="AG303" s="22">
        <f t="shared" si="859"/>
        <v>4.6767343960179284</v>
      </c>
      <c r="AH303" s="22">
        <f t="shared" si="859"/>
        <v>4.606714407088238</v>
      </c>
      <c r="AI303" s="22">
        <f t="shared" si="859"/>
        <v>4.2489282991950876</v>
      </c>
      <c r="AJ303" s="22">
        <f t="shared" si="859"/>
        <v>3.8774753768402066</v>
      </c>
      <c r="AK303" s="22">
        <f t="shared" si="859"/>
        <v>3.7006806685046056</v>
      </c>
      <c r="AL303" s="22">
        <f t="shared" si="859"/>
        <v>4.4173003325701483</v>
      </c>
      <c r="AM303" s="22">
        <f t="shared" si="859"/>
        <v>4.9029518559175838</v>
      </c>
      <c r="AN303" s="22">
        <f t="shared" si="859"/>
        <v>5.1636379052943013</v>
      </c>
      <c r="AO303" s="22">
        <f t="shared" si="859"/>
        <v>4.840890764787658</v>
      </c>
      <c r="AP303" s="22">
        <f t="shared" si="859"/>
        <v>4.8515107792398036</v>
      </c>
      <c r="AQ303" s="22">
        <f t="shared" si="859"/>
        <v>4.573499282219962</v>
      </c>
      <c r="AR303" s="22">
        <f t="shared" si="859"/>
        <v>4.691307353189659</v>
      </c>
      <c r="AS303" s="22">
        <f t="shared" si="859"/>
        <v>4.8910050227369952</v>
      </c>
      <c r="AT303" s="22">
        <f t="shared" si="859"/>
        <v>4.796867258433271</v>
      </c>
      <c r="AU303" s="22">
        <f t="shared" si="859"/>
        <v>4.2984210860194834</v>
      </c>
      <c r="AV303" s="22">
        <f t="shared" si="859"/>
        <v>4.5324506954606232</v>
      </c>
      <c r="AW303" s="22">
        <f t="shared" si="859"/>
        <v>4.7670173256266999</v>
      </c>
      <c r="AX303" s="22">
        <f t="shared" si="859"/>
        <v>4.773906200460547</v>
      </c>
      <c r="AY303" s="22">
        <f t="shared" si="859"/>
        <v>4.9100231687663092</v>
      </c>
      <c r="AZ303" s="22">
        <f t="shared" si="859"/>
        <v>4.4667163177107376</v>
      </c>
      <c r="BA303" s="22">
        <f t="shared" si="859"/>
        <v>4.8414751407594725</v>
      </c>
      <c r="BB303" s="22">
        <f t="shared" si="859"/>
        <v>5.096208747806303</v>
      </c>
      <c r="BC303" s="22">
        <f t="shared" si="859"/>
        <v>4.7100224871243075</v>
      </c>
      <c r="BD303" s="22">
        <f t="shared" si="859"/>
        <v>4.434307432245804</v>
      </c>
      <c r="BE303" s="22">
        <f t="shared" si="859"/>
        <v>4.5096883892146185</v>
      </c>
      <c r="BF303" s="22">
        <f t="shared" si="859"/>
        <v>4.2897319712317223</v>
      </c>
      <c r="BG303" s="22">
        <f t="shared" si="859"/>
        <v>4.1242649727027718</v>
      </c>
      <c r="BH303" s="22">
        <f t="shared" si="859"/>
        <v>3.0508137293000743</v>
      </c>
      <c r="BI303" s="22">
        <f t="shared" si="859"/>
        <v>3.2602080086337004</v>
      </c>
      <c r="BJ303" s="22">
        <f t="shared" si="859"/>
        <v>3.9942806712685828</v>
      </c>
      <c r="BK303" s="22">
        <f t="shared" si="859"/>
        <v>4.1457586295549573</v>
      </c>
      <c r="BL303" s="22">
        <f t="shared" si="859"/>
        <v>3.7101002842490698</v>
      </c>
      <c r="BM303" s="22">
        <f t="shared" si="859"/>
        <v>3.7329347999882536</v>
      </c>
      <c r="BN303" s="22">
        <f t="shared" si="859"/>
        <v>5.1038565334726211</v>
      </c>
      <c r="BO303" s="22">
        <f t="shared" si="859"/>
        <v>5.6313755968288035</v>
      </c>
      <c r="BP303" s="22">
        <f t="shared" si="859"/>
        <v>5.7365189092457216</v>
      </c>
      <c r="BQ303" s="22">
        <f t="shared" si="859"/>
        <v>5.4086749553300493</v>
      </c>
      <c r="BR303" s="22">
        <f t="shared" si="859"/>
        <v>5.242664358850563</v>
      </c>
      <c r="BS303" s="22">
        <f t="shared" si="859"/>
        <v>4.5380639902505209</v>
      </c>
      <c r="BT303" s="22">
        <f t="shared" ref="BT303:CE303" si="860">365/BT304</f>
        <v>5.2142857142857144</v>
      </c>
      <c r="BU303" s="22">
        <f t="shared" si="860"/>
        <v>5.2142857142857144</v>
      </c>
      <c r="BV303" s="22">
        <f t="shared" si="860"/>
        <v>5.2142857142857144</v>
      </c>
      <c r="BW303" s="22">
        <f t="shared" si="860"/>
        <v>5.2142857142857144</v>
      </c>
      <c r="BX303" s="22">
        <f t="shared" si="860"/>
        <v>5.2142857142857144</v>
      </c>
      <c r="BY303" s="22">
        <f t="shared" si="860"/>
        <v>5.2142857142857144</v>
      </c>
      <c r="BZ303" s="22">
        <f t="shared" si="860"/>
        <v>5.2142857142857144</v>
      </c>
      <c r="CA303" s="22">
        <f t="shared" si="860"/>
        <v>5.2142857142857144</v>
      </c>
      <c r="CB303" s="22">
        <f t="shared" si="860"/>
        <v>5.2142857142857144</v>
      </c>
      <c r="CC303" s="22">
        <f t="shared" si="860"/>
        <v>5.2142857142857144</v>
      </c>
      <c r="CD303" s="22">
        <f t="shared" si="860"/>
        <v>5.2142857142857144</v>
      </c>
      <c r="CE303" s="22">
        <f t="shared" si="860"/>
        <v>5.2142857142857144</v>
      </c>
      <c r="CF303" s="4"/>
      <c r="CG303" s="4"/>
      <c r="CH303" s="4"/>
      <c r="CI303" s="4"/>
      <c r="CJ303" s="4"/>
      <c r="CK303" s="4"/>
      <c r="CL303" s="4"/>
      <c r="CM303" s="4"/>
      <c r="CN303" s="240">
        <f t="shared" si="760"/>
        <v>296</v>
      </c>
    </row>
    <row r="304" spans="1:92" hidden="1" outlineLevel="2">
      <c r="A304" s="143"/>
      <c r="B304" s="10" t="s">
        <v>89</v>
      </c>
      <c r="C304" s="38"/>
      <c r="D304" s="38">
        <f t="shared" ref="D304:M304" si="861">365/D303</f>
        <v>85.832317965420046</v>
      </c>
      <c r="E304" s="38">
        <f t="shared" si="861"/>
        <v>80.437163688443377</v>
      </c>
      <c r="F304" s="38">
        <f t="shared" si="861"/>
        <v>105.8603875392736</v>
      </c>
      <c r="G304" s="38">
        <f t="shared" si="861"/>
        <v>70.680831259850564</v>
      </c>
      <c r="H304" s="38">
        <f t="shared" si="861"/>
        <v>75.328985515958806</v>
      </c>
      <c r="I304" s="38">
        <f t="shared" si="861"/>
        <v>79.642433534204983</v>
      </c>
      <c r="J304" s="38">
        <f t="shared" si="861"/>
        <v>80.849693444334079</v>
      </c>
      <c r="K304" s="38">
        <f t="shared" si="861"/>
        <v>83.688597179873653</v>
      </c>
      <c r="L304" s="38">
        <f t="shared" si="861"/>
        <v>125.18384645208253</v>
      </c>
      <c r="M304" s="38">
        <f t="shared" si="861"/>
        <v>100.47947183301461</v>
      </c>
      <c r="N304" s="38">
        <f>365/N303</f>
        <v>62.581041757693427</v>
      </c>
      <c r="O304" s="38">
        <f>365/O303</f>
        <v>70.598981658594951</v>
      </c>
      <c r="P304" s="38">
        <f>365/P303</f>
        <v>70.722138012349518</v>
      </c>
      <c r="Q304" s="38">
        <f>365/Q303</f>
        <v>69.08396657858971</v>
      </c>
      <c r="R304" s="38"/>
      <c r="S304" s="4"/>
      <c r="T304" s="4"/>
      <c r="U304" s="4"/>
      <c r="V304" s="4"/>
      <c r="W304" s="38"/>
      <c r="X304" s="38">
        <f>365/X303</f>
        <v>74.997284486561199</v>
      </c>
      <c r="Y304" s="38">
        <f t="shared" ref="Y304:BD304" si="862">365/Y303</f>
        <v>77.556096600828411</v>
      </c>
      <c r="Z304" s="38">
        <f t="shared" si="862"/>
        <v>80.101817987277016</v>
      </c>
      <c r="AA304" s="38">
        <f t="shared" si="862"/>
        <v>81.69371210987201</v>
      </c>
      <c r="AB304" s="38">
        <f t="shared" si="862"/>
        <v>83.054064719810583</v>
      </c>
      <c r="AC304" s="38">
        <f t="shared" si="862"/>
        <v>87.49528959662284</v>
      </c>
      <c r="AD304" s="38">
        <f t="shared" si="862"/>
        <v>91.667484764850812</v>
      </c>
      <c r="AE304" s="38">
        <f t="shared" si="862"/>
        <v>82.449882914672742</v>
      </c>
      <c r="AF304" s="38">
        <f t="shared" si="862"/>
        <v>80.981616360843105</v>
      </c>
      <c r="AG304" s="38">
        <f t="shared" si="862"/>
        <v>78.045911760732963</v>
      </c>
      <c r="AH304" s="38">
        <f t="shared" si="862"/>
        <v>79.232174549041616</v>
      </c>
      <c r="AI304" s="38">
        <f t="shared" si="862"/>
        <v>85.904014918101865</v>
      </c>
      <c r="AJ304" s="38">
        <f t="shared" si="862"/>
        <v>94.133415309381576</v>
      </c>
      <c r="AK304" s="38">
        <f t="shared" si="862"/>
        <v>98.630504141145337</v>
      </c>
      <c r="AL304" s="38">
        <f t="shared" si="862"/>
        <v>82.629654431404603</v>
      </c>
      <c r="AM304" s="38">
        <f t="shared" si="862"/>
        <v>74.444948823934666</v>
      </c>
      <c r="AN304" s="38">
        <f t="shared" si="862"/>
        <v>70.686598614082499</v>
      </c>
      <c r="AO304" s="38">
        <f t="shared" si="862"/>
        <v>75.399346470485881</v>
      </c>
      <c r="AP304" s="38">
        <f t="shared" si="862"/>
        <v>75.234296409662491</v>
      </c>
      <c r="AQ304" s="38">
        <f t="shared" si="862"/>
        <v>79.807599712321405</v>
      </c>
      <c r="AR304" s="38">
        <f t="shared" si="862"/>
        <v>77.803471936630515</v>
      </c>
      <c r="AS304" s="38">
        <f t="shared" si="862"/>
        <v>74.626789034812077</v>
      </c>
      <c r="AT304" s="38">
        <f t="shared" si="862"/>
        <v>76.091328013778408</v>
      </c>
      <c r="AU304" s="38">
        <f t="shared" si="862"/>
        <v>84.914900773019696</v>
      </c>
      <c r="AV304" s="38">
        <f t="shared" si="862"/>
        <v>80.530385110544671</v>
      </c>
      <c r="AW304" s="38">
        <f t="shared" si="862"/>
        <v>76.567793877697937</v>
      </c>
      <c r="AX304" s="38">
        <f t="shared" si="862"/>
        <v>76.457304495171655</v>
      </c>
      <c r="AY304" s="38">
        <f t="shared" si="862"/>
        <v>74.337734763013302</v>
      </c>
      <c r="AZ304" s="38">
        <f t="shared" si="862"/>
        <v>81.715509568574575</v>
      </c>
      <c r="BA304" s="38">
        <f t="shared" si="862"/>
        <v>75.390245614840268</v>
      </c>
      <c r="BB304" s="38">
        <f t="shared" si="862"/>
        <v>71.621869915967764</v>
      </c>
      <c r="BC304" s="38">
        <f t="shared" si="862"/>
        <v>77.494322160412835</v>
      </c>
      <c r="BD304" s="38">
        <f t="shared" si="862"/>
        <v>82.312741183833907</v>
      </c>
      <c r="BE304" s="38">
        <f t="shared" ref="BE304:BJ304" si="863">365/BE303</f>
        <v>80.936856052612171</v>
      </c>
      <c r="BF304" s="38">
        <f t="shared" si="863"/>
        <v>85.086901104265621</v>
      </c>
      <c r="BG304" s="38">
        <f t="shared" si="863"/>
        <v>88.500618271576045</v>
      </c>
      <c r="BH304" s="38">
        <f t="shared" si="863"/>
        <v>119.64021155881558</v>
      </c>
      <c r="BI304" s="38">
        <f t="shared" si="863"/>
        <v>111.95604667966124</v>
      </c>
      <c r="BJ304" s="38">
        <f t="shared" si="863"/>
        <v>91.380659007138846</v>
      </c>
      <c r="BK304" s="38">
        <f t="shared" ref="BK304:BP304" si="864">365/BK303</f>
        <v>88.041787430153008</v>
      </c>
      <c r="BL304" s="38">
        <f t="shared" si="864"/>
        <v>98.380090034109841</v>
      </c>
      <c r="BM304" s="38">
        <f t="shared" si="864"/>
        <v>97.778294976153489</v>
      </c>
      <c r="BN304" s="38">
        <f t="shared" si="864"/>
        <v>71.514549362079549</v>
      </c>
      <c r="BO304" s="38">
        <f t="shared" si="864"/>
        <v>64.81542453064975</v>
      </c>
      <c r="BP304" s="38">
        <f t="shared" si="864"/>
        <v>63.627437784911407</v>
      </c>
      <c r="BQ304" s="38">
        <f>365/BQ303</f>
        <v>67.484181063664394</v>
      </c>
      <c r="BR304" s="38">
        <f>365/BR303</f>
        <v>69.621088632884565</v>
      </c>
      <c r="BS304" s="38">
        <f>365/BS303</f>
        <v>80.430774176864446</v>
      </c>
      <c r="BT304" s="213">
        <v>70</v>
      </c>
      <c r="BU304" s="213">
        <f>BT304</f>
        <v>70</v>
      </c>
      <c r="BV304" s="213">
        <f>BU304</f>
        <v>70</v>
      </c>
      <c r="BW304" s="213">
        <f>BV304</f>
        <v>70</v>
      </c>
      <c r="BX304" s="214">
        <f>BW304</f>
        <v>70</v>
      </c>
      <c r="BY304" s="214">
        <f t="shared" ref="BY304:CE308" si="865">BX304</f>
        <v>70</v>
      </c>
      <c r="BZ304" s="214">
        <f t="shared" si="865"/>
        <v>70</v>
      </c>
      <c r="CA304" s="214">
        <f t="shared" si="865"/>
        <v>70</v>
      </c>
      <c r="CB304" s="214">
        <f t="shared" si="865"/>
        <v>70</v>
      </c>
      <c r="CC304" s="214">
        <f t="shared" si="865"/>
        <v>70</v>
      </c>
      <c r="CD304" s="214">
        <f t="shared" si="865"/>
        <v>70</v>
      </c>
      <c r="CE304" s="214">
        <f t="shared" si="865"/>
        <v>70</v>
      </c>
      <c r="CF304" s="4"/>
      <c r="CG304" s="4"/>
      <c r="CH304" s="4"/>
      <c r="CI304" s="4"/>
      <c r="CJ304" s="4"/>
      <c r="CK304" s="4"/>
      <c r="CL304" s="4"/>
      <c r="CM304" s="4"/>
      <c r="CN304" s="240">
        <f t="shared" si="760"/>
        <v>297</v>
      </c>
    </row>
    <row r="305" spans="1:92" hidden="1" outlineLevel="2">
      <c r="A305" s="143"/>
      <c r="B305" s="10" t="s">
        <v>90</v>
      </c>
      <c r="C305" s="22"/>
      <c r="D305" s="22">
        <f t="shared" ref="D305:Q305" si="866">(D211)/AVERAGE(C258:D258)</f>
        <v>14.497932663910214</v>
      </c>
      <c r="E305" s="22">
        <f t="shared" si="866"/>
        <v>12.688955795467429</v>
      </c>
      <c r="F305" s="22">
        <f t="shared" si="866"/>
        <v>7.4827873666660327</v>
      </c>
      <c r="G305" s="22">
        <f t="shared" si="866"/>
        <v>10.177734016455</v>
      </c>
      <c r="H305" s="22">
        <f t="shared" si="866"/>
        <v>12.330838860283162</v>
      </c>
      <c r="I305" s="22">
        <f t="shared" si="866"/>
        <v>9.1269638009987393</v>
      </c>
      <c r="J305" s="22">
        <f t="shared" si="866"/>
        <v>8.7414411281970761</v>
      </c>
      <c r="K305" s="22">
        <f t="shared" si="866"/>
        <v>10.471519940470918</v>
      </c>
      <c r="L305" s="22">
        <f t="shared" si="866"/>
        <v>6.8982228606029894</v>
      </c>
      <c r="M305" s="22">
        <f t="shared" si="866"/>
        <v>5.2020257056813515</v>
      </c>
      <c r="N305" s="22">
        <f t="shared" si="866"/>
        <v>9.4572053301789563</v>
      </c>
      <c r="O305" s="22">
        <f t="shared" si="866"/>
        <v>10.321564439170325</v>
      </c>
      <c r="P305" s="22">
        <f t="shared" si="866"/>
        <v>9.8728287129812475</v>
      </c>
      <c r="Q305" s="22">
        <f t="shared" si="866"/>
        <v>10.133650984542944</v>
      </c>
      <c r="R305" s="22"/>
      <c r="S305" s="4"/>
      <c r="T305" s="4"/>
      <c r="U305" s="4"/>
      <c r="V305" s="4"/>
      <c r="W305" s="22"/>
      <c r="X305" s="22">
        <f t="shared" ref="X305:BS305" si="867">(4*X211)/AVERAGE(W258:X258)</f>
        <v>18.52923770607299</v>
      </c>
      <c r="Y305" s="22">
        <f t="shared" si="867"/>
        <v>17.636490162586199</v>
      </c>
      <c r="Z305" s="22">
        <f t="shared" si="867"/>
        <v>16.878221208665906</v>
      </c>
      <c r="AA305" s="22">
        <f t="shared" si="867"/>
        <v>15.615942028985508</v>
      </c>
      <c r="AB305" s="22">
        <f t="shared" si="867"/>
        <v>15.492499004292602</v>
      </c>
      <c r="AC305" s="22">
        <f t="shared" si="867"/>
        <v>14.38795986622074</v>
      </c>
      <c r="AD305" s="22">
        <f t="shared" si="867"/>
        <v>13.746438639353499</v>
      </c>
      <c r="AE305" s="22">
        <f t="shared" si="867"/>
        <v>13.988023952095809</v>
      </c>
      <c r="AF305" s="22">
        <f t="shared" si="867"/>
        <v>14.704154951577634</v>
      </c>
      <c r="AG305" s="22">
        <f t="shared" si="867"/>
        <v>13.709803921568628</v>
      </c>
      <c r="AH305" s="22">
        <f t="shared" si="867"/>
        <v>14.134451139638458</v>
      </c>
      <c r="AI305" s="22">
        <f t="shared" si="867"/>
        <v>11.58324116267752</v>
      </c>
      <c r="AJ305" s="22">
        <f t="shared" si="867"/>
        <v>8.2691982329166276</v>
      </c>
      <c r="AK305" s="22">
        <f t="shared" si="867"/>
        <v>6.5847905652704339</v>
      </c>
      <c r="AL305" s="22">
        <f t="shared" si="867"/>
        <v>6.6092643848254813</v>
      </c>
      <c r="AM305" s="22">
        <f t="shared" si="867"/>
        <v>7.3599251879293597</v>
      </c>
      <c r="AN305" s="22">
        <f t="shared" si="867"/>
        <v>9.1013877063785369</v>
      </c>
      <c r="AO305" s="22">
        <f t="shared" si="867"/>
        <v>9.640531176831427</v>
      </c>
      <c r="AP305" s="22">
        <f t="shared" si="867"/>
        <v>10.761049504121855</v>
      </c>
      <c r="AQ305" s="22">
        <f t="shared" si="867"/>
        <v>11.082566476374984</v>
      </c>
      <c r="AR305" s="22">
        <f t="shared" si="867"/>
        <v>11.895205024011819</v>
      </c>
      <c r="AS305" s="22">
        <f t="shared" si="867"/>
        <v>14.031050764264947</v>
      </c>
      <c r="AT305" s="22">
        <f t="shared" si="867"/>
        <v>13.035967705319775</v>
      </c>
      <c r="AU305" s="22">
        <f t="shared" si="867"/>
        <v>11.201834957174004</v>
      </c>
      <c r="AV305" s="22">
        <f t="shared" si="867"/>
        <v>10.318500266194269</v>
      </c>
      <c r="AW305" s="22">
        <f t="shared" si="867"/>
        <v>9.7472136672167853</v>
      </c>
      <c r="AX305" s="22">
        <f t="shared" si="867"/>
        <v>8.3036345010015147</v>
      </c>
      <c r="AY305" s="22">
        <f t="shared" si="867"/>
        <v>7.886587280585692</v>
      </c>
      <c r="AZ305" s="22">
        <f t="shared" si="867"/>
        <v>7.844356952502114</v>
      </c>
      <c r="BA305" s="22">
        <f t="shared" si="867"/>
        <v>8.6213481630266973</v>
      </c>
      <c r="BB305" s="22">
        <f t="shared" si="867"/>
        <v>9.260312608385771</v>
      </c>
      <c r="BC305" s="22">
        <f t="shared" si="867"/>
        <v>10.012283806959777</v>
      </c>
      <c r="BD305" s="22">
        <f t="shared" si="867"/>
        <v>10.064079350133992</v>
      </c>
      <c r="BE305" s="22">
        <f t="shared" si="867"/>
        <v>10.905329560064541</v>
      </c>
      <c r="BF305" s="22">
        <f t="shared" si="867"/>
        <v>10.88327230996229</v>
      </c>
      <c r="BG305" s="22">
        <f t="shared" si="867"/>
        <v>10.091413914633399</v>
      </c>
      <c r="BH305" s="22">
        <f t="shared" si="867"/>
        <v>7.5638277580025175</v>
      </c>
      <c r="BI305" s="22">
        <f t="shared" si="867"/>
        <v>6.4293397817344813</v>
      </c>
      <c r="BJ305" s="22">
        <f t="shared" si="867"/>
        <v>6.6284124254483689</v>
      </c>
      <c r="BK305" s="22">
        <f t="shared" si="867"/>
        <v>6.5719995919739773</v>
      </c>
      <c r="BL305" s="22">
        <f t="shared" si="867"/>
        <v>5.0883445746065563</v>
      </c>
      <c r="BM305" s="22">
        <f t="shared" si="867"/>
        <v>4.2149160108362418</v>
      </c>
      <c r="BN305" s="22">
        <f t="shared" si="867"/>
        <v>5.1147066863002699</v>
      </c>
      <c r="BO305" s="22">
        <f t="shared" si="867"/>
        <v>6.3734214176217243</v>
      </c>
      <c r="BP305" s="22">
        <f t="shared" si="867"/>
        <v>7.854027721657487</v>
      </c>
      <c r="BQ305" s="22">
        <f t="shared" si="867"/>
        <v>9.0476440653063399</v>
      </c>
      <c r="BR305" s="22">
        <f t="shared" si="867"/>
        <v>10.435321236898107</v>
      </c>
      <c r="BS305" s="22">
        <f t="shared" si="867"/>
        <v>10.015765144046444</v>
      </c>
      <c r="BT305" s="22">
        <f t="shared" ref="BT305:CE305" si="868">365/BT306</f>
        <v>10.015765144046444</v>
      </c>
      <c r="BU305" s="22">
        <f t="shared" si="868"/>
        <v>10.015765144046444</v>
      </c>
      <c r="BV305" s="22">
        <f t="shared" si="868"/>
        <v>10.015765144046444</v>
      </c>
      <c r="BW305" s="22">
        <f t="shared" si="868"/>
        <v>10.015765144046444</v>
      </c>
      <c r="BX305" s="22">
        <f t="shared" si="868"/>
        <v>10.015765144046444</v>
      </c>
      <c r="BY305" s="22">
        <f t="shared" si="868"/>
        <v>10.015765144046444</v>
      </c>
      <c r="BZ305" s="22">
        <f t="shared" si="868"/>
        <v>10.015765144046444</v>
      </c>
      <c r="CA305" s="22">
        <f t="shared" si="868"/>
        <v>10.015765144046444</v>
      </c>
      <c r="CB305" s="22">
        <f t="shared" si="868"/>
        <v>10.015765144046444</v>
      </c>
      <c r="CC305" s="22">
        <f t="shared" si="868"/>
        <v>10.015765144046444</v>
      </c>
      <c r="CD305" s="22">
        <f t="shared" si="868"/>
        <v>10.015765144046444</v>
      </c>
      <c r="CE305" s="22">
        <f t="shared" si="868"/>
        <v>10.015765144046444</v>
      </c>
      <c r="CF305" s="4"/>
      <c r="CG305" s="4"/>
      <c r="CH305" s="4"/>
      <c r="CI305" s="4"/>
      <c r="CJ305" s="4"/>
      <c r="CK305" s="4"/>
      <c r="CL305" s="4"/>
      <c r="CM305" s="4"/>
      <c r="CN305" s="240">
        <f t="shared" si="760"/>
        <v>298</v>
      </c>
    </row>
    <row r="306" spans="1:92" hidden="1" outlineLevel="2">
      <c r="A306" s="143"/>
      <c r="B306" s="10" t="s">
        <v>91</v>
      </c>
      <c r="C306" s="38"/>
      <c r="D306" s="38">
        <f t="shared" ref="D306:M306" si="869">365/D305</f>
        <v>25.176003259319625</v>
      </c>
      <c r="E306" s="38">
        <f t="shared" si="869"/>
        <v>28.765172318622167</v>
      </c>
      <c r="F306" s="38">
        <f t="shared" si="869"/>
        <v>48.778614454018133</v>
      </c>
      <c r="G306" s="38">
        <f t="shared" si="869"/>
        <v>35.862599613025935</v>
      </c>
      <c r="H306" s="38">
        <f t="shared" si="869"/>
        <v>29.600581447515424</v>
      </c>
      <c r="I306" s="38">
        <f t="shared" si="869"/>
        <v>39.991393409499338</v>
      </c>
      <c r="J306" s="38">
        <f t="shared" si="869"/>
        <v>41.755128776492867</v>
      </c>
      <c r="K306" s="38">
        <f t="shared" si="869"/>
        <v>34.85644892766021</v>
      </c>
      <c r="L306" s="38">
        <f t="shared" si="869"/>
        <v>52.912178596690701</v>
      </c>
      <c r="M306" s="38">
        <f t="shared" si="869"/>
        <v>70.164974310174614</v>
      </c>
      <c r="N306" s="38">
        <f>365/N305</f>
        <v>38.594911208625859</v>
      </c>
      <c r="O306" s="38">
        <f>365/O305</f>
        <v>35.362856294809866</v>
      </c>
      <c r="P306" s="38">
        <f>365/P305</f>
        <v>36.970154209206655</v>
      </c>
      <c r="Q306" s="38">
        <f>365/Q305</f>
        <v>36.018607761086464</v>
      </c>
      <c r="R306" s="38"/>
      <c r="S306" s="4"/>
      <c r="T306" s="4"/>
      <c r="U306" s="4"/>
      <c r="V306" s="4"/>
      <c r="W306" s="38"/>
      <c r="X306" s="38">
        <f>365/X305</f>
        <v>19.698597739958327</v>
      </c>
      <c r="Y306" s="38">
        <f t="shared" ref="Y306:BD306" si="870">365/Y305</f>
        <v>20.695727814046915</v>
      </c>
      <c r="Z306" s="38">
        <f t="shared" si="870"/>
        <v>21.625501614624852</v>
      </c>
      <c r="AA306" s="38">
        <f t="shared" si="870"/>
        <v>23.373549883990719</v>
      </c>
      <c r="AB306" s="38">
        <f t="shared" si="870"/>
        <v>23.559788507900965</v>
      </c>
      <c r="AC306" s="38">
        <f t="shared" si="870"/>
        <v>25.36843328684332</v>
      </c>
      <c r="AD306" s="38">
        <f t="shared" si="870"/>
        <v>26.552331813061226</v>
      </c>
      <c r="AE306" s="38">
        <f t="shared" si="870"/>
        <v>26.09375</v>
      </c>
      <c r="AF306" s="38">
        <f t="shared" si="870"/>
        <v>24.822915781422619</v>
      </c>
      <c r="AG306" s="38">
        <f t="shared" si="870"/>
        <v>26.623283752860409</v>
      </c>
      <c r="AH306" s="38">
        <f t="shared" si="870"/>
        <v>25.823429321312599</v>
      </c>
      <c r="AI306" s="38">
        <f t="shared" si="870"/>
        <v>31.511042105906437</v>
      </c>
      <c r="AJ306" s="38">
        <f t="shared" si="870"/>
        <v>44.13970855687915</v>
      </c>
      <c r="AK306" s="38">
        <f t="shared" si="870"/>
        <v>55.430768280632421</v>
      </c>
      <c r="AL306" s="38">
        <f t="shared" si="870"/>
        <v>55.225510548196638</v>
      </c>
      <c r="AM306" s="38">
        <f t="shared" si="870"/>
        <v>49.59289540043396</v>
      </c>
      <c r="AN306" s="38">
        <f t="shared" si="870"/>
        <v>40.103774476522588</v>
      </c>
      <c r="AO306" s="38">
        <f t="shared" si="870"/>
        <v>37.860984348786197</v>
      </c>
      <c r="AP306" s="38">
        <f t="shared" si="870"/>
        <v>33.918624745680461</v>
      </c>
      <c r="AQ306" s="38">
        <f t="shared" si="870"/>
        <v>32.934609576047272</v>
      </c>
      <c r="AR306" s="38">
        <f t="shared" si="870"/>
        <v>30.684632947747108</v>
      </c>
      <c r="AS306" s="38">
        <f t="shared" si="870"/>
        <v>26.013732409093844</v>
      </c>
      <c r="AT306" s="38">
        <f t="shared" si="870"/>
        <v>27.999455679155233</v>
      </c>
      <c r="AU306" s="38">
        <f t="shared" si="870"/>
        <v>32.583947308225838</v>
      </c>
      <c r="AV306" s="38">
        <f t="shared" si="870"/>
        <v>35.373357618240533</v>
      </c>
      <c r="AW306" s="38">
        <f t="shared" si="870"/>
        <v>37.446598839586322</v>
      </c>
      <c r="AX306" s="38">
        <f t="shared" si="870"/>
        <v>43.956655360490245</v>
      </c>
      <c r="AY306" s="38">
        <f t="shared" si="870"/>
        <v>46.281108293636173</v>
      </c>
      <c r="AZ306" s="38">
        <f t="shared" si="870"/>
        <v>46.530264011452971</v>
      </c>
      <c r="BA306" s="38">
        <f t="shared" si="870"/>
        <v>42.3367660252175</v>
      </c>
      <c r="BB306" s="38">
        <f t="shared" si="870"/>
        <v>39.41551602366755</v>
      </c>
      <c r="BC306" s="38">
        <f t="shared" si="870"/>
        <v>36.455219112574476</v>
      </c>
      <c r="BD306" s="38">
        <f t="shared" si="870"/>
        <v>36.267599578807015</v>
      </c>
      <c r="BE306" s="38">
        <f t="shared" ref="BE306:BJ306" si="871">365/BE305</f>
        <v>33.469873421949096</v>
      </c>
      <c r="BF306" s="38">
        <f t="shared" si="871"/>
        <v>33.537707189949444</v>
      </c>
      <c r="BG306" s="38">
        <f t="shared" si="871"/>
        <v>36.169361705669338</v>
      </c>
      <c r="BH306" s="38">
        <f t="shared" si="871"/>
        <v>48.255990442647324</v>
      </c>
      <c r="BI306" s="38">
        <f t="shared" si="871"/>
        <v>56.770992417752069</v>
      </c>
      <c r="BJ306" s="38">
        <f t="shared" si="871"/>
        <v>55.065976069723831</v>
      </c>
      <c r="BK306" s="38">
        <f t="shared" ref="BK306:BP306" si="872">365/BK305</f>
        <v>55.538652261292661</v>
      </c>
      <c r="BL306" s="38">
        <f t="shared" si="872"/>
        <v>71.732563439499913</v>
      </c>
      <c r="BM306" s="38">
        <f t="shared" si="872"/>
        <v>86.597217847665675</v>
      </c>
      <c r="BN306" s="38">
        <f t="shared" si="872"/>
        <v>71.362840996855525</v>
      </c>
      <c r="BO306" s="38">
        <f t="shared" si="872"/>
        <v>57.269082974934001</v>
      </c>
      <c r="BP306" s="38">
        <f t="shared" si="872"/>
        <v>46.472970676371851</v>
      </c>
      <c r="BQ306" s="38">
        <f>365/BQ305</f>
        <v>40.341993712994459</v>
      </c>
      <c r="BR306" s="38">
        <f>365/BR305</f>
        <v>34.977361186486682</v>
      </c>
      <c r="BS306" s="38">
        <f>365/BS305</f>
        <v>36.442547798453795</v>
      </c>
      <c r="BT306" s="213">
        <f t="shared" ref="BT306:CA306" si="873">BS306</f>
        <v>36.442547798453795</v>
      </c>
      <c r="BU306" s="213">
        <f t="shared" si="873"/>
        <v>36.442547798453795</v>
      </c>
      <c r="BV306" s="213">
        <f t="shared" si="873"/>
        <v>36.442547798453795</v>
      </c>
      <c r="BW306" s="213">
        <f t="shared" si="873"/>
        <v>36.442547798453795</v>
      </c>
      <c r="BX306" s="214">
        <f t="shared" si="873"/>
        <v>36.442547798453795</v>
      </c>
      <c r="BY306" s="214">
        <f t="shared" si="873"/>
        <v>36.442547798453795</v>
      </c>
      <c r="BZ306" s="214">
        <f t="shared" si="873"/>
        <v>36.442547798453795</v>
      </c>
      <c r="CA306" s="214">
        <f t="shared" si="873"/>
        <v>36.442547798453795</v>
      </c>
      <c r="CB306" s="214">
        <f t="shared" si="865"/>
        <v>36.442547798453795</v>
      </c>
      <c r="CC306" s="214">
        <f t="shared" si="865"/>
        <v>36.442547798453795</v>
      </c>
      <c r="CD306" s="214">
        <f t="shared" si="865"/>
        <v>36.442547798453795</v>
      </c>
      <c r="CE306" s="214">
        <f t="shared" si="865"/>
        <v>36.442547798453795</v>
      </c>
      <c r="CF306" s="4"/>
      <c r="CG306" s="4"/>
      <c r="CH306" s="4"/>
      <c r="CI306" s="4"/>
      <c r="CJ306" s="4"/>
      <c r="CK306" s="4"/>
      <c r="CL306" s="4"/>
      <c r="CM306" s="4"/>
      <c r="CN306" s="240">
        <f t="shared" si="760"/>
        <v>299</v>
      </c>
    </row>
    <row r="307" spans="1:92" hidden="1" outlineLevel="2">
      <c r="A307" s="143"/>
      <c r="B307" s="10" t="s">
        <v>92</v>
      </c>
      <c r="C307" s="22"/>
      <c r="D307" s="22">
        <f t="shared" ref="D307:Q307" si="874">(D211)/AVERAGE(C270:D270)</f>
        <v>6.5781363063811522</v>
      </c>
      <c r="E307" s="22">
        <f t="shared" si="874"/>
        <v>8.2166443697588676</v>
      </c>
      <c r="F307" s="22">
        <f t="shared" si="874"/>
        <v>7.1098569744102091</v>
      </c>
      <c r="G307" s="22">
        <f t="shared" si="874"/>
        <v>9.482759961127309</v>
      </c>
      <c r="H307" s="22">
        <f t="shared" si="874"/>
        <v>10.054954642343725</v>
      </c>
      <c r="I307" s="22">
        <f t="shared" si="874"/>
        <v>9.4590629335188776</v>
      </c>
      <c r="J307" s="22">
        <f t="shared" si="874"/>
        <v>10.209251755335872</v>
      </c>
      <c r="K307" s="22">
        <f t="shared" si="874"/>
        <v>10.031773404031419</v>
      </c>
      <c r="L307" s="22">
        <f t="shared" si="874"/>
        <v>7.7995358779112136</v>
      </c>
      <c r="M307" s="22">
        <f t="shared" si="874"/>
        <v>8.4157242717650487</v>
      </c>
      <c r="N307" s="22">
        <f t="shared" si="874"/>
        <v>12.13047276405476</v>
      </c>
      <c r="O307" s="22">
        <f t="shared" si="874"/>
        <v>10.867885518773141</v>
      </c>
      <c r="P307" s="22">
        <f t="shared" si="874"/>
        <v>9.9991405642097124</v>
      </c>
      <c r="Q307" s="22">
        <f t="shared" si="874"/>
        <v>10.263299766343218</v>
      </c>
      <c r="R307" s="22"/>
      <c r="S307" s="4"/>
      <c r="T307" s="4"/>
      <c r="U307" s="4"/>
      <c r="V307" s="4"/>
      <c r="W307" s="22"/>
      <c r="X307" s="22">
        <f t="shared" ref="X307:BS307" si="875">(4*X211)/AVERAGE(W270:X270)</f>
        <v>8.5525584117847924</v>
      </c>
      <c r="Y307" s="22">
        <f t="shared" si="875"/>
        <v>7.9062974149544116</v>
      </c>
      <c r="Z307" s="22">
        <f t="shared" si="875"/>
        <v>6.1551448115267071</v>
      </c>
      <c r="AA307" s="22">
        <f t="shared" si="875"/>
        <v>5.7837792501887115</v>
      </c>
      <c r="AB307" s="22">
        <f t="shared" si="875"/>
        <v>6.3495783077899697</v>
      </c>
      <c r="AC307" s="22">
        <f t="shared" si="875"/>
        <v>6.0371714129244269</v>
      </c>
      <c r="AD307" s="22">
        <f t="shared" si="875"/>
        <v>6.7117020398051013</v>
      </c>
      <c r="AE307" s="22">
        <f t="shared" si="875"/>
        <v>7.1407014753953533</v>
      </c>
      <c r="AF307" s="22">
        <f t="shared" si="875"/>
        <v>6.6136465827338125</v>
      </c>
      <c r="AG307" s="22">
        <f t="shared" si="875"/>
        <v>6.6602009005888476</v>
      </c>
      <c r="AH307" s="22">
        <f t="shared" si="875"/>
        <v>7.9494898147124911</v>
      </c>
      <c r="AI307" s="22">
        <f t="shared" si="875"/>
        <v>7.8407391047189803</v>
      </c>
      <c r="AJ307" s="22">
        <f t="shared" si="875"/>
        <v>7.8655341975860544</v>
      </c>
      <c r="AK307" s="22">
        <f t="shared" si="875"/>
        <v>8.404733891618795</v>
      </c>
      <c r="AL307" s="22">
        <f t="shared" si="875"/>
        <v>9.9645508256324806</v>
      </c>
      <c r="AM307" s="22">
        <f t="shared" si="875"/>
        <v>9.4700111069974096</v>
      </c>
      <c r="AN307" s="22">
        <f t="shared" si="875"/>
        <v>10.344809697211556</v>
      </c>
      <c r="AO307" s="22">
        <f t="shared" si="875"/>
        <v>10.153638961180773</v>
      </c>
      <c r="AP307" s="22">
        <f t="shared" si="875"/>
        <v>9.3266019642831228</v>
      </c>
      <c r="AQ307" s="22">
        <f t="shared" si="875"/>
        <v>8.8869250751286106</v>
      </c>
      <c r="AR307" s="22">
        <f t="shared" si="875"/>
        <v>9.1434542604665925</v>
      </c>
      <c r="AS307" s="22">
        <f t="shared" si="875"/>
        <v>9.7105116193201493</v>
      </c>
      <c r="AT307" s="22">
        <f t="shared" si="875"/>
        <v>8.6522841070655883</v>
      </c>
      <c r="AU307" s="22">
        <f t="shared" si="875"/>
        <v>8.2606678222442369</v>
      </c>
      <c r="AV307" s="22">
        <f t="shared" si="875"/>
        <v>8.5762305674119883</v>
      </c>
      <c r="AW307" s="22">
        <f t="shared" si="875"/>
        <v>9.0230887058615945</v>
      </c>
      <c r="AX307" s="22">
        <f t="shared" si="875"/>
        <v>9.3997931604477785</v>
      </c>
      <c r="AY307" s="22">
        <f t="shared" si="875"/>
        <v>9.9814950433151708</v>
      </c>
      <c r="AZ307" s="22">
        <f t="shared" si="875"/>
        <v>9.2236430926355002</v>
      </c>
      <c r="BA307" s="22">
        <f t="shared" si="875"/>
        <v>9.9558340509686989</v>
      </c>
      <c r="BB307" s="22">
        <f t="shared" si="875"/>
        <v>10.817509928585421</v>
      </c>
      <c r="BC307" s="22">
        <f t="shared" si="875"/>
        <v>10.833673053403997</v>
      </c>
      <c r="BD307" s="22">
        <f t="shared" si="875"/>
        <v>10.132172791747262</v>
      </c>
      <c r="BE307" s="22">
        <f t="shared" si="875"/>
        <v>10.243865723317779</v>
      </c>
      <c r="BF307" s="22">
        <f t="shared" si="875"/>
        <v>9.5684244347886107</v>
      </c>
      <c r="BG307" s="22">
        <f t="shared" si="875"/>
        <v>8.7371951031915405</v>
      </c>
      <c r="BH307" s="22">
        <f t="shared" si="875"/>
        <v>8.7701160197177312</v>
      </c>
      <c r="BI307" s="22">
        <f t="shared" si="875"/>
        <v>11.577586774879459</v>
      </c>
      <c r="BJ307" s="22">
        <f t="shared" si="875"/>
        <v>12.218128799614666</v>
      </c>
      <c r="BK307" s="22">
        <f t="shared" si="875"/>
        <v>11.307509799205661</v>
      </c>
      <c r="BL307" s="22">
        <f t="shared" si="875"/>
        <v>10.600665598422287</v>
      </c>
      <c r="BM307" s="22">
        <f t="shared" si="875"/>
        <v>11.897231720455293</v>
      </c>
      <c r="BN307" s="22">
        <f t="shared" si="875"/>
        <v>12.298089766150062</v>
      </c>
      <c r="BO307" s="22">
        <f t="shared" si="875"/>
        <v>11.1437004419343</v>
      </c>
      <c r="BP307" s="22">
        <f t="shared" si="875"/>
        <v>10.625750893701705</v>
      </c>
      <c r="BQ307" s="22">
        <f t="shared" si="875"/>
        <v>10.364245604908426</v>
      </c>
      <c r="BR307" s="22">
        <f t="shared" si="875"/>
        <v>10.450857626472763</v>
      </c>
      <c r="BS307" s="22">
        <f t="shared" si="875"/>
        <v>10.143905707768635</v>
      </c>
      <c r="BT307" s="22">
        <f t="shared" ref="BT307:CE307" si="876">365/BT308</f>
        <v>10.143905707768635</v>
      </c>
      <c r="BU307" s="22">
        <f t="shared" si="876"/>
        <v>10.143905707768635</v>
      </c>
      <c r="BV307" s="22">
        <f t="shared" si="876"/>
        <v>10.143905707768635</v>
      </c>
      <c r="BW307" s="22">
        <f t="shared" si="876"/>
        <v>10.143905707768635</v>
      </c>
      <c r="BX307" s="22">
        <f t="shared" si="876"/>
        <v>10.143905707768635</v>
      </c>
      <c r="BY307" s="22">
        <f t="shared" si="876"/>
        <v>10.143905707768635</v>
      </c>
      <c r="BZ307" s="22">
        <f t="shared" si="876"/>
        <v>10.143905707768635</v>
      </c>
      <c r="CA307" s="22">
        <f t="shared" si="876"/>
        <v>10.143905707768635</v>
      </c>
      <c r="CB307" s="22">
        <f t="shared" si="876"/>
        <v>10.143905707768635</v>
      </c>
      <c r="CC307" s="22">
        <f t="shared" si="876"/>
        <v>10.143905707768635</v>
      </c>
      <c r="CD307" s="22">
        <f t="shared" si="876"/>
        <v>10.143905707768635</v>
      </c>
      <c r="CE307" s="22">
        <f t="shared" si="876"/>
        <v>10.143905707768635</v>
      </c>
      <c r="CF307" s="4"/>
      <c r="CG307" s="4"/>
      <c r="CH307" s="4"/>
      <c r="CI307" s="4"/>
      <c r="CJ307" s="4"/>
      <c r="CK307" s="4"/>
      <c r="CL307" s="4"/>
      <c r="CM307" s="4"/>
      <c r="CN307" s="240">
        <f t="shared" si="760"/>
        <v>300</v>
      </c>
    </row>
    <row r="308" spans="1:92" hidden="1" outlineLevel="2">
      <c r="A308" s="143"/>
      <c r="B308" s="10" t="s">
        <v>93</v>
      </c>
      <c r="C308" s="38"/>
      <c r="D308" s="38">
        <f t="shared" ref="D308:M308" si="877">365/D307</f>
        <v>55.486840497046259</v>
      </c>
      <c r="E308" s="38">
        <f t="shared" si="877"/>
        <v>44.422027238196215</v>
      </c>
      <c r="F308" s="38">
        <f t="shared" si="877"/>
        <v>51.337178977538883</v>
      </c>
      <c r="G308" s="38">
        <f t="shared" si="877"/>
        <v>38.490903650018033</v>
      </c>
      <c r="H308" s="38">
        <f t="shared" si="877"/>
        <v>36.300511835518492</v>
      </c>
      <c r="I308" s="38">
        <f t="shared" si="877"/>
        <v>38.58733180710702</v>
      </c>
      <c r="J308" s="38">
        <f t="shared" si="877"/>
        <v>35.75188551984062</v>
      </c>
      <c r="K308" s="38">
        <f t="shared" si="877"/>
        <v>36.38439439364921</v>
      </c>
      <c r="L308" s="38">
        <f t="shared" si="877"/>
        <v>46.797656387952962</v>
      </c>
      <c r="M308" s="38">
        <f t="shared" si="877"/>
        <v>43.371192806848903</v>
      </c>
      <c r="N308" s="38">
        <f>365/N307</f>
        <v>30.08951152189012</v>
      </c>
      <c r="O308" s="38">
        <f>365/O307</f>
        <v>33.585189995744848</v>
      </c>
      <c r="P308" s="38">
        <f>365/P307</f>
        <v>36.503137210257627</v>
      </c>
      <c r="Q308" s="38">
        <f>365/Q307</f>
        <v>35.56361095453498</v>
      </c>
      <c r="R308" s="38"/>
      <c r="S308" s="4"/>
      <c r="T308" s="4"/>
      <c r="U308" s="4"/>
      <c r="V308" s="4"/>
      <c r="W308" s="38"/>
      <c r="X308" s="38">
        <f>365/X307</f>
        <v>42.67728817812656</v>
      </c>
      <c r="Y308" s="38">
        <f t="shared" ref="Y308:BD308" si="878">365/Y307</f>
        <v>46.165731042399017</v>
      </c>
      <c r="Z308" s="38">
        <f t="shared" si="878"/>
        <v>59.299985812919694</v>
      </c>
      <c r="AA308" s="38">
        <f t="shared" si="878"/>
        <v>63.107526102088158</v>
      </c>
      <c r="AB308" s="38">
        <f t="shared" si="878"/>
        <v>57.48413237965746</v>
      </c>
      <c r="AC308" s="38">
        <f t="shared" si="878"/>
        <v>60.458776972706943</v>
      </c>
      <c r="AD308" s="38">
        <f t="shared" si="878"/>
        <v>54.382628703612582</v>
      </c>
      <c r="AE308" s="38">
        <f t="shared" si="878"/>
        <v>51.115426300578029</v>
      </c>
      <c r="AF308" s="38">
        <f t="shared" si="878"/>
        <v>55.188918160958615</v>
      </c>
      <c r="AG308" s="38">
        <f t="shared" si="878"/>
        <v>54.803151653838142</v>
      </c>
      <c r="AH308" s="38">
        <f t="shared" si="878"/>
        <v>45.914896239564648</v>
      </c>
      <c r="AI308" s="38">
        <f t="shared" si="878"/>
        <v>46.551733851254312</v>
      </c>
      <c r="AJ308" s="38">
        <f t="shared" si="878"/>
        <v>46.404985450577421</v>
      </c>
      <c r="AK308" s="38">
        <f t="shared" si="878"/>
        <v>43.427906785243749</v>
      </c>
      <c r="AL308" s="38">
        <f t="shared" si="878"/>
        <v>36.629849793237653</v>
      </c>
      <c r="AM308" s="38">
        <f t="shared" si="878"/>
        <v>38.54272142619778</v>
      </c>
      <c r="AN308" s="38">
        <f t="shared" si="878"/>
        <v>35.283394347832783</v>
      </c>
      <c r="AO308" s="38">
        <f t="shared" si="878"/>
        <v>35.947703222013509</v>
      </c>
      <c r="AP308" s="38">
        <f t="shared" si="878"/>
        <v>39.135367993379916</v>
      </c>
      <c r="AQ308" s="38">
        <f t="shared" si="878"/>
        <v>41.071573903723696</v>
      </c>
      <c r="AR308" s="38">
        <f t="shared" si="878"/>
        <v>39.919267883052107</v>
      </c>
      <c r="AS308" s="38">
        <f t="shared" si="878"/>
        <v>37.58813276880197</v>
      </c>
      <c r="AT308" s="38">
        <f t="shared" si="878"/>
        <v>42.185392375400085</v>
      </c>
      <c r="AU308" s="38">
        <f t="shared" si="878"/>
        <v>44.185289598152337</v>
      </c>
      <c r="AV308" s="38">
        <f t="shared" si="878"/>
        <v>42.559490108268449</v>
      </c>
      <c r="AW308" s="38">
        <f t="shared" si="878"/>
        <v>40.451780083120326</v>
      </c>
      <c r="AX308" s="38">
        <f t="shared" si="878"/>
        <v>38.830641671546367</v>
      </c>
      <c r="AY308" s="38">
        <f t="shared" si="878"/>
        <v>36.567668311817542</v>
      </c>
      <c r="AZ308" s="38">
        <f t="shared" si="878"/>
        <v>39.572216350330116</v>
      </c>
      <c r="BA308" s="38">
        <f t="shared" si="878"/>
        <v>36.661920852777335</v>
      </c>
      <c r="BB308" s="38">
        <f t="shared" si="878"/>
        <v>33.741591402239656</v>
      </c>
      <c r="BC308" s="38">
        <f t="shared" si="878"/>
        <v>33.691251175917209</v>
      </c>
      <c r="BD308" s="38">
        <f t="shared" si="878"/>
        <v>36.023862551702187</v>
      </c>
      <c r="BE308" s="38">
        <f t="shared" ref="BE308:BJ308" si="879">365/BE307</f>
        <v>35.631080088170464</v>
      </c>
      <c r="BF308" s="38">
        <f t="shared" si="879"/>
        <v>38.146301147861209</v>
      </c>
      <c r="BG308" s="38">
        <f t="shared" si="879"/>
        <v>41.77542056565408</v>
      </c>
      <c r="BH308" s="38">
        <f t="shared" si="879"/>
        <v>41.61860563524764</v>
      </c>
      <c r="BI308" s="38">
        <f t="shared" si="879"/>
        <v>31.526431811503329</v>
      </c>
      <c r="BJ308" s="38">
        <f t="shared" si="879"/>
        <v>29.873641535970002</v>
      </c>
      <c r="BK308" s="38">
        <f t="shared" ref="BK308:BP308" si="880">365/BK307</f>
        <v>32.279432561326701</v>
      </c>
      <c r="BL308" s="38">
        <f t="shared" si="880"/>
        <v>34.431800212085129</v>
      </c>
      <c r="BM308" s="38">
        <f t="shared" si="880"/>
        <v>30.679405812735727</v>
      </c>
      <c r="BN308" s="38">
        <f t="shared" si="880"/>
        <v>29.679406065537599</v>
      </c>
      <c r="BO308" s="38">
        <f t="shared" si="880"/>
        <v>32.75393141639799</v>
      </c>
      <c r="BP308" s="38">
        <f t="shared" si="880"/>
        <v>34.350513545009761</v>
      </c>
      <c r="BQ308" s="38">
        <f>365/BQ307</f>
        <v>35.217227950207864</v>
      </c>
      <c r="BR308" s="38">
        <f>365/BR307</f>
        <v>34.925363357302771</v>
      </c>
      <c r="BS308" s="38">
        <f>365/BS307</f>
        <v>35.982195666553508</v>
      </c>
      <c r="BT308" s="214">
        <f>BS308</f>
        <v>35.982195666553508</v>
      </c>
      <c r="BU308" s="214">
        <f>BT308</f>
        <v>35.982195666553508</v>
      </c>
      <c r="BV308" s="214">
        <f>BU308</f>
        <v>35.982195666553508</v>
      </c>
      <c r="BW308" s="214">
        <f>BV308</f>
        <v>35.982195666553508</v>
      </c>
      <c r="BX308" s="214">
        <f>BW308</f>
        <v>35.982195666553508</v>
      </c>
      <c r="BY308" s="214">
        <f t="shared" si="865"/>
        <v>35.982195666553508</v>
      </c>
      <c r="BZ308" s="214">
        <f t="shared" si="865"/>
        <v>35.982195666553508</v>
      </c>
      <c r="CA308" s="214">
        <f t="shared" si="865"/>
        <v>35.982195666553508</v>
      </c>
      <c r="CB308" s="214">
        <f t="shared" si="865"/>
        <v>35.982195666553508</v>
      </c>
      <c r="CC308" s="214">
        <f t="shared" si="865"/>
        <v>35.982195666553508</v>
      </c>
      <c r="CD308" s="214">
        <f t="shared" si="865"/>
        <v>35.982195666553508</v>
      </c>
      <c r="CE308" s="214">
        <f t="shared" si="865"/>
        <v>35.982195666553508</v>
      </c>
      <c r="CF308" s="4"/>
      <c r="CG308" s="4"/>
      <c r="CH308" s="4"/>
      <c r="CI308" s="4"/>
      <c r="CJ308" s="4"/>
      <c r="CK308" s="4"/>
      <c r="CL308" s="4"/>
      <c r="CM308" s="4"/>
      <c r="CN308" s="240">
        <f t="shared" si="760"/>
        <v>301</v>
      </c>
    </row>
    <row r="309" spans="1:92" hidden="1" outlineLevel="2">
      <c r="A309" s="143"/>
      <c r="B309" s="10" t="s">
        <v>94</v>
      </c>
      <c r="C309" s="38"/>
      <c r="D309" s="38">
        <f t="shared" ref="D309:M309" si="881">D304+D306-D308</f>
        <v>55.521480727693415</v>
      </c>
      <c r="E309" s="38">
        <f t="shared" si="881"/>
        <v>64.780308768869332</v>
      </c>
      <c r="F309" s="38">
        <f t="shared" si="881"/>
        <v>103.30182301575286</v>
      </c>
      <c r="G309" s="38">
        <f t="shared" si="881"/>
        <v>68.052527222858458</v>
      </c>
      <c r="H309" s="38">
        <f t="shared" si="881"/>
        <v>68.629055127955738</v>
      </c>
      <c r="I309" s="38">
        <f t="shared" si="881"/>
        <v>81.046495136597301</v>
      </c>
      <c r="J309" s="38">
        <f t="shared" si="881"/>
        <v>86.852936700986334</v>
      </c>
      <c r="K309" s="38">
        <f t="shared" si="881"/>
        <v>82.160651713884647</v>
      </c>
      <c r="L309" s="38">
        <f t="shared" si="881"/>
        <v>131.29836866082027</v>
      </c>
      <c r="M309" s="38">
        <f t="shared" si="881"/>
        <v>127.2732533363403</v>
      </c>
      <c r="N309" s="38">
        <f>N304+N306-N308</f>
        <v>71.08644144442917</v>
      </c>
      <c r="O309" s="38">
        <f>O304+O306-O308</f>
        <v>72.376647957659969</v>
      </c>
      <c r="P309" s="38">
        <f>P304+P306-P308</f>
        <v>71.189155011298539</v>
      </c>
      <c r="Q309" s="38">
        <f>Q304+Q306-Q308</f>
        <v>69.538963385141201</v>
      </c>
      <c r="R309" s="38"/>
      <c r="S309" s="4"/>
      <c r="T309" s="4"/>
      <c r="U309" s="4"/>
      <c r="V309" s="4"/>
      <c r="W309" s="38"/>
      <c r="X309" s="38">
        <f t="shared" ref="X309:BD309" si="882">X304+X306-X308</f>
        <v>52.01859404839297</v>
      </c>
      <c r="Y309" s="38">
        <f t="shared" si="882"/>
        <v>52.086093372476313</v>
      </c>
      <c r="Z309" s="38">
        <f t="shared" si="882"/>
        <v>42.427333788982175</v>
      </c>
      <c r="AA309" s="38">
        <f t="shared" si="882"/>
        <v>41.959735891774571</v>
      </c>
      <c r="AB309" s="38">
        <f t="shared" si="882"/>
        <v>49.129720848054085</v>
      </c>
      <c r="AC309" s="38">
        <f t="shared" si="882"/>
        <v>52.40494591075921</v>
      </c>
      <c r="AD309" s="38">
        <f t="shared" si="882"/>
        <v>63.83718787429946</v>
      </c>
      <c r="AE309" s="38">
        <f t="shared" si="882"/>
        <v>57.428206614094712</v>
      </c>
      <c r="AF309" s="38">
        <f t="shared" si="882"/>
        <v>50.615613981307114</v>
      </c>
      <c r="AG309" s="38">
        <f t="shared" si="882"/>
        <v>49.866043859755223</v>
      </c>
      <c r="AH309" s="38">
        <f t="shared" si="882"/>
        <v>59.140707630789571</v>
      </c>
      <c r="AI309" s="38">
        <f t="shared" si="882"/>
        <v>70.863323172753994</v>
      </c>
      <c r="AJ309" s="38">
        <f t="shared" si="882"/>
        <v>91.868138415683319</v>
      </c>
      <c r="AK309" s="38">
        <f t="shared" si="882"/>
        <v>110.63336563653399</v>
      </c>
      <c r="AL309" s="38">
        <f t="shared" si="882"/>
        <v>101.22531518636357</v>
      </c>
      <c r="AM309" s="38">
        <f t="shared" si="882"/>
        <v>85.495122798170854</v>
      </c>
      <c r="AN309" s="38">
        <f t="shared" si="882"/>
        <v>75.506978742772304</v>
      </c>
      <c r="AO309" s="38">
        <f t="shared" si="882"/>
        <v>77.312627597258569</v>
      </c>
      <c r="AP309" s="38">
        <f t="shared" si="882"/>
        <v>70.017553161963036</v>
      </c>
      <c r="AQ309" s="38">
        <f t="shared" si="882"/>
        <v>71.670635384644982</v>
      </c>
      <c r="AR309" s="38">
        <f t="shared" si="882"/>
        <v>68.568837001325505</v>
      </c>
      <c r="AS309" s="38">
        <f t="shared" si="882"/>
        <v>63.052388675103956</v>
      </c>
      <c r="AT309" s="38">
        <f t="shared" si="882"/>
        <v>61.905391317533557</v>
      </c>
      <c r="AU309" s="38">
        <f t="shared" si="882"/>
        <v>73.313558483093203</v>
      </c>
      <c r="AV309" s="38">
        <f t="shared" si="882"/>
        <v>73.344252620516755</v>
      </c>
      <c r="AW309" s="38">
        <f t="shared" si="882"/>
        <v>73.562612634163941</v>
      </c>
      <c r="AX309" s="38">
        <f t="shared" si="882"/>
        <v>81.583318184115541</v>
      </c>
      <c r="AY309" s="38">
        <f t="shared" si="882"/>
        <v>84.051174744831926</v>
      </c>
      <c r="AZ309" s="38">
        <f t="shared" si="882"/>
        <v>88.673557229697451</v>
      </c>
      <c r="BA309" s="38">
        <f t="shared" si="882"/>
        <v>81.06509078728044</v>
      </c>
      <c r="BB309" s="38">
        <f t="shared" si="882"/>
        <v>77.295794537395665</v>
      </c>
      <c r="BC309" s="38">
        <f t="shared" si="882"/>
        <v>80.258290097070102</v>
      </c>
      <c r="BD309" s="38">
        <f t="shared" si="882"/>
        <v>82.556478210938735</v>
      </c>
      <c r="BE309" s="38">
        <f>BE304+BE306-BE308</f>
        <v>78.77564938639081</v>
      </c>
      <c r="BF309" s="38">
        <f>BF304+BF306-BF308</f>
        <v>80.478307146353856</v>
      </c>
      <c r="BG309" s="38">
        <f t="shared" ref="BG309:BL309" si="883">BG304+BG306-BG308</f>
        <v>82.894559411591302</v>
      </c>
      <c r="BH309" s="38">
        <f t="shared" si="883"/>
        <v>126.27759636621528</v>
      </c>
      <c r="BI309" s="38">
        <f t="shared" si="883"/>
        <v>137.20060728590997</v>
      </c>
      <c r="BJ309" s="38">
        <f t="shared" si="883"/>
        <v>116.57299354089267</v>
      </c>
      <c r="BK309" s="38">
        <f t="shared" si="883"/>
        <v>111.30100713011896</v>
      </c>
      <c r="BL309" s="38">
        <f t="shared" si="883"/>
        <v>135.68085326152462</v>
      </c>
      <c r="BM309" s="38">
        <f t="shared" ref="BM309:BR309" si="884">BM304+BM306-BM308</f>
        <v>153.69610701108346</v>
      </c>
      <c r="BN309" s="38">
        <f t="shared" si="884"/>
        <v>113.1979842933975</v>
      </c>
      <c r="BO309" s="38">
        <f t="shared" si="884"/>
        <v>89.330576089185769</v>
      </c>
      <c r="BP309" s="38">
        <f t="shared" si="884"/>
        <v>75.74989491627349</v>
      </c>
      <c r="BQ309" s="38">
        <f t="shared" si="884"/>
        <v>72.608946826450989</v>
      </c>
      <c r="BR309" s="38">
        <f t="shared" si="884"/>
        <v>69.673086462068468</v>
      </c>
      <c r="BS309" s="38">
        <f>BS304+BS306-BS308</f>
        <v>80.89112630876474</v>
      </c>
      <c r="BT309" s="38">
        <f>BT304+BT306-BT308</f>
        <v>70.460352131900294</v>
      </c>
      <c r="BU309" s="38">
        <f>BU304+BU306-BU308</f>
        <v>70.460352131900294</v>
      </c>
      <c r="BV309" s="38">
        <f>BV304+BV306-BV308</f>
        <v>70.460352131900294</v>
      </c>
      <c r="BW309" s="38">
        <f>BW304+BW306-BW308</f>
        <v>70.460352131900294</v>
      </c>
      <c r="BX309" s="38">
        <f t="shared" ref="BX309:CE309" si="885">BX304+BX306-BX308</f>
        <v>70.460352131900294</v>
      </c>
      <c r="BY309" s="38">
        <f t="shared" si="885"/>
        <v>70.460352131900294</v>
      </c>
      <c r="BZ309" s="38">
        <f t="shared" si="885"/>
        <v>70.460352131900294</v>
      </c>
      <c r="CA309" s="38">
        <f t="shared" si="885"/>
        <v>70.460352131900294</v>
      </c>
      <c r="CB309" s="38">
        <f t="shared" si="885"/>
        <v>70.460352131900294</v>
      </c>
      <c r="CC309" s="38">
        <f t="shared" si="885"/>
        <v>70.460352131900294</v>
      </c>
      <c r="CD309" s="38">
        <f t="shared" si="885"/>
        <v>70.460352131900294</v>
      </c>
      <c r="CE309" s="38">
        <f t="shared" si="885"/>
        <v>70.460352131900294</v>
      </c>
      <c r="CF309" s="4"/>
      <c r="CG309" s="4"/>
      <c r="CH309" s="4"/>
      <c r="CI309" s="4"/>
      <c r="CJ309" s="4"/>
      <c r="CK309" s="4"/>
      <c r="CL309" s="4"/>
      <c r="CM309" s="4"/>
      <c r="CN309" s="240">
        <f t="shared" si="760"/>
        <v>302</v>
      </c>
    </row>
    <row r="310" spans="1:92" hidden="1" outlineLevel="2">
      <c r="A310" s="143"/>
      <c r="B310" s="10" t="s">
        <v>95</v>
      </c>
      <c r="C310" s="6"/>
      <c r="D310" s="6">
        <f t="shared" ref="D310:Q310" si="886">D260/D12</f>
        <v>2.7515625316925182E-2</v>
      </c>
      <c r="E310" s="6">
        <f t="shared" si="886"/>
        <v>2.67338824165286E-2</v>
      </c>
      <c r="F310" s="6">
        <f t="shared" si="886"/>
        <v>4.0262782314927116E-2</v>
      </c>
      <c r="G310" s="6">
        <f t="shared" si="886"/>
        <v>2.2032426595061588E-2</v>
      </c>
      <c r="H310" s="6">
        <f t="shared" si="886"/>
        <v>2.7472296258567161E-2</v>
      </c>
      <c r="I310" s="6">
        <f t="shared" si="886"/>
        <v>1.0020447058980794E-2</v>
      </c>
      <c r="J310" s="6">
        <f t="shared" si="886"/>
        <v>9.8329885376706484E-3</v>
      </c>
      <c r="K310" s="6">
        <f t="shared" si="886"/>
        <v>1.8008370792838065E-2</v>
      </c>
      <c r="L310" s="6">
        <f t="shared" si="886"/>
        <v>5.25256361564755E-2</v>
      </c>
      <c r="M310" s="6">
        <f t="shared" si="886"/>
        <v>9.566870697720356E-2</v>
      </c>
      <c r="N310" s="6">
        <f t="shared" si="886"/>
        <v>3.5334156204728233E-2</v>
      </c>
      <c r="O310" s="6">
        <f t="shared" si="886"/>
        <v>2.6143587398695191E-2</v>
      </c>
      <c r="P310" s="6">
        <f t="shared" si="886"/>
        <v>2.2631187127651387E-2</v>
      </c>
      <c r="Q310" s="6">
        <f t="shared" si="886"/>
        <v>2.0554301420379516E-2</v>
      </c>
      <c r="R310" s="6"/>
      <c r="S310" s="4"/>
      <c r="T310" s="4"/>
      <c r="U310" s="4"/>
      <c r="V310" s="4"/>
      <c r="W310" s="6"/>
      <c r="X310" s="6">
        <f t="shared" ref="X310:BS310" si="887">X260/(X12*4)</f>
        <v>6.5098806093042399E-3</v>
      </c>
      <c r="Y310" s="6">
        <f t="shared" si="887"/>
        <v>4.7632903159552254E-3</v>
      </c>
      <c r="Z310" s="6">
        <f t="shared" si="887"/>
        <v>3.0802352651271973E-3</v>
      </c>
      <c r="AA310" s="6">
        <f t="shared" si="887"/>
        <v>1.4320285407778861E-2</v>
      </c>
      <c r="AB310" s="6">
        <f t="shared" si="887"/>
        <v>1.1662135695284867E-2</v>
      </c>
      <c r="AC310" s="6">
        <f t="shared" si="887"/>
        <v>1.627775081710333E-2</v>
      </c>
      <c r="AD310" s="6">
        <f t="shared" si="887"/>
        <v>2.1776847512672805E-2</v>
      </c>
      <c r="AE310" s="6">
        <f t="shared" si="887"/>
        <v>2.5500969445026288E-2</v>
      </c>
      <c r="AF310" s="6">
        <f t="shared" si="887"/>
        <v>1.7141415729083745E-2</v>
      </c>
      <c r="AG310" s="6">
        <f t="shared" si="887"/>
        <v>6.4290671622672796E-3</v>
      </c>
      <c r="AH310" s="6">
        <f t="shared" si="887"/>
        <v>2.3085402816830157E-2</v>
      </c>
      <c r="AI310" s="6">
        <f t="shared" si="887"/>
        <v>2.572483804708485E-2</v>
      </c>
      <c r="AJ310" s="6">
        <f t="shared" si="887"/>
        <v>2.3505000822597023E-2</v>
      </c>
      <c r="AK310" s="6">
        <f t="shared" si="887"/>
        <v>4.3243870947424774E-2</v>
      </c>
      <c r="AL310" s="6">
        <f t="shared" si="887"/>
        <v>4.0426683010615999E-2</v>
      </c>
      <c r="AM310" s="6">
        <f t="shared" si="887"/>
        <v>3.8823278548699276E-2</v>
      </c>
      <c r="AN310" s="6">
        <f t="shared" si="887"/>
        <v>1.4309574747588484E-2</v>
      </c>
      <c r="AO310" s="6">
        <f t="shared" si="887"/>
        <v>4.7183427179552061E-3</v>
      </c>
      <c r="AP310" s="6">
        <f t="shared" si="887"/>
        <v>3.9783256121773665E-3</v>
      </c>
      <c r="AQ310" s="6">
        <f t="shared" si="887"/>
        <v>1.8403505777951145E-2</v>
      </c>
      <c r="AR310" s="6">
        <f t="shared" si="887"/>
        <v>5.5577966319241626E-3</v>
      </c>
      <c r="AS310" s="6">
        <f t="shared" si="887"/>
        <v>8.7737485125121747E-3</v>
      </c>
      <c r="AT310" s="6">
        <f t="shared" si="887"/>
        <v>9.9022370006072846E-3</v>
      </c>
      <c r="AU310" s="6">
        <f t="shared" si="887"/>
        <v>2.6030900074982079E-2</v>
      </c>
      <c r="AV310" s="6">
        <f t="shared" si="887"/>
        <v>1.904211860545172E-2</v>
      </c>
      <c r="AW310" s="6">
        <f t="shared" si="887"/>
        <v>2.2054824377232028E-2</v>
      </c>
      <c r="AX310" s="6">
        <f t="shared" si="887"/>
        <v>1.0208649966766719E-2</v>
      </c>
      <c r="AY310" s="6">
        <f t="shared" si="887"/>
        <v>1.0368300769031074E-2</v>
      </c>
      <c r="AZ310" s="6">
        <f t="shared" si="887"/>
        <v>1.562980689068881E-2</v>
      </c>
      <c r="BA310" s="6">
        <f t="shared" si="887"/>
        <v>7.2940297137462128E-3</v>
      </c>
      <c r="BB310" s="6">
        <f t="shared" si="887"/>
        <v>1.2018423158447715E-2</v>
      </c>
      <c r="BC310" s="6">
        <f t="shared" si="887"/>
        <v>9.3966705066522091E-3</v>
      </c>
      <c r="BD310" s="6">
        <f t="shared" si="887"/>
        <v>6.1432113727147341E-3</v>
      </c>
      <c r="BE310" s="6">
        <f t="shared" si="887"/>
        <v>1.2723671184271253E-2</v>
      </c>
      <c r="BF310" s="6">
        <f t="shared" si="887"/>
        <v>8.1160461684206455E-3</v>
      </c>
      <c r="BG310" s="6">
        <f t="shared" si="887"/>
        <v>1.6645286504715237E-2</v>
      </c>
      <c r="BH310" s="6">
        <f t="shared" si="887"/>
        <v>1.5985059197085677E-2</v>
      </c>
      <c r="BI310" s="6">
        <f t="shared" si="887"/>
        <v>3.4647634090603577E-2</v>
      </c>
      <c r="BJ310" s="6">
        <f t="shared" si="887"/>
        <v>3.5159836121730313E-2</v>
      </c>
      <c r="BK310" s="6">
        <f t="shared" si="887"/>
        <v>6.1905507934021171E-2</v>
      </c>
      <c r="BL310" s="6">
        <f t="shared" si="887"/>
        <v>7.2066950474629146E-2</v>
      </c>
      <c r="BM310" s="6">
        <f t="shared" si="887"/>
        <v>0.10721478622078628</v>
      </c>
      <c r="BN310" s="6">
        <f t="shared" si="887"/>
        <v>8.6798685497259567E-2</v>
      </c>
      <c r="BO310" s="6">
        <f t="shared" si="887"/>
        <v>7.8892473653488504E-2</v>
      </c>
      <c r="BP310" s="6">
        <f t="shared" si="887"/>
        <v>5.1679866093741089E-2</v>
      </c>
      <c r="BQ310" s="6">
        <f t="shared" si="887"/>
        <v>1.2480253754920888E-2</v>
      </c>
      <c r="BR310" s="6">
        <f t="shared" si="887"/>
        <v>8.9023543574402505E-3</v>
      </c>
      <c r="BS310" s="6">
        <f t="shared" si="887"/>
        <v>3.2978078581976558E-2</v>
      </c>
      <c r="BT310" s="215">
        <f>BS310</f>
        <v>3.2978078581976558E-2</v>
      </c>
      <c r="BU310" s="215">
        <f>BT310</f>
        <v>3.2978078581976558E-2</v>
      </c>
      <c r="BV310" s="215">
        <f>BU310</f>
        <v>3.2978078581976558E-2</v>
      </c>
      <c r="BW310" s="215">
        <f>BV310</f>
        <v>3.2978078581976558E-2</v>
      </c>
      <c r="BX310" s="215">
        <f t="shared" ref="BX310:CE310" si="888">BW310</f>
        <v>3.2978078581976558E-2</v>
      </c>
      <c r="BY310" s="215">
        <f t="shared" si="888"/>
        <v>3.2978078581976558E-2</v>
      </c>
      <c r="BZ310" s="215">
        <f t="shared" si="888"/>
        <v>3.2978078581976558E-2</v>
      </c>
      <c r="CA310" s="215">
        <f t="shared" si="888"/>
        <v>3.2978078581976558E-2</v>
      </c>
      <c r="CB310" s="215">
        <f t="shared" si="888"/>
        <v>3.2978078581976558E-2</v>
      </c>
      <c r="CC310" s="215">
        <f t="shared" si="888"/>
        <v>3.2978078581976558E-2</v>
      </c>
      <c r="CD310" s="215">
        <f t="shared" si="888"/>
        <v>3.2978078581976558E-2</v>
      </c>
      <c r="CE310" s="215">
        <f t="shared" si="888"/>
        <v>3.2978078581976558E-2</v>
      </c>
      <c r="CF310" s="4"/>
      <c r="CG310" s="4"/>
      <c r="CH310" s="4"/>
      <c r="CI310" s="4"/>
      <c r="CJ310" s="4"/>
      <c r="CK310" s="4"/>
      <c r="CL310" s="4"/>
      <c r="CM310" s="4"/>
      <c r="CN310" s="240">
        <f t="shared" si="760"/>
        <v>303</v>
      </c>
    </row>
    <row r="311" spans="1:92" hidden="1" outlineLevel="2">
      <c r="A311" s="143"/>
      <c r="B311" s="10" t="s">
        <v>117</v>
      </c>
      <c r="C311" s="4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4"/>
      <c r="T311" s="4"/>
      <c r="U311" s="4"/>
      <c r="V311" s="4"/>
      <c r="W311" s="6"/>
      <c r="X311" s="6">
        <f t="shared" ref="X311:BS311" si="889">X271/(X12*4)</f>
        <v>3.3367273422337237E-2</v>
      </c>
      <c r="Y311" s="6">
        <f t="shared" si="889"/>
        <v>3.3452572484852637E-2</v>
      </c>
      <c r="Z311" s="6">
        <f t="shared" si="889"/>
        <v>3.9546978451322559E-2</v>
      </c>
      <c r="AA311" s="6">
        <f t="shared" si="889"/>
        <v>3.7553326846792905E-2</v>
      </c>
      <c r="AB311" s="6">
        <f t="shared" si="889"/>
        <v>3.0244964775351518E-2</v>
      </c>
      <c r="AC311" s="6">
        <f t="shared" si="889"/>
        <v>3.3911980868965276E-2</v>
      </c>
      <c r="AD311" s="6">
        <f t="shared" si="889"/>
        <v>4.1367983650384972E-2</v>
      </c>
      <c r="AE311" s="6">
        <f t="shared" si="889"/>
        <v>3.9410222945501616E-2</v>
      </c>
      <c r="AF311" s="6">
        <f t="shared" si="889"/>
        <v>3.4215649987070738E-2</v>
      </c>
      <c r="AG311" s="6">
        <f t="shared" si="889"/>
        <v>3.236891503523702E-2</v>
      </c>
      <c r="AH311" s="6">
        <f t="shared" si="889"/>
        <v>3.6022924158049391E-2</v>
      </c>
      <c r="AI311" s="6">
        <f t="shared" si="889"/>
        <v>3.4137392250838297E-2</v>
      </c>
      <c r="AJ311" s="6">
        <f t="shared" si="889"/>
        <v>3.1443062103238766E-2</v>
      </c>
      <c r="AK311" s="6">
        <f t="shared" si="889"/>
        <v>3.6508605079595018E-2</v>
      </c>
      <c r="AL311" s="6">
        <f t="shared" si="889"/>
        <v>3.7942932376909634E-2</v>
      </c>
      <c r="AM311" s="6">
        <f t="shared" si="889"/>
        <v>2.9345864908309548E-2</v>
      </c>
      <c r="AN311" s="6">
        <f t="shared" si="889"/>
        <v>2.7907189505686294E-2</v>
      </c>
      <c r="AO311" s="6">
        <f t="shared" si="889"/>
        <v>2.8113335125901553E-2</v>
      </c>
      <c r="AP311" s="6">
        <f t="shared" si="889"/>
        <v>3.9228160158835214E-2</v>
      </c>
      <c r="AQ311" s="6">
        <f t="shared" si="889"/>
        <v>2.9530480520746992E-2</v>
      </c>
      <c r="AR311" s="6">
        <f t="shared" si="889"/>
        <v>3.9666833437674368E-2</v>
      </c>
      <c r="AS311" s="6">
        <f t="shared" si="889"/>
        <v>3.0390105155400637E-2</v>
      </c>
      <c r="AT311" s="6">
        <f t="shared" si="889"/>
        <v>2.2682110963990958E-2</v>
      </c>
      <c r="AU311" s="6">
        <f t="shared" si="889"/>
        <v>2.9246637198569951E-2</v>
      </c>
      <c r="AV311" s="6">
        <f t="shared" si="889"/>
        <v>3.6999285653169685E-2</v>
      </c>
      <c r="AW311" s="6">
        <f t="shared" si="889"/>
        <v>2.4571290886332097E-2</v>
      </c>
      <c r="AX311" s="6">
        <f t="shared" si="889"/>
        <v>2.7976812907213527E-2</v>
      </c>
      <c r="AY311" s="6">
        <f t="shared" si="889"/>
        <v>2.9080716343719011E-2</v>
      </c>
      <c r="AZ311" s="6">
        <f t="shared" si="889"/>
        <v>2.2650362476251764E-2</v>
      </c>
      <c r="BA311" s="6">
        <f t="shared" si="889"/>
        <v>2.9647089163093415E-2</v>
      </c>
      <c r="BB311" s="6">
        <f t="shared" si="889"/>
        <v>2.515673326939797E-2</v>
      </c>
      <c r="BC311" s="6">
        <f t="shared" si="889"/>
        <v>2.5094408200730618E-2</v>
      </c>
      <c r="BD311" s="6">
        <f t="shared" si="889"/>
        <v>2.5484261259896505E-2</v>
      </c>
      <c r="BE311" s="6">
        <f t="shared" si="889"/>
        <v>2.340558412301336E-2</v>
      </c>
      <c r="BF311" s="6">
        <f t="shared" si="889"/>
        <v>2.3906287257283904E-2</v>
      </c>
      <c r="BG311" s="6">
        <f t="shared" si="889"/>
        <v>2.5148448448765119E-2</v>
      </c>
      <c r="BH311" s="6">
        <f t="shared" si="889"/>
        <v>2.5974105890171555E-2</v>
      </c>
      <c r="BI311" s="6">
        <f t="shared" si="889"/>
        <v>3.4550174754671328E-2</v>
      </c>
      <c r="BJ311" s="6">
        <f t="shared" si="889"/>
        <v>3.3601211274167243E-2</v>
      </c>
      <c r="BK311" s="6">
        <f t="shared" si="889"/>
        <v>2.9517580179494629E-2</v>
      </c>
      <c r="BL311" s="6">
        <f t="shared" si="889"/>
        <v>4.7617599619239018E-2</v>
      </c>
      <c r="BM311" s="6">
        <f t="shared" si="889"/>
        <v>6.3871522678638867E-2</v>
      </c>
      <c r="BN311" s="6">
        <f t="shared" si="889"/>
        <v>4.5856928430101661E-2</v>
      </c>
      <c r="BO311" s="6">
        <f t="shared" si="889"/>
        <v>3.4991425222966832E-2</v>
      </c>
      <c r="BP311" s="6">
        <f t="shared" si="889"/>
        <v>2.7254217275651672E-2</v>
      </c>
      <c r="BQ311" s="6">
        <f t="shared" si="889"/>
        <v>2.7922444271708327E-2</v>
      </c>
      <c r="BR311" s="6">
        <f t="shared" si="889"/>
        <v>2.2549410932931922E-2</v>
      </c>
      <c r="BS311" s="6">
        <f t="shared" si="889"/>
        <v>2.4513279928106556E-2</v>
      </c>
      <c r="BT311" s="215">
        <v>2.7907189505686294E-2</v>
      </c>
      <c r="BU311" s="215">
        <v>2.7907189505686294E-2</v>
      </c>
      <c r="BV311" s="215">
        <v>2.7907189505686294E-2</v>
      </c>
      <c r="BW311" s="215">
        <v>2.7907189505686294E-2</v>
      </c>
      <c r="BX311" s="215">
        <v>2.7907189505686294E-2</v>
      </c>
      <c r="BY311" s="215">
        <v>2.7907189505686294E-2</v>
      </c>
      <c r="BZ311" s="215">
        <v>2.7907189505686294E-2</v>
      </c>
      <c r="CA311" s="215">
        <v>2.7907189505686294E-2</v>
      </c>
      <c r="CB311" s="215">
        <v>2.7907189505686294E-2</v>
      </c>
      <c r="CC311" s="215">
        <v>2.7907189505686294E-2</v>
      </c>
      <c r="CD311" s="215">
        <v>2.7907189505686294E-2</v>
      </c>
      <c r="CE311" s="215">
        <v>2.7907189505686294E-2</v>
      </c>
      <c r="CF311" s="4"/>
      <c r="CG311" s="4"/>
      <c r="CH311" s="4"/>
      <c r="CI311" s="4"/>
      <c r="CJ311" s="4"/>
      <c r="CK311" s="4"/>
      <c r="CL311" s="4"/>
      <c r="CM311" s="4"/>
      <c r="CN311" s="240">
        <f t="shared" si="760"/>
        <v>304</v>
      </c>
    </row>
    <row r="312" spans="1:92" hidden="1" outlineLevel="2">
      <c r="A312" s="143"/>
      <c r="B312" s="10" t="s">
        <v>276</v>
      </c>
      <c r="C312" s="4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4"/>
      <c r="T312" s="4"/>
      <c r="U312" s="4"/>
      <c r="V312" s="4"/>
      <c r="W312" s="56">
        <f>SUM(W257:W260)-SUM(W270:W271)</f>
        <v>82.405999999999992</v>
      </c>
      <c r="X312" s="56">
        <f t="shared" ref="X312:CE312" si="890">SUM(X257:X260)-SUM(X270:X271)</f>
        <v>89.84899999999999</v>
      </c>
      <c r="Y312" s="56">
        <f t="shared" si="890"/>
        <v>96.897999999999996</v>
      </c>
      <c r="Z312" s="56">
        <f t="shared" si="890"/>
        <v>82.51100000000001</v>
      </c>
      <c r="AA312" s="56">
        <f t="shared" si="890"/>
        <v>108.57299999999999</v>
      </c>
      <c r="AB312" s="56">
        <f t="shared" si="890"/>
        <v>119.11400000000002</v>
      </c>
      <c r="AC312" s="56">
        <f t="shared" si="890"/>
        <v>125.77200000000002</v>
      </c>
      <c r="AD312" s="56">
        <f t="shared" si="890"/>
        <v>128.45000000000002</v>
      </c>
      <c r="AE312" s="56">
        <f t="shared" si="890"/>
        <v>137.99999999999997</v>
      </c>
      <c r="AF312" s="56">
        <f t="shared" si="890"/>
        <v>118.489</v>
      </c>
      <c r="AG312" s="56">
        <f t="shared" si="890"/>
        <v>147.98099999999999</v>
      </c>
      <c r="AH312" s="56">
        <f t="shared" si="890"/>
        <v>179.916</v>
      </c>
      <c r="AI312" s="56">
        <f t="shared" si="890"/>
        <v>197.45699999999999</v>
      </c>
      <c r="AJ312" s="56">
        <f t="shared" si="890"/>
        <v>159.69199999999998</v>
      </c>
      <c r="AK312" s="56">
        <f t="shared" si="890"/>
        <v>148.315</v>
      </c>
      <c r="AL312" s="56">
        <f t="shared" si="890"/>
        <v>143.28100000000001</v>
      </c>
      <c r="AM312" s="56">
        <f t="shared" si="890"/>
        <v>147.19200000000001</v>
      </c>
      <c r="AN312" s="56">
        <f t="shared" si="890"/>
        <v>201.02499999999998</v>
      </c>
      <c r="AO312" s="56">
        <f t="shared" si="890"/>
        <v>198.52700000000002</v>
      </c>
      <c r="AP312" s="56">
        <f t="shared" si="890"/>
        <v>227.76600000000002</v>
      </c>
      <c r="AQ312" s="56">
        <f t="shared" si="890"/>
        <v>272.13900000000001</v>
      </c>
      <c r="AR312" s="56">
        <f t="shared" si="890"/>
        <v>286.42200000000003</v>
      </c>
      <c r="AS312" s="56">
        <f t="shared" si="890"/>
        <v>327.32900000000001</v>
      </c>
      <c r="AT312" s="56">
        <f t="shared" si="890"/>
        <v>373.24800000000005</v>
      </c>
      <c r="AU312" s="56">
        <f t="shared" si="890"/>
        <v>439.69600000000003</v>
      </c>
      <c r="AV312" s="56">
        <f t="shared" si="890"/>
        <v>379.13300000000004</v>
      </c>
      <c r="AW312" s="56">
        <f t="shared" si="890"/>
        <v>419.46700000000004</v>
      </c>
      <c r="AX312" s="56">
        <f t="shared" si="890"/>
        <v>379.40099999999995</v>
      </c>
      <c r="AY312" s="56">
        <f t="shared" si="890"/>
        <v>389.15300000000002</v>
      </c>
      <c r="AZ312" s="56">
        <f t="shared" si="890"/>
        <v>379.00499999999994</v>
      </c>
      <c r="BA312" s="56">
        <f t="shared" si="890"/>
        <v>373.58500000000004</v>
      </c>
      <c r="BB312" s="56">
        <f t="shared" si="890"/>
        <v>383.25400000000008</v>
      </c>
      <c r="BC312" s="56">
        <f t="shared" si="890"/>
        <v>428.17299999999989</v>
      </c>
      <c r="BD312" s="56">
        <f t="shared" si="890"/>
        <v>435.99599999999998</v>
      </c>
      <c r="BE312" s="56">
        <f t="shared" si="890"/>
        <v>540.60300000000007</v>
      </c>
      <c r="BF312" s="56">
        <f t="shared" si="890"/>
        <v>535.05799999999999</v>
      </c>
      <c r="BG312" s="56">
        <f t="shared" si="890"/>
        <v>602.84400000000005</v>
      </c>
      <c r="BH312" s="56">
        <f t="shared" si="890"/>
        <v>485.19800000000009</v>
      </c>
      <c r="BI312" s="56">
        <f t="shared" si="890"/>
        <v>380.03199999999998</v>
      </c>
      <c r="BJ312" s="56">
        <f t="shared" si="890"/>
        <v>353.27</v>
      </c>
      <c r="BK312" s="56">
        <f t="shared" si="890"/>
        <v>319.54800000000006</v>
      </c>
      <c r="BL312" s="56">
        <f t="shared" si="890"/>
        <v>273.25200000000001</v>
      </c>
      <c r="BM312" s="56">
        <f t="shared" si="890"/>
        <v>232.137</v>
      </c>
      <c r="BN312" s="56">
        <f t="shared" si="890"/>
        <v>229.63499999999999</v>
      </c>
      <c r="BO312" s="56">
        <f>SUM(BO257:BO260)-SUM(BO270:BO271)</f>
        <v>245.75399999999996</v>
      </c>
      <c r="BP312" s="56">
        <f>SUM(BP257:BP260)-SUM(BP270:BP271)</f>
        <v>295.38500000000005</v>
      </c>
      <c r="BQ312" s="56">
        <f>SUM(BQ257:BQ260)-SUM(BQ270:BQ271)</f>
        <v>327.52199999999999</v>
      </c>
      <c r="BR312" s="56">
        <f>SUM(BR257:BR260)-SUM(BR270:BR271)</f>
        <v>341.18599999999998</v>
      </c>
      <c r="BS312" s="56">
        <f>SUM(BS257:BS260)-SUM(BS270:BS271)</f>
        <v>403.72500000000002</v>
      </c>
      <c r="BT312" s="56">
        <f t="shared" si="890"/>
        <v>363.13125452994194</v>
      </c>
      <c r="BU312" s="56">
        <f t="shared" si="890"/>
        <v>425.28427551939637</v>
      </c>
      <c r="BV312" s="56">
        <f t="shared" si="890"/>
        <v>457.75114450405817</v>
      </c>
      <c r="BW312" s="56">
        <f t="shared" si="890"/>
        <v>472.54593102187056</v>
      </c>
      <c r="BX312" s="56">
        <f t="shared" si="890"/>
        <v>476.25394579384846</v>
      </c>
      <c r="BY312" s="56">
        <f t="shared" si="890"/>
        <v>478.4663557839429</v>
      </c>
      <c r="BZ312" s="56">
        <f t="shared" si="890"/>
        <v>496.14652318436208</v>
      </c>
      <c r="CA312" s="56">
        <f t="shared" si="890"/>
        <v>525.5749219629987</v>
      </c>
      <c r="CB312" s="56">
        <f t="shared" si="890"/>
        <v>540.31722653826796</v>
      </c>
      <c r="CC312" s="56">
        <f t="shared" si="890"/>
        <v>541.174450818389</v>
      </c>
      <c r="CD312" s="56">
        <f t="shared" si="890"/>
        <v>543.10359386079881</v>
      </c>
      <c r="CE312" s="56">
        <f t="shared" si="890"/>
        <v>545.78861392846454</v>
      </c>
      <c r="CF312" s="4"/>
      <c r="CG312" s="4"/>
      <c r="CH312" s="4"/>
      <c r="CI312" s="4"/>
      <c r="CJ312" s="4"/>
      <c r="CK312" s="4"/>
      <c r="CL312" s="4"/>
      <c r="CM312" s="4"/>
      <c r="CN312" s="240">
        <f t="shared" si="760"/>
        <v>305</v>
      </c>
    </row>
    <row r="313" spans="1:92" hidden="1" outlineLevel="2">
      <c r="A313" s="143"/>
      <c r="B313" s="10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240">
        <f t="shared" si="760"/>
        <v>306</v>
      </c>
    </row>
    <row r="314" spans="1:92" outlineLevel="1" collapsed="1">
      <c r="A314" s="143" t="s">
        <v>33</v>
      </c>
      <c r="B314" s="90" t="s">
        <v>205</v>
      </c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240">
        <f t="shared" si="760"/>
        <v>307</v>
      </c>
    </row>
    <row r="315" spans="1:92" hidden="1" outlineLevel="2">
      <c r="A315" s="143"/>
      <c r="B315" s="86" t="s">
        <v>206</v>
      </c>
      <c r="C315" s="85">
        <f t="shared" ref="C315:Q315" si="891">-C59</f>
        <v>46.710999999999999</v>
      </c>
      <c r="D315" s="85">
        <f t="shared" si="891"/>
        <v>78.506</v>
      </c>
      <c r="E315" s="85">
        <f t="shared" si="891"/>
        <v>118.40300000000001</v>
      </c>
      <c r="F315" s="85">
        <f t="shared" si="891"/>
        <v>130.58000000000001</v>
      </c>
      <c r="G315" s="85">
        <f t="shared" si="891"/>
        <v>133.36000000000001</v>
      </c>
      <c r="H315" s="85">
        <f t="shared" si="891"/>
        <v>177.38200000000001</v>
      </c>
      <c r="I315" s="85">
        <f t="shared" si="891"/>
        <v>214.80199999999999</v>
      </c>
      <c r="J315" s="85">
        <f t="shared" si="891"/>
        <v>213.12799999999999</v>
      </c>
      <c r="K315" s="85">
        <f t="shared" si="891"/>
        <v>230.81300000000002</v>
      </c>
      <c r="L315" s="85">
        <f t="shared" si="891"/>
        <v>270.97699999999998</v>
      </c>
      <c r="M315" s="85">
        <f t="shared" si="891"/>
        <v>217.25799999999998</v>
      </c>
      <c r="N315" s="85">
        <f t="shared" si="891"/>
        <v>163.53699999999998</v>
      </c>
      <c r="O315" s="85">
        <f t="shared" si="891"/>
        <v>171.48822321481941</v>
      </c>
      <c r="P315" s="85">
        <f t="shared" si="891"/>
        <v>192.28704856272643</v>
      </c>
      <c r="Q315" s="85">
        <f t="shared" si="891"/>
        <v>244.46131178354906</v>
      </c>
      <c r="R315" s="85"/>
      <c r="S315" s="4"/>
      <c r="T315" s="85">
        <f t="shared" ref="T315:AY315" si="892">-T59</f>
        <v>9.6210000000000004</v>
      </c>
      <c r="U315" s="85">
        <f t="shared" si="892"/>
        <v>9.9260000000000002</v>
      </c>
      <c r="V315" s="85">
        <f t="shared" si="892"/>
        <v>10.159000000000001</v>
      </c>
      <c r="W315" s="85">
        <f t="shared" si="892"/>
        <v>10.379</v>
      </c>
      <c r="X315" s="85">
        <f t="shared" si="892"/>
        <v>10.705</v>
      </c>
      <c r="Y315" s="85">
        <f t="shared" si="892"/>
        <v>11.597</v>
      </c>
      <c r="Z315" s="85">
        <f t="shared" si="892"/>
        <v>11.571999999999999</v>
      </c>
      <c r="AA315" s="85">
        <f t="shared" si="892"/>
        <v>12.837</v>
      </c>
      <c r="AB315" s="85">
        <f t="shared" si="892"/>
        <v>15.263</v>
      </c>
      <c r="AC315" s="85">
        <f t="shared" si="892"/>
        <v>18.695</v>
      </c>
      <c r="AD315" s="85">
        <f t="shared" si="892"/>
        <v>20.846</v>
      </c>
      <c r="AE315" s="85">
        <f t="shared" si="892"/>
        <v>23.702000000000002</v>
      </c>
      <c r="AF315" s="85">
        <f t="shared" si="892"/>
        <v>27.326000000000001</v>
      </c>
      <c r="AG315" s="85">
        <f t="shared" si="892"/>
        <v>29.177</v>
      </c>
      <c r="AH315" s="85">
        <f t="shared" si="892"/>
        <v>30.445</v>
      </c>
      <c r="AI315" s="85">
        <f t="shared" si="892"/>
        <v>31.454999999999998</v>
      </c>
      <c r="AJ315" s="85">
        <f t="shared" si="892"/>
        <v>32.020000000000003</v>
      </c>
      <c r="AK315" s="85">
        <f t="shared" si="892"/>
        <v>32.375999999999998</v>
      </c>
      <c r="AL315" s="85">
        <f t="shared" si="892"/>
        <v>33.289000000000001</v>
      </c>
      <c r="AM315" s="85">
        <f t="shared" si="892"/>
        <v>32.895000000000003</v>
      </c>
      <c r="AN315" s="85">
        <f t="shared" si="892"/>
        <v>32.261000000000003</v>
      </c>
      <c r="AO315" s="85">
        <f t="shared" si="892"/>
        <v>33.384</v>
      </c>
      <c r="AP315" s="85">
        <f t="shared" si="892"/>
        <v>33.091000000000001</v>
      </c>
      <c r="AQ315" s="85">
        <f t="shared" si="892"/>
        <v>34.624000000000002</v>
      </c>
      <c r="AR315" s="85">
        <f t="shared" si="892"/>
        <v>39.536999999999999</v>
      </c>
      <c r="AS315" s="85">
        <f t="shared" si="892"/>
        <v>44.893000000000001</v>
      </c>
      <c r="AT315" s="85">
        <f t="shared" si="892"/>
        <v>46.475999999999999</v>
      </c>
      <c r="AU315" s="85">
        <f t="shared" si="892"/>
        <v>46.475999999999999</v>
      </c>
      <c r="AV315" s="85">
        <f t="shared" si="892"/>
        <v>51.604999999999997</v>
      </c>
      <c r="AW315" s="85">
        <f t="shared" si="892"/>
        <v>53.95</v>
      </c>
      <c r="AX315" s="85">
        <f t="shared" si="892"/>
        <v>53.95</v>
      </c>
      <c r="AY315" s="85">
        <f t="shared" si="892"/>
        <v>55.296999999999997</v>
      </c>
      <c r="AZ315" s="85">
        <f t="shared" ref="AZ315:CE315" si="893">-AZ59</f>
        <v>52.820999999999998</v>
      </c>
      <c r="BA315" s="85">
        <f t="shared" si="893"/>
        <v>52.767000000000003</v>
      </c>
      <c r="BB315" s="85">
        <f t="shared" si="893"/>
        <v>53.210999999999999</v>
      </c>
      <c r="BC315" s="85">
        <f t="shared" si="893"/>
        <v>54.329000000000001</v>
      </c>
      <c r="BD315" s="85">
        <f t="shared" si="893"/>
        <v>55.505000000000003</v>
      </c>
      <c r="BE315" s="85">
        <f t="shared" si="893"/>
        <v>56.517000000000003</v>
      </c>
      <c r="BF315" s="85">
        <f t="shared" si="893"/>
        <v>57.219000000000001</v>
      </c>
      <c r="BG315" s="85">
        <f t="shared" si="893"/>
        <v>61.572000000000003</v>
      </c>
      <c r="BH315" s="85">
        <f t="shared" si="893"/>
        <v>65.975999999999999</v>
      </c>
      <c r="BI315" s="85">
        <f t="shared" si="893"/>
        <v>69.801000000000002</v>
      </c>
      <c r="BJ315" s="85">
        <f t="shared" si="893"/>
        <v>69.046999999999997</v>
      </c>
      <c r="BK315" s="85">
        <f t="shared" si="893"/>
        <v>66.153000000000006</v>
      </c>
      <c r="BL315" s="85">
        <f t="shared" si="893"/>
        <v>60.636000000000003</v>
      </c>
      <c r="BM315" s="85">
        <f t="shared" si="893"/>
        <v>56.28</v>
      </c>
      <c r="BN315" s="85">
        <f t="shared" si="893"/>
        <v>51.975000000000001</v>
      </c>
      <c r="BO315" s="85">
        <f t="shared" si="893"/>
        <v>48.366999999999997</v>
      </c>
      <c r="BP315" s="85">
        <f t="shared" si="893"/>
        <v>44.662999999999997</v>
      </c>
      <c r="BQ315" s="85">
        <f t="shared" si="893"/>
        <v>41.262999999999998</v>
      </c>
      <c r="BR315" s="85">
        <f t="shared" si="893"/>
        <v>39.587000000000003</v>
      </c>
      <c r="BS315" s="85">
        <f t="shared" si="893"/>
        <v>38.024000000000001</v>
      </c>
      <c r="BT315" s="85">
        <f t="shared" si="893"/>
        <v>37.961234087913972</v>
      </c>
      <c r="BU315" s="85">
        <f t="shared" si="893"/>
        <v>41.991636472289443</v>
      </c>
      <c r="BV315" s="85">
        <f t="shared" si="893"/>
        <v>45.724288581706638</v>
      </c>
      <c r="BW315" s="85">
        <f t="shared" si="893"/>
        <v>45.81106407290936</v>
      </c>
      <c r="BX315" s="85">
        <f t="shared" si="893"/>
        <v>45.937317271275063</v>
      </c>
      <c r="BY315" s="85">
        <f t="shared" si="893"/>
        <v>46.052774288238581</v>
      </c>
      <c r="BZ315" s="85">
        <f t="shared" si="893"/>
        <v>46.158358328394947</v>
      </c>
      <c r="CA315" s="85">
        <f t="shared" si="893"/>
        <v>54.13859867481785</v>
      </c>
      <c r="CB315" s="85">
        <f t="shared" si="893"/>
        <v>61.811616099263233</v>
      </c>
      <c r="CC315" s="85">
        <f t="shared" si="893"/>
        <v>61.319996868120519</v>
      </c>
      <c r="CD315" s="85">
        <f t="shared" si="893"/>
        <v>60.870417050386109</v>
      </c>
      <c r="CE315" s="85">
        <f t="shared" si="893"/>
        <v>60.459281765779188</v>
      </c>
      <c r="CF315" s="4"/>
      <c r="CG315" s="4"/>
      <c r="CH315" s="4"/>
      <c r="CI315" s="4"/>
      <c r="CJ315" s="4"/>
      <c r="CK315" s="4"/>
      <c r="CL315" s="4"/>
      <c r="CM315" s="4"/>
      <c r="CN315" s="240">
        <f t="shared" si="760"/>
        <v>308</v>
      </c>
    </row>
    <row r="316" spans="1:92" hidden="1" outlineLevel="2">
      <c r="A316" s="143"/>
      <c r="B316" s="91" t="s">
        <v>207</v>
      </c>
      <c r="C316" s="92">
        <f t="shared" ref="C316:Q316" si="894">C315/C12</f>
        <v>7.829140338233076E-2</v>
      </c>
      <c r="D316" s="92">
        <f t="shared" si="894"/>
        <v>0.11373955776803542</v>
      </c>
      <c r="E316" s="92">
        <f t="shared" si="894"/>
        <v>0.13501266281783902</v>
      </c>
      <c r="F316" s="92">
        <f t="shared" si="894"/>
        <v>0.22212658391495979</v>
      </c>
      <c r="G316" s="92">
        <f t="shared" si="894"/>
        <v>0.12163621504874206</v>
      </c>
      <c r="H316" s="92">
        <f t="shared" si="894"/>
        <v>9.6940278400946128E-2</v>
      </c>
      <c r="I316" s="92">
        <f t="shared" si="894"/>
        <v>0.11043674033674665</v>
      </c>
      <c r="J316" s="92">
        <f t="shared" si="894"/>
        <v>0.11449329004898766</v>
      </c>
      <c r="K316" s="92">
        <f t="shared" si="894"/>
        <v>9.8747204708795583E-2</v>
      </c>
      <c r="L316" s="92">
        <f t="shared" si="894"/>
        <v>0.21440767818711226</v>
      </c>
      <c r="M316" s="92">
        <f t="shared" si="894"/>
        <v>0.29803257729356597</v>
      </c>
      <c r="N316" s="92">
        <f t="shared" si="894"/>
        <v>0.1025164443681056</v>
      </c>
      <c r="O316" s="92">
        <f t="shared" si="894"/>
        <v>7.9539391680509192E-2</v>
      </c>
      <c r="P316" s="92">
        <f t="shared" si="894"/>
        <v>7.7204062346926366E-2</v>
      </c>
      <c r="Q316" s="92">
        <f t="shared" si="894"/>
        <v>8.9144723557116751E-2</v>
      </c>
      <c r="R316" s="92"/>
      <c r="S316" s="4"/>
      <c r="T316" s="92">
        <f t="shared" ref="T316:AY316" si="895">T315/T12</f>
        <v>0.10420231777320482</v>
      </c>
      <c r="U316" s="92">
        <f t="shared" si="895"/>
        <v>9.7366226887046936E-2</v>
      </c>
      <c r="V316" s="92">
        <f t="shared" si="895"/>
        <v>8.7728085249695609E-2</v>
      </c>
      <c r="W316" s="92">
        <f t="shared" si="895"/>
        <v>8.8281575612204094E-2</v>
      </c>
      <c r="X316" s="92">
        <f t="shared" si="895"/>
        <v>7.8699347174028114E-2</v>
      </c>
      <c r="Y316" s="92">
        <f t="shared" si="895"/>
        <v>7.9396159244172107E-2</v>
      </c>
      <c r="Z316" s="92">
        <f t="shared" si="895"/>
        <v>7.5041015764319846E-2</v>
      </c>
      <c r="AA316" s="92">
        <f t="shared" si="895"/>
        <v>8.0065114886610292E-2</v>
      </c>
      <c r="AB316" s="92">
        <f t="shared" si="895"/>
        <v>8.9233827355374329E-2</v>
      </c>
      <c r="AC316" s="92">
        <f t="shared" si="895"/>
        <v>0.10930766936988032</v>
      </c>
      <c r="AD316" s="92">
        <f t="shared" si="895"/>
        <v>0.12870999808595898</v>
      </c>
      <c r="AE316" s="92">
        <f t="shared" si="895"/>
        <v>0.12730075353538611</v>
      </c>
      <c r="AF316" s="92">
        <f t="shared" si="895"/>
        <v>0.13855100975018633</v>
      </c>
      <c r="AG316" s="92">
        <f t="shared" si="895"/>
        <v>0.13590356282809088</v>
      </c>
      <c r="AH316" s="92">
        <f t="shared" si="895"/>
        <v>0.12834240379062209</v>
      </c>
      <c r="AI316" s="92">
        <f t="shared" si="895"/>
        <v>0.13805498498972982</v>
      </c>
      <c r="AJ316" s="92">
        <f t="shared" si="895"/>
        <v>0.18165211520896801</v>
      </c>
      <c r="AK316" s="92">
        <f t="shared" si="895"/>
        <v>0.25489300729030528</v>
      </c>
      <c r="AL316" s="92">
        <f t="shared" si="895"/>
        <v>0.25188598582011062</v>
      </c>
      <c r="AM316" s="92">
        <f t="shared" si="895"/>
        <v>0.21582521405373489</v>
      </c>
      <c r="AN316" s="92">
        <f t="shared" si="895"/>
        <v>0.15135776751867283</v>
      </c>
      <c r="AO316" s="92">
        <f t="shared" si="895"/>
        <v>0.13200683284828546</v>
      </c>
      <c r="AP316" s="92">
        <f t="shared" si="895"/>
        <v>0.10950033090668432</v>
      </c>
      <c r="AQ316" s="92">
        <f t="shared" si="895"/>
        <v>0.10551465210395437</v>
      </c>
      <c r="AR316" s="92">
        <f t="shared" si="895"/>
        <v>0.10356479577536731</v>
      </c>
      <c r="AS316" s="92">
        <f t="shared" si="895"/>
        <v>9.6955050331620704E-2</v>
      </c>
      <c r="AT316" s="92">
        <f t="shared" si="895"/>
        <v>9.2538353559588629E-2</v>
      </c>
      <c r="AU316" s="92">
        <f t="shared" si="895"/>
        <v>9.6267052209900117E-2</v>
      </c>
      <c r="AV316" s="92">
        <f t="shared" si="895"/>
        <v>0.10268486957698329</v>
      </c>
      <c r="AW316" s="92">
        <f t="shared" si="895"/>
        <v>0.10787713004842973</v>
      </c>
      <c r="AX316" s="92">
        <f t="shared" si="895"/>
        <v>0.11419971296605973</v>
      </c>
      <c r="AY316" s="92">
        <f t="shared" si="895"/>
        <v>0.11766771218575908</v>
      </c>
      <c r="AZ316" s="92">
        <f t="shared" ref="AZ316:CE316" si="896">AZ315/AZ12</f>
        <v>0.12404507997491902</v>
      </c>
      <c r="BA316" s="92">
        <f t="shared" si="896"/>
        <v>0.11532106843602892</v>
      </c>
      <c r="BB316" s="92">
        <f t="shared" si="896"/>
        <v>0.10834600841747757</v>
      </c>
      <c r="BC316" s="92">
        <f t="shared" si="896"/>
        <v>0.11156287411623862</v>
      </c>
      <c r="BD316" s="92">
        <f t="shared" si="896"/>
        <v>0.11063560909880964</v>
      </c>
      <c r="BE316" s="92">
        <f t="shared" si="896"/>
        <v>9.6969790556782329E-2</v>
      </c>
      <c r="BF316" s="92">
        <f t="shared" si="896"/>
        <v>9.2187006592726745E-2</v>
      </c>
      <c r="BG316" s="92">
        <f t="shared" si="896"/>
        <v>9.7392305672518137E-2</v>
      </c>
      <c r="BH316" s="92">
        <f t="shared" si="896"/>
        <v>0.16239446673394539</v>
      </c>
      <c r="BI316" s="92">
        <f t="shared" si="896"/>
        <v>0.23457790025541067</v>
      </c>
      <c r="BJ316" s="92">
        <f t="shared" si="896"/>
        <v>0.23652388977953168</v>
      </c>
      <c r="BK316" s="92">
        <f t="shared" si="896"/>
        <v>0.24676036794163067</v>
      </c>
      <c r="BL316" s="92">
        <f t="shared" si="896"/>
        <v>0.32066421639916448</v>
      </c>
      <c r="BM316" s="92">
        <f t="shared" si="896"/>
        <v>0.39357193806906388</v>
      </c>
      <c r="BN316" s="92">
        <f t="shared" si="896"/>
        <v>0.29550726615269157</v>
      </c>
      <c r="BO316" s="92">
        <f t="shared" si="896"/>
        <v>0.21885817454535583</v>
      </c>
      <c r="BP316" s="92">
        <f t="shared" si="896"/>
        <v>0.14981601306860684</v>
      </c>
      <c r="BQ316" s="92">
        <f t="shared" si="896"/>
        <v>0.10346530929515307</v>
      </c>
      <c r="BR316" s="92">
        <f t="shared" si="896"/>
        <v>8.4049010719767989E-2</v>
      </c>
      <c r="BS316" s="92">
        <f t="shared" si="896"/>
        <v>8.8986868679776926E-2</v>
      </c>
      <c r="BT316" s="92">
        <f t="shared" si="896"/>
        <v>8.3878336881249141E-2</v>
      </c>
      <c r="BU316" s="92">
        <f t="shared" si="896"/>
        <v>7.8737758425200144E-2</v>
      </c>
      <c r="BV316" s="92">
        <f t="shared" si="896"/>
        <v>7.9457330516560787E-2</v>
      </c>
      <c r="BW316" s="92">
        <f t="shared" si="896"/>
        <v>7.7035573140146973E-2</v>
      </c>
      <c r="BX316" s="92">
        <f t="shared" si="896"/>
        <v>7.662785901507628E-2</v>
      </c>
      <c r="BY316" s="92">
        <f t="shared" si="896"/>
        <v>7.6454225775833107E-2</v>
      </c>
      <c r="BZ316" s="92">
        <f t="shared" si="896"/>
        <v>7.3817855020912912E-2</v>
      </c>
      <c r="CA316" s="92">
        <f t="shared" si="896"/>
        <v>8.1596734923890371E-2</v>
      </c>
      <c r="CB316" s="92">
        <f t="shared" si="896"/>
        <v>9.0550656584058933E-2</v>
      </c>
      <c r="CC316" s="92">
        <f t="shared" si="896"/>
        <v>8.9684536731190159E-2</v>
      </c>
      <c r="CD316" s="92">
        <f t="shared" si="896"/>
        <v>8.8702344475112271E-2</v>
      </c>
      <c r="CE316" s="92">
        <f t="shared" si="896"/>
        <v>8.765827266621308E-2</v>
      </c>
      <c r="CF316" s="4"/>
      <c r="CG316" s="4"/>
      <c r="CH316" s="4"/>
      <c r="CI316" s="4"/>
      <c r="CJ316" s="4"/>
      <c r="CK316" s="4"/>
      <c r="CL316" s="4"/>
      <c r="CM316" s="4"/>
      <c r="CN316" s="240">
        <f t="shared" si="760"/>
        <v>309</v>
      </c>
    </row>
    <row r="317" spans="1:92" hidden="1" outlineLevel="2">
      <c r="A317" s="143"/>
      <c r="B317" s="91" t="s">
        <v>208</v>
      </c>
      <c r="C317" s="92">
        <f t="shared" ref="C317:Q317" si="897">-C242/C12</f>
        <v>0.26788964684980637</v>
      </c>
      <c r="D317" s="92">
        <f t="shared" si="897"/>
        <v>0.36040079626093491</v>
      </c>
      <c r="E317" s="92">
        <f t="shared" si="897"/>
        <v>0.194210338469538</v>
      </c>
      <c r="F317" s="92">
        <f t="shared" si="897"/>
        <v>0.11538402655040374</v>
      </c>
      <c r="G317" s="92">
        <f t="shared" si="897"/>
        <v>0.17102219660265017</v>
      </c>
      <c r="H317" s="92">
        <f t="shared" si="897"/>
        <v>0.22756498362942104</v>
      </c>
      <c r="I317" s="92">
        <f t="shared" si="897"/>
        <v>0.16909928571538743</v>
      </c>
      <c r="J317" s="92">
        <f t="shared" si="897"/>
        <v>0.10834391178244943</v>
      </c>
      <c r="K317" s="92">
        <f t="shared" si="897"/>
        <v>0.15893725242394049</v>
      </c>
      <c r="L317" s="92">
        <f t="shared" si="897"/>
        <v>0.13247404734776552</v>
      </c>
      <c r="M317" s="92">
        <f t="shared" si="897"/>
        <v>4.6555844241358404E-2</v>
      </c>
      <c r="N317" s="92">
        <f t="shared" si="897"/>
        <v>7.3662870550711607E-2</v>
      </c>
      <c r="O317" s="92">
        <f t="shared" si="897"/>
        <v>0.1228017166136862</v>
      </c>
      <c r="P317" s="92">
        <f t="shared" si="897"/>
        <v>0.15173848410775378</v>
      </c>
      <c r="Q317" s="92">
        <f t="shared" si="897"/>
        <v>8.1774511115213194E-2</v>
      </c>
      <c r="R317" s="92"/>
      <c r="S317" s="4"/>
      <c r="T317" s="92">
        <f t="shared" ref="T317:AY317" si="898">-T242/T12</f>
        <v>0.14424347449366404</v>
      </c>
      <c r="U317" s="92">
        <f t="shared" si="898"/>
        <v>0.20352150669478644</v>
      </c>
      <c r="V317" s="92">
        <f t="shared" si="898"/>
        <v>0.18456662723119832</v>
      </c>
      <c r="W317" s="92">
        <f t="shared" si="898"/>
        <v>0.14773703505235317</v>
      </c>
      <c r="X317" s="92">
        <f t="shared" si="898"/>
        <v>0.1909221902017291</v>
      </c>
      <c r="Y317" s="92">
        <f t="shared" si="898"/>
        <v>0.19019614555163797</v>
      </c>
      <c r="Z317" s="92">
        <f t="shared" si="898"/>
        <v>0.28253863263493051</v>
      </c>
      <c r="AA317" s="92">
        <f t="shared" si="898"/>
        <v>0.38987850210812564</v>
      </c>
      <c r="AB317" s="92">
        <f t="shared" si="898"/>
        <v>0.3721944517524628</v>
      </c>
      <c r="AC317" s="92">
        <f t="shared" si="898"/>
        <v>0.41153358163140019</v>
      </c>
      <c r="AD317" s="92">
        <f t="shared" si="898"/>
        <v>0.39208821876871608</v>
      </c>
      <c r="AE317" s="92">
        <f t="shared" si="898"/>
        <v>0.27503235959159777</v>
      </c>
      <c r="AF317" s="92">
        <f t="shared" si="898"/>
        <v>0.23493233685043122</v>
      </c>
      <c r="AG317" s="92">
        <f t="shared" si="898"/>
        <v>0.25584915855027507</v>
      </c>
      <c r="AH317" s="92">
        <f t="shared" si="898"/>
        <v>0.15040237419746477</v>
      </c>
      <c r="AI317" s="92">
        <f t="shared" si="898"/>
        <v>0.14649058127490744</v>
      </c>
      <c r="AJ317" s="92">
        <f t="shared" si="898"/>
        <v>0.11062511700733528</v>
      </c>
      <c r="AK317" s="92">
        <f t="shared" si="898"/>
        <v>0.18658772772362972</v>
      </c>
      <c r="AL317" s="92">
        <f t="shared" si="898"/>
        <v>0.11728296975612709</v>
      </c>
      <c r="AM317" s="92">
        <f t="shared" si="898"/>
        <v>5.9902240593117481E-2</v>
      </c>
      <c r="AN317" s="92">
        <f t="shared" si="898"/>
        <v>4.8643170814097511E-2</v>
      </c>
      <c r="AO317" s="92">
        <f t="shared" si="898"/>
        <v>0.18387004934834872</v>
      </c>
      <c r="AP317" s="92">
        <f t="shared" si="898"/>
        <v>0.16293183322303109</v>
      </c>
      <c r="AQ317" s="92">
        <f t="shared" si="898"/>
        <v>0.24806182651518846</v>
      </c>
      <c r="AR317" s="92">
        <f t="shared" si="898"/>
        <v>0.24182145373676203</v>
      </c>
      <c r="AS317" s="92">
        <f t="shared" si="898"/>
        <v>0.24068686842508785</v>
      </c>
      <c r="AT317" s="92">
        <f t="shared" si="898"/>
        <v>0.20302448057184383</v>
      </c>
      <c r="AU317" s="92">
        <f t="shared" si="898"/>
        <v>0.2292359698580311</v>
      </c>
      <c r="AV317" s="92">
        <f t="shared" si="898"/>
        <v>0.24158055703134171</v>
      </c>
      <c r="AW317" s="92">
        <f t="shared" si="898"/>
        <v>0.16555290278460966</v>
      </c>
      <c r="AX317" s="92">
        <f t="shared" si="898"/>
        <v>0.14732715518883699</v>
      </c>
      <c r="AY317" s="92">
        <f t="shared" si="898"/>
        <v>0.11724851151844271</v>
      </c>
      <c r="AZ317" s="92">
        <f t="shared" ref="AZ317:CE317" si="899">-AZ242/AZ12</f>
        <v>0.12455938058479971</v>
      </c>
      <c r="BA317" s="92">
        <f t="shared" si="899"/>
        <v>0.12118470340890712</v>
      </c>
      <c r="BB317" s="92">
        <f t="shared" si="899"/>
        <v>0.10458522441516455</v>
      </c>
      <c r="BC317" s="92">
        <f t="shared" si="899"/>
        <v>8.5890414615765284E-2</v>
      </c>
      <c r="BD317" s="92">
        <f t="shared" si="899"/>
        <v>8.0318203200369948E-2</v>
      </c>
      <c r="BE317" s="92">
        <f t="shared" si="899"/>
        <v>0.12440827615552363</v>
      </c>
      <c r="BF317" s="92">
        <f t="shared" si="899"/>
        <v>0.20085744114557488</v>
      </c>
      <c r="BG317" s="92">
        <f t="shared" si="899"/>
        <v>0.21200210058113969</v>
      </c>
      <c r="BH317" s="92">
        <f t="shared" si="899"/>
        <v>0.2547369975631969</v>
      </c>
      <c r="BI317" s="92">
        <f t="shared" si="899"/>
        <v>0.12049670654657886</v>
      </c>
      <c r="BJ317" s="92">
        <f t="shared" si="899"/>
        <v>5.4312081226620595E-2</v>
      </c>
      <c r="BK317" s="92">
        <f t="shared" si="899"/>
        <v>4.5597308326432523E-2</v>
      </c>
      <c r="BL317" s="92">
        <f t="shared" si="899"/>
        <v>5.0667653824797057E-2</v>
      </c>
      <c r="BM317" s="92">
        <f t="shared" si="899"/>
        <v>6.0895956586805418E-2</v>
      </c>
      <c r="BN317" s="92">
        <f t="shared" si="899"/>
        <v>3.7683928043483209E-2</v>
      </c>
      <c r="BO317" s="92">
        <f t="shared" si="899"/>
        <v>4.0819558636542581E-2</v>
      </c>
      <c r="BP317" s="92">
        <f t="shared" si="899"/>
        <v>3.9269553433360513E-2</v>
      </c>
      <c r="BQ317" s="92">
        <f t="shared" si="899"/>
        <v>4.7486271658183095E-2</v>
      </c>
      <c r="BR317" s="92">
        <f t="shared" si="899"/>
        <v>9.42061448113478E-2</v>
      </c>
      <c r="BS317" s="92">
        <f t="shared" si="899"/>
        <v>9.9445587281973516E-2</v>
      </c>
      <c r="BT317" s="92">
        <f t="shared" si="899"/>
        <v>0.18802134336463061</v>
      </c>
      <c r="BU317" s="92">
        <f t="shared" si="899"/>
        <v>0.16058611754344526</v>
      </c>
      <c r="BV317" s="92">
        <f t="shared" si="899"/>
        <v>8.1220752739770183E-2</v>
      </c>
      <c r="BW317" s="92">
        <f t="shared" si="899"/>
        <v>7.9518337733152603E-2</v>
      </c>
      <c r="BX317" s="92">
        <f t="shared" si="899"/>
        <v>7.8880093536529736E-2</v>
      </c>
      <c r="BY317" s="92">
        <f t="shared" si="899"/>
        <v>7.8504047959126466E-2</v>
      </c>
      <c r="BZ317" s="92">
        <f t="shared" si="899"/>
        <v>0.22306267084680642</v>
      </c>
      <c r="CA317" s="92">
        <f t="shared" si="899"/>
        <v>0.21683642622692892</v>
      </c>
      <c r="CB317" s="92">
        <f t="shared" si="899"/>
        <v>8.212851410633662E-2</v>
      </c>
      <c r="CC317" s="92">
        <f t="shared" si="899"/>
        <v>8.1995101064760642E-2</v>
      </c>
      <c r="CD317" s="92">
        <f t="shared" si="899"/>
        <v>8.1696091929510412E-2</v>
      </c>
      <c r="CE317" s="92">
        <f t="shared" si="899"/>
        <v>8.1283498047294997E-2</v>
      </c>
      <c r="CF317" s="4"/>
      <c r="CG317" s="4"/>
      <c r="CH317" s="4"/>
      <c r="CI317" s="4"/>
      <c r="CJ317" s="4"/>
      <c r="CK317" s="4"/>
      <c r="CL317" s="4"/>
      <c r="CM317" s="4"/>
      <c r="CN317" s="240">
        <f t="shared" si="760"/>
        <v>310</v>
      </c>
    </row>
    <row r="318" spans="1:92" hidden="1" outlineLevel="2">
      <c r="A318" s="143"/>
      <c r="B318" s="86" t="s">
        <v>209</v>
      </c>
      <c r="C318" s="6">
        <f t="shared" ref="C318:Q318" si="900">C242/C59</f>
        <v>3.4216993855836955</v>
      </c>
      <c r="D318" s="6">
        <f t="shared" si="900"/>
        <v>3.1686495299722317</v>
      </c>
      <c r="E318" s="6">
        <f t="shared" si="900"/>
        <v>1.4384601741509928</v>
      </c>
      <c r="F318" s="6">
        <f t="shared" si="900"/>
        <v>0.51945167713279206</v>
      </c>
      <c r="G318" s="6">
        <f t="shared" si="900"/>
        <v>1.4060137972405518</v>
      </c>
      <c r="H318" s="6">
        <f t="shared" si="900"/>
        <v>2.3474760685977154</v>
      </c>
      <c r="I318" s="6">
        <f t="shared" si="900"/>
        <v>1.5311868604575378</v>
      </c>
      <c r="J318" s="6">
        <f t="shared" si="900"/>
        <v>0.94629049209864502</v>
      </c>
      <c r="K318" s="6">
        <f t="shared" si="900"/>
        <v>1.60953672453458</v>
      </c>
      <c r="L318" s="6">
        <f t="shared" si="900"/>
        <v>0.61786055643098858</v>
      </c>
      <c r="M318" s="6">
        <f t="shared" si="900"/>
        <v>0.15621058833276569</v>
      </c>
      <c r="N318" s="6">
        <f t="shared" si="900"/>
        <v>0.71854687318466182</v>
      </c>
      <c r="O318" s="6">
        <f t="shared" si="900"/>
        <v>1.5439106839910404</v>
      </c>
      <c r="P318" s="6">
        <f t="shared" si="900"/>
        <v>1.9654209829775202</v>
      </c>
      <c r="Q318" s="6">
        <f t="shared" si="900"/>
        <v>0.91732306582137391</v>
      </c>
      <c r="R318" s="6"/>
      <c r="S318" s="4"/>
      <c r="T318" s="6">
        <f t="shared" ref="T318:AY318" si="901">T242/T59</f>
        <v>1.3842635900634028</v>
      </c>
      <c r="U318" s="6">
        <f t="shared" si="901"/>
        <v>2.0902679830747535</v>
      </c>
      <c r="V318" s="6">
        <f t="shared" si="901"/>
        <v>2.1038488040161427</v>
      </c>
      <c r="W318" s="6">
        <f t="shared" si="901"/>
        <v>1.6734752866364782</v>
      </c>
      <c r="X318" s="6">
        <f t="shared" si="901"/>
        <v>2.4259691732835122</v>
      </c>
      <c r="Y318" s="6">
        <f t="shared" si="901"/>
        <v>2.3955333275847202</v>
      </c>
      <c r="Z318" s="6">
        <f t="shared" si="901"/>
        <v>3.7651227099896305</v>
      </c>
      <c r="AA318" s="6">
        <f t="shared" si="901"/>
        <v>4.86951780010906</v>
      </c>
      <c r="AB318" s="6">
        <f t="shared" si="901"/>
        <v>4.1710017689838175</v>
      </c>
      <c r="AC318" s="6">
        <f t="shared" si="901"/>
        <v>3.7649104038512973</v>
      </c>
      <c r="AD318" s="6">
        <f t="shared" si="901"/>
        <v>3.0462918545524329</v>
      </c>
      <c r="AE318" s="6">
        <f t="shared" si="901"/>
        <v>2.1604927854189517</v>
      </c>
      <c r="AF318" s="6">
        <f t="shared" si="901"/>
        <v>1.6956378540584058</v>
      </c>
      <c r="AG318" s="6">
        <f t="shared" si="901"/>
        <v>1.8825787435308636</v>
      </c>
      <c r="AH318" s="6">
        <f t="shared" si="901"/>
        <v>1.1718837247495482</v>
      </c>
      <c r="AI318" s="6">
        <f t="shared" si="901"/>
        <v>1.0611031632490864</v>
      </c>
      <c r="AJ318" s="6">
        <f t="shared" si="901"/>
        <v>0.60899437851342908</v>
      </c>
      <c r="AK318" s="6">
        <f t="shared" si="901"/>
        <v>0.73202372127501858</v>
      </c>
      <c r="AL318" s="6">
        <f t="shared" si="901"/>
        <v>0.46561927363393313</v>
      </c>
      <c r="AM318" s="6">
        <f t="shared" si="901"/>
        <v>0.27754977960176319</v>
      </c>
      <c r="AN318" s="6">
        <f t="shared" si="901"/>
        <v>0.32137875453333747</v>
      </c>
      <c r="AO318" s="6">
        <f t="shared" si="901"/>
        <v>1.392882818116463</v>
      </c>
      <c r="AP318" s="6">
        <f t="shared" si="901"/>
        <v>1.487957450666344</v>
      </c>
      <c r="AQ318" s="6">
        <f t="shared" si="901"/>
        <v>2.3509704251386321</v>
      </c>
      <c r="AR318" s="6">
        <f t="shared" si="901"/>
        <v>2.3349773629764523</v>
      </c>
      <c r="AS318" s="6">
        <f t="shared" si="901"/>
        <v>2.4824582897110909</v>
      </c>
      <c r="AT318" s="6">
        <f t="shared" si="901"/>
        <v>2.1939495653670713</v>
      </c>
      <c r="AU318" s="6">
        <f t="shared" si="901"/>
        <v>2.3812505379120403</v>
      </c>
      <c r="AV318" s="6">
        <f t="shared" si="901"/>
        <v>2.3526402480379809</v>
      </c>
      <c r="AW318" s="6">
        <f t="shared" si="901"/>
        <v>1.5346431881371638</v>
      </c>
      <c r="AX318" s="6">
        <f t="shared" si="901"/>
        <v>1.290083410565338</v>
      </c>
      <c r="AY318" s="6">
        <f t="shared" si="901"/>
        <v>0.99643741975152367</v>
      </c>
      <c r="AZ318" s="6">
        <f t="shared" ref="AZ318:CE318" si="902">AZ242/AZ59</f>
        <v>1.0041460782643268</v>
      </c>
      <c r="BA318" s="6">
        <f t="shared" si="902"/>
        <v>1.0508461727973921</v>
      </c>
      <c r="BB318" s="6">
        <f t="shared" si="902"/>
        <v>0.96528913194640253</v>
      </c>
      <c r="BC318" s="6">
        <f t="shared" si="902"/>
        <v>0.76988348764011838</v>
      </c>
      <c r="BD318" s="6">
        <f t="shared" si="902"/>
        <v>0.72597063327628142</v>
      </c>
      <c r="BE318" s="6">
        <f t="shared" si="902"/>
        <v>1.2829591096484243</v>
      </c>
      <c r="BF318" s="6">
        <f t="shared" si="902"/>
        <v>2.1788042433457417</v>
      </c>
      <c r="BG318" s="6">
        <f t="shared" si="902"/>
        <v>2.1767849022282855</v>
      </c>
      <c r="BH318" s="6">
        <f t="shared" si="902"/>
        <v>1.5686310173396387</v>
      </c>
      <c r="BI318" s="6">
        <f t="shared" si="902"/>
        <v>0.51367458918926667</v>
      </c>
      <c r="BJ318" s="6">
        <f t="shared" si="902"/>
        <v>0.22962619664865946</v>
      </c>
      <c r="BK318" s="6">
        <f t="shared" si="902"/>
        <v>0.18478375886203177</v>
      </c>
      <c r="BL318" s="6">
        <f t="shared" si="902"/>
        <v>0.1580084438287486</v>
      </c>
      <c r="BM318" s="6">
        <f t="shared" si="902"/>
        <v>0.15472636815920401</v>
      </c>
      <c r="BN318" s="6">
        <f t="shared" si="902"/>
        <v>0.12752284752284751</v>
      </c>
      <c r="BO318" s="6">
        <f t="shared" si="902"/>
        <v>0.18651146442822589</v>
      </c>
      <c r="BP318" s="6">
        <f t="shared" si="902"/>
        <v>0.26211853211830827</v>
      </c>
      <c r="BQ318" s="6">
        <f t="shared" si="902"/>
        <v>0.45895838887138596</v>
      </c>
      <c r="BR318" s="6">
        <f t="shared" si="902"/>
        <v>1.1208477530502436</v>
      </c>
      <c r="BS318" s="6">
        <f t="shared" si="902"/>
        <v>1.1175310330317694</v>
      </c>
      <c r="BT318" s="6">
        <f t="shared" si="902"/>
        <v>2.2415959871834619</v>
      </c>
      <c r="BU318" s="6">
        <f t="shared" si="902"/>
        <v>2.0395058324653732</v>
      </c>
      <c r="BV318" s="6">
        <f t="shared" si="902"/>
        <v>1.0221933232811271</v>
      </c>
      <c r="BW318" s="6">
        <f t="shared" si="902"/>
        <v>1.032228806664278</v>
      </c>
      <c r="BX318" s="6">
        <f t="shared" si="902"/>
        <v>1.029391849784167</v>
      </c>
      <c r="BY318" s="6">
        <f t="shared" si="902"/>
        <v>1.0268111038009009</v>
      </c>
      <c r="BZ318" s="6">
        <f t="shared" si="902"/>
        <v>3.0217983275673865</v>
      </c>
      <c r="CA318" s="6">
        <f t="shared" si="902"/>
        <v>2.6574154766018987</v>
      </c>
      <c r="CB318" s="6">
        <f t="shared" si="902"/>
        <v>0.90698971387464244</v>
      </c>
      <c r="CC318" s="6">
        <f t="shared" si="902"/>
        <v>0.91426129914149057</v>
      </c>
      <c r="CD318" s="6">
        <f t="shared" si="902"/>
        <v>0.92101389667814648</v>
      </c>
      <c r="CE318" s="6">
        <f t="shared" si="902"/>
        <v>0.92727697654741525</v>
      </c>
      <c r="CF318" s="4"/>
      <c r="CG318" s="4"/>
      <c r="CH318" s="4"/>
      <c r="CI318" s="4"/>
      <c r="CJ318" s="4"/>
      <c r="CK318" s="4"/>
      <c r="CL318" s="4"/>
      <c r="CM318" s="4"/>
      <c r="CN318" s="240">
        <f t="shared" si="760"/>
        <v>311</v>
      </c>
    </row>
    <row r="319" spans="1:92" hidden="1" outlineLevel="2">
      <c r="A319" s="143"/>
      <c r="B319" s="86" t="s">
        <v>51</v>
      </c>
      <c r="C319" s="93">
        <f t="shared" ref="C319:Q319" si="903">-C242</f>
        <v>159.83099999999999</v>
      </c>
      <c r="D319" s="93">
        <f t="shared" si="903"/>
        <v>248.75800000000001</v>
      </c>
      <c r="E319" s="93">
        <f t="shared" si="903"/>
        <v>170.31800000000001</v>
      </c>
      <c r="F319" s="93">
        <f t="shared" si="903"/>
        <v>67.83</v>
      </c>
      <c r="G319" s="93">
        <f t="shared" si="903"/>
        <v>187.506</v>
      </c>
      <c r="H319" s="93">
        <f t="shared" si="903"/>
        <v>416.4</v>
      </c>
      <c r="I319" s="93">
        <f t="shared" si="903"/>
        <v>328.90200000000004</v>
      </c>
      <c r="J319" s="93">
        <f t="shared" si="903"/>
        <v>201.68100000000001</v>
      </c>
      <c r="K319" s="93">
        <f t="shared" si="903"/>
        <v>371.50200000000001</v>
      </c>
      <c r="L319" s="93">
        <f t="shared" si="903"/>
        <v>167.42599999999999</v>
      </c>
      <c r="M319" s="93">
        <f t="shared" si="903"/>
        <v>33.938000000000002</v>
      </c>
      <c r="N319" s="93">
        <f t="shared" si="903"/>
        <v>117.50900000000001</v>
      </c>
      <c r="O319" s="93">
        <f t="shared" si="903"/>
        <v>264.76250000000005</v>
      </c>
      <c r="P319" s="93">
        <f t="shared" si="903"/>
        <v>377.92499999999995</v>
      </c>
      <c r="Q319" s="93">
        <f t="shared" si="903"/>
        <v>224.25</v>
      </c>
      <c r="R319" s="93"/>
      <c r="S319" s="4"/>
      <c r="T319" s="93">
        <f t="shared" ref="T319:AY319" si="904">-T242</f>
        <v>13.318</v>
      </c>
      <c r="U319" s="93">
        <f t="shared" si="904"/>
        <v>20.748000000000005</v>
      </c>
      <c r="V319" s="93">
        <f t="shared" si="904"/>
        <v>21.372999999999998</v>
      </c>
      <c r="W319" s="93">
        <f t="shared" si="904"/>
        <v>17.369000000000007</v>
      </c>
      <c r="X319" s="93">
        <f t="shared" si="904"/>
        <v>25.97</v>
      </c>
      <c r="Y319" s="93">
        <f t="shared" si="904"/>
        <v>27.780999999999999</v>
      </c>
      <c r="Z319" s="93">
        <f t="shared" si="904"/>
        <v>43.57</v>
      </c>
      <c r="AA319" s="93">
        <f t="shared" si="904"/>
        <v>62.51</v>
      </c>
      <c r="AB319" s="93">
        <f t="shared" si="904"/>
        <v>63.661999999999999</v>
      </c>
      <c r="AC319" s="93">
        <f t="shared" si="904"/>
        <v>70.385000000000005</v>
      </c>
      <c r="AD319" s="93">
        <f t="shared" si="904"/>
        <v>63.503000000000014</v>
      </c>
      <c r="AE319" s="93">
        <f t="shared" si="904"/>
        <v>51.207999999999998</v>
      </c>
      <c r="AF319" s="93">
        <f t="shared" si="904"/>
        <v>46.335000000000001</v>
      </c>
      <c r="AG319" s="93">
        <f t="shared" si="904"/>
        <v>54.928000000000004</v>
      </c>
      <c r="AH319" s="93">
        <f t="shared" si="904"/>
        <v>35.677999999999997</v>
      </c>
      <c r="AI319" s="93">
        <f t="shared" si="904"/>
        <v>33.37700000000001</v>
      </c>
      <c r="AJ319" s="93">
        <f t="shared" si="904"/>
        <v>19.5</v>
      </c>
      <c r="AK319" s="93">
        <f t="shared" si="904"/>
        <v>23.7</v>
      </c>
      <c r="AL319" s="93">
        <f t="shared" si="904"/>
        <v>15.5</v>
      </c>
      <c r="AM319" s="93">
        <f t="shared" si="904"/>
        <v>9.1300000000000008</v>
      </c>
      <c r="AN319" s="93">
        <f t="shared" si="904"/>
        <v>10.368</v>
      </c>
      <c r="AO319" s="93">
        <f t="shared" si="904"/>
        <v>46.5</v>
      </c>
      <c r="AP319" s="93">
        <f t="shared" si="904"/>
        <v>49.237999999999992</v>
      </c>
      <c r="AQ319" s="93">
        <f t="shared" si="904"/>
        <v>81.400000000000006</v>
      </c>
      <c r="AR319" s="93">
        <f t="shared" si="904"/>
        <v>92.317999999999998</v>
      </c>
      <c r="AS319" s="93">
        <f t="shared" si="904"/>
        <v>111.44500000000001</v>
      </c>
      <c r="AT319" s="93">
        <f t="shared" si="904"/>
        <v>101.96599999999999</v>
      </c>
      <c r="AU319" s="93">
        <f t="shared" si="904"/>
        <v>110.67099999999998</v>
      </c>
      <c r="AV319" s="93">
        <f t="shared" si="904"/>
        <v>121.408</v>
      </c>
      <c r="AW319" s="93">
        <f t="shared" si="904"/>
        <v>82.793999999999997</v>
      </c>
      <c r="AX319" s="93">
        <f t="shared" si="904"/>
        <v>69.599999999999994</v>
      </c>
      <c r="AY319" s="93">
        <f t="shared" si="904"/>
        <v>55.1</v>
      </c>
      <c r="AZ319" s="93">
        <f t="shared" ref="AZ319:CE319" si="905">-AZ242</f>
        <v>53.04</v>
      </c>
      <c r="BA319" s="93">
        <f t="shared" si="905"/>
        <v>55.449999999999996</v>
      </c>
      <c r="BB319" s="93">
        <f t="shared" si="905"/>
        <v>51.364000000000026</v>
      </c>
      <c r="BC319" s="93">
        <f t="shared" si="905"/>
        <v>41.826999999999991</v>
      </c>
      <c r="BD319" s="93">
        <f t="shared" si="905"/>
        <v>40.295000000000002</v>
      </c>
      <c r="BE319" s="93">
        <f t="shared" si="905"/>
        <v>72.509</v>
      </c>
      <c r="BF319" s="93">
        <f t="shared" si="905"/>
        <v>124.669</v>
      </c>
      <c r="BG319" s="93">
        <f t="shared" si="905"/>
        <v>134.029</v>
      </c>
      <c r="BH319" s="93">
        <f t="shared" si="905"/>
        <v>103.492</v>
      </c>
      <c r="BI319" s="93">
        <f t="shared" si="905"/>
        <v>35.855000000000004</v>
      </c>
      <c r="BJ319" s="93">
        <f t="shared" si="905"/>
        <v>15.85499999999999</v>
      </c>
      <c r="BK319" s="93">
        <f t="shared" si="905"/>
        <v>12.22399999999999</v>
      </c>
      <c r="BL319" s="93">
        <f t="shared" si="905"/>
        <v>9.5809999999999995</v>
      </c>
      <c r="BM319" s="93">
        <f t="shared" si="905"/>
        <v>8.708000000000002</v>
      </c>
      <c r="BN319" s="93">
        <f t="shared" si="905"/>
        <v>6.6280000000000001</v>
      </c>
      <c r="BO319" s="93">
        <f t="shared" si="905"/>
        <v>9.0210000000000008</v>
      </c>
      <c r="BP319" s="93">
        <f t="shared" si="905"/>
        <v>11.707000000000001</v>
      </c>
      <c r="BQ319" s="93">
        <f t="shared" si="905"/>
        <v>18.937999999999999</v>
      </c>
      <c r="BR319" s="93">
        <f t="shared" si="905"/>
        <v>44.371000000000002</v>
      </c>
      <c r="BS319" s="93">
        <f>-BS242</f>
        <v>42.493000000000002</v>
      </c>
      <c r="BT319" s="93">
        <f t="shared" si="905"/>
        <v>85.09375</v>
      </c>
      <c r="BU319" s="93">
        <f t="shared" si="905"/>
        <v>85.642187500000006</v>
      </c>
      <c r="BV319" s="93">
        <f t="shared" si="905"/>
        <v>46.739062500000003</v>
      </c>
      <c r="BW319" s="93">
        <f t="shared" si="905"/>
        <v>47.287500000000001</v>
      </c>
      <c r="BX319" s="93">
        <f t="shared" si="905"/>
        <v>47.287500000000001</v>
      </c>
      <c r="BY319" s="93">
        <f t="shared" si="905"/>
        <v>47.287500000000001</v>
      </c>
      <c r="BZ319" s="93">
        <f t="shared" si="905"/>
        <v>139.48124999999999</v>
      </c>
      <c r="CA319" s="93">
        <f t="shared" si="905"/>
        <v>143.86875000000001</v>
      </c>
      <c r="CB319" s="93">
        <f t="shared" si="905"/>
        <v>56.0625</v>
      </c>
      <c r="CC319" s="93">
        <f t="shared" si="905"/>
        <v>56.0625</v>
      </c>
      <c r="CD319" s="93">
        <f t="shared" si="905"/>
        <v>56.0625</v>
      </c>
      <c r="CE319" s="93">
        <f t="shared" si="905"/>
        <v>56.0625</v>
      </c>
      <c r="CF319" s="4"/>
      <c r="CG319" s="4"/>
      <c r="CH319" s="4"/>
      <c r="CI319" s="4"/>
      <c r="CJ319" s="4"/>
      <c r="CK319" s="4"/>
      <c r="CL319" s="4"/>
      <c r="CM319" s="4"/>
      <c r="CN319" s="240">
        <f t="shared" si="760"/>
        <v>312</v>
      </c>
    </row>
    <row r="320" spans="1:92" hidden="1" outlineLevel="2">
      <c r="A320" s="143"/>
      <c r="B320" s="86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4"/>
      <c r="T320" s="4"/>
      <c r="U320" s="4"/>
      <c r="V320" s="4"/>
      <c r="W320" s="85"/>
      <c r="X320" s="85"/>
      <c r="Y320" s="85"/>
      <c r="Z320" s="85"/>
      <c r="AA320" s="85"/>
      <c r="AB320" s="85"/>
      <c r="AC320" s="85"/>
      <c r="AD320" s="85"/>
      <c r="AE320" s="85"/>
      <c r="AF320" s="85"/>
      <c r="AG320" s="85"/>
      <c r="AH320" s="85"/>
      <c r="AI320" s="85"/>
      <c r="AJ320" s="85"/>
      <c r="AK320" s="85"/>
      <c r="AL320" s="85"/>
      <c r="AM320" s="85"/>
      <c r="AN320" s="85"/>
      <c r="AO320" s="85"/>
      <c r="AP320" s="85"/>
      <c r="AQ320" s="85"/>
      <c r="AR320" s="85"/>
      <c r="AS320" s="85"/>
      <c r="AT320" s="85"/>
      <c r="AU320" s="85"/>
      <c r="AV320" s="85"/>
      <c r="AW320" s="85"/>
      <c r="AX320" s="85"/>
      <c r="AY320" s="85"/>
      <c r="AZ320" s="85"/>
      <c r="BA320" s="85"/>
      <c r="BB320" s="85"/>
      <c r="BC320" s="85"/>
      <c r="BD320" s="85"/>
      <c r="BE320" s="85"/>
      <c r="BF320" s="85"/>
      <c r="BG320" s="85"/>
      <c r="BH320" s="85"/>
      <c r="BI320" s="85"/>
      <c r="BJ320" s="85"/>
      <c r="BK320" s="85"/>
      <c r="BL320" s="85"/>
      <c r="BM320" s="85"/>
      <c r="BN320" s="85"/>
      <c r="BO320" s="85"/>
      <c r="BP320" s="85"/>
      <c r="BQ320" s="85"/>
      <c r="BR320" s="85"/>
      <c r="BS320" s="85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240">
        <f t="shared" si="760"/>
        <v>313</v>
      </c>
    </row>
    <row r="321" spans="1:92" hidden="1" outlineLevel="2">
      <c r="A321" s="143"/>
      <c r="B321" s="86" t="s">
        <v>210</v>
      </c>
      <c r="C321" s="94">
        <f t="shared" ref="C321:O321" si="906">C262/C315</f>
        <v>11.27586649825523</v>
      </c>
      <c r="D321" s="94">
        <f t="shared" si="906"/>
        <v>9.5996356966346532</v>
      </c>
      <c r="E321" s="94">
        <f t="shared" si="906"/>
        <v>7.5119887165021151</v>
      </c>
      <c r="F321" s="94">
        <f t="shared" si="906"/>
        <v>7.1048399448613866</v>
      </c>
      <c r="G321" s="94">
        <f t="shared" si="906"/>
        <v>8.2071310737852414</v>
      </c>
      <c r="H321" s="94">
        <f t="shared" si="906"/>
        <v>8.1328770675716804</v>
      </c>
      <c r="I321" s="94">
        <f t="shared" si="906"/>
        <v>7.8237679351216469</v>
      </c>
      <c r="J321" s="94">
        <f t="shared" si="906"/>
        <v>8.4251154235952104</v>
      </c>
      <c r="K321" s="94">
        <f t="shared" si="906"/>
        <v>9.0486497727597648</v>
      </c>
      <c r="L321" s="94">
        <f t="shared" si="906"/>
        <v>7.7898751554559986</v>
      </c>
      <c r="M321" s="94">
        <f t="shared" si="906"/>
        <v>9.6359811836618228</v>
      </c>
      <c r="N321" s="94">
        <f t="shared" si="906"/>
        <v>12.860936668766092</v>
      </c>
      <c r="O321" s="94">
        <f t="shared" si="906"/>
        <v>13.808537143881058</v>
      </c>
      <c r="P321" s="94">
        <f>P262/P315</f>
        <v>12.560851175642766</v>
      </c>
      <c r="Q321" s="94">
        <f>Q262/Q315</f>
        <v>10.073481492975111</v>
      </c>
      <c r="R321" s="94"/>
      <c r="S321" s="4"/>
      <c r="T321" s="94"/>
      <c r="U321" s="94"/>
      <c r="V321" s="94"/>
      <c r="W321" s="94">
        <f t="shared" ref="W321:BB321" si="907">W262/W315/4</f>
        <v>9.0758743616918771</v>
      </c>
      <c r="X321" s="94">
        <f t="shared" si="907"/>
        <v>9.3984119570294258</v>
      </c>
      <c r="Y321" s="94">
        <f t="shared" si="907"/>
        <v>9.4503750970078482</v>
      </c>
      <c r="Z321" s="94">
        <f t="shared" si="907"/>
        <v>10.675531455236779</v>
      </c>
      <c r="AA321" s="94">
        <f t="shared" si="907"/>
        <v>10.257595232530965</v>
      </c>
      <c r="AB321" s="94">
        <f t="shared" si="907"/>
        <v>9.7215652230885148</v>
      </c>
      <c r="AC321" s="94">
        <f t="shared" si="907"/>
        <v>8.9432602300080237</v>
      </c>
      <c r="AD321" s="94">
        <f t="shared" si="907"/>
        <v>8.663304710735872</v>
      </c>
      <c r="AE321" s="94">
        <f t="shared" si="907"/>
        <v>7.9490021939076865</v>
      </c>
      <c r="AF321" s="94">
        <f t="shared" si="907"/>
        <v>7.4451621166654469</v>
      </c>
      <c r="AG321" s="94">
        <f t="shared" si="907"/>
        <v>7.2674880899338516</v>
      </c>
      <c r="AH321" s="94">
        <f t="shared" si="907"/>
        <v>7.266628346198063</v>
      </c>
      <c r="AI321" s="94">
        <f t="shared" si="907"/>
        <v>7.0691622953425535</v>
      </c>
      <c r="AJ321" s="94">
        <f t="shared" si="907"/>
        <v>7.1270065584009989</v>
      </c>
      <c r="AK321" s="94">
        <f t="shared" si="907"/>
        <v>7.1702727328885594</v>
      </c>
      <c r="AL321" s="94">
        <f t="shared" si="907"/>
        <v>7.0504370813181527</v>
      </c>
      <c r="AM321" s="94">
        <f t="shared" si="907"/>
        <v>7.050843593251253</v>
      </c>
      <c r="AN321" s="94">
        <f t="shared" si="907"/>
        <v>7.2607172747279991</v>
      </c>
      <c r="AO321" s="94">
        <f t="shared" si="907"/>
        <v>7.3649427869638151</v>
      </c>
      <c r="AP321" s="94">
        <f t="shared" si="907"/>
        <v>7.8611178265993775</v>
      </c>
      <c r="AQ321" s="94">
        <f t="shared" si="907"/>
        <v>7.902776975508317</v>
      </c>
      <c r="AR321" s="94">
        <f t="shared" si="907"/>
        <v>7.4980334876191925</v>
      </c>
      <c r="AS321" s="94">
        <f t="shared" si="907"/>
        <v>7.2061791370592294</v>
      </c>
      <c r="AT321" s="94">
        <f t="shared" si="907"/>
        <v>7.4507057405972974</v>
      </c>
      <c r="AU321" s="94">
        <f t="shared" si="907"/>
        <v>7.7600589551596526</v>
      </c>
      <c r="AV321" s="94">
        <f t="shared" si="907"/>
        <v>7.5368617382036627</v>
      </c>
      <c r="AW321" s="94">
        <f t="shared" si="907"/>
        <v>7.5144902687673767</v>
      </c>
      <c r="AX321" s="94">
        <f t="shared" si="907"/>
        <v>7.8168906394810014</v>
      </c>
      <c r="AY321" s="94">
        <f t="shared" si="907"/>
        <v>7.597885057055537</v>
      </c>
      <c r="AZ321" s="94">
        <f t="shared" si="907"/>
        <v>8.2147394028890037</v>
      </c>
      <c r="BA321" s="94">
        <f t="shared" si="907"/>
        <v>8.3833030113517921</v>
      </c>
      <c r="BB321" s="94">
        <f t="shared" si="907"/>
        <v>8.5502198793482549</v>
      </c>
      <c r="BC321" s="94">
        <f t="shared" ref="BC321:BW321" si="908">BC262/BC315/4</f>
        <v>8.2627510169522722</v>
      </c>
      <c r="BD321" s="94">
        <f t="shared" si="908"/>
        <v>8.2542113323124031</v>
      </c>
      <c r="BE321" s="94">
        <f t="shared" si="908"/>
        <v>8.2479519436629687</v>
      </c>
      <c r="BF321" s="94">
        <f t="shared" si="908"/>
        <v>8.6304767647110232</v>
      </c>
      <c r="BG321" s="94">
        <f t="shared" si="908"/>
        <v>8.4800964724225292</v>
      </c>
      <c r="BH321" s="94">
        <f t="shared" si="908"/>
        <v>8.1354015096398697</v>
      </c>
      <c r="BI321" s="94">
        <f t="shared" si="908"/>
        <v>7.7403583043222879</v>
      </c>
      <c r="BJ321" s="94">
        <f t="shared" si="908"/>
        <v>7.8307421032050639</v>
      </c>
      <c r="BK321" s="94">
        <f t="shared" si="908"/>
        <v>7.97725348812601</v>
      </c>
      <c r="BL321" s="94">
        <f t="shared" si="908"/>
        <v>8.7344358137080267</v>
      </c>
      <c r="BM321" s="94">
        <f t="shared" ref="BM321:BR321" si="909">BM262/BM315/4</f>
        <v>9.4368381307746976</v>
      </c>
      <c r="BN321" s="94">
        <f t="shared" si="909"/>
        <v>10.248691678691676</v>
      </c>
      <c r="BO321" s="94">
        <f t="shared" si="909"/>
        <v>10.82087993880125</v>
      </c>
      <c r="BP321" s="94">
        <f t="shared" si="909"/>
        <v>11.73706983409086</v>
      </c>
      <c r="BQ321" s="94">
        <f t="shared" si="909"/>
        <v>12.679767588396384</v>
      </c>
      <c r="BR321" s="94">
        <f t="shared" si="909"/>
        <v>13.186203804279181</v>
      </c>
      <c r="BS321" s="94">
        <f>BS262/BS315/4</f>
        <v>13.828364980012623</v>
      </c>
      <c r="BT321" s="94">
        <f t="shared" si="908"/>
        <v>14.411628089672126</v>
      </c>
      <c r="BU321" s="94">
        <f t="shared" si="908"/>
        <v>13.538260999905368</v>
      </c>
      <c r="BV321" s="94">
        <f t="shared" si="908"/>
        <v>12.688628254177313</v>
      </c>
      <c r="BW321" s="94">
        <f t="shared" si="908"/>
        <v>12.922650608111127</v>
      </c>
      <c r="BX321" s="94">
        <f t="shared" ref="BX321:CE321" si="910">BX262/BX315/4</f>
        <v>13.144482217675657</v>
      </c>
      <c r="BY321" s="94">
        <f t="shared" si="910"/>
        <v>13.368231002691825</v>
      </c>
      <c r="BZ321" s="94">
        <f t="shared" si="910"/>
        <v>14.093101684247443</v>
      </c>
      <c r="CA321" s="94">
        <f t="shared" si="910"/>
        <v>12.680077464201368</v>
      </c>
      <c r="CB321" s="94">
        <f t="shared" si="910"/>
        <v>11.332776817792174</v>
      </c>
      <c r="CC321" s="94">
        <f t="shared" si="910"/>
        <v>11.652200122199712</v>
      </c>
      <c r="CD321" s="94">
        <f t="shared" si="910"/>
        <v>11.968515007823143</v>
      </c>
      <c r="CE321" s="94">
        <f t="shared" si="910"/>
        <v>12.281722562908287</v>
      </c>
      <c r="CF321" s="4"/>
      <c r="CG321" s="4"/>
      <c r="CH321" s="4"/>
      <c r="CI321" s="4"/>
      <c r="CJ321" s="4"/>
      <c r="CK321" s="4"/>
      <c r="CL321" s="4"/>
      <c r="CM321" s="4"/>
      <c r="CN321" s="240">
        <f t="shared" si="760"/>
        <v>314</v>
      </c>
    </row>
    <row r="322" spans="1:92" hidden="1" outlineLevel="2">
      <c r="A322" s="143"/>
      <c r="B322" s="86" t="s">
        <v>211</v>
      </c>
      <c r="C322" s="94">
        <f t="shared" ref="C322:O322" si="911">-C263/C315</f>
        <v>5.649846931129713</v>
      </c>
      <c r="D322" s="94">
        <f t="shared" si="911"/>
        <v>4.0825287239191903</v>
      </c>
      <c r="E322" s="94">
        <f t="shared" si="911"/>
        <v>3.5415234411290251</v>
      </c>
      <c r="F322" s="94">
        <f t="shared" si="911"/>
        <v>4.0705161586766732</v>
      </c>
      <c r="G322" s="94">
        <f t="shared" si="911"/>
        <v>4.8101829634073177</v>
      </c>
      <c r="H322" s="94">
        <f t="shared" si="911"/>
        <v>4.3255008963705448</v>
      </c>
      <c r="I322" s="94">
        <f t="shared" si="911"/>
        <v>4.3027299559594416</v>
      </c>
      <c r="J322" s="94">
        <f t="shared" si="911"/>
        <v>5.0172713111369696</v>
      </c>
      <c r="K322" s="94">
        <f t="shared" si="911"/>
        <v>5.3686880721623131</v>
      </c>
      <c r="L322" s="94">
        <f t="shared" si="911"/>
        <v>5.2496780169534683</v>
      </c>
      <c r="M322" s="94">
        <f t="shared" si="911"/>
        <v>7.3438400427141932</v>
      </c>
      <c r="N322" s="94">
        <f t="shared" si="911"/>
        <v>10.14639500541162</v>
      </c>
      <c r="O322" s="94">
        <f t="shared" si="911"/>
        <v>10.675947239370592</v>
      </c>
      <c r="P322" s="94">
        <f>-P263/P315</f>
        <v>9.7600777302163415</v>
      </c>
      <c r="Q322" s="94">
        <f>-Q263/Q315</f>
        <v>7.8654135525412263</v>
      </c>
      <c r="R322" s="94"/>
      <c r="S322" s="4"/>
      <c r="T322" s="94"/>
      <c r="U322" s="94"/>
      <c r="V322" s="94"/>
      <c r="W322" s="94">
        <f t="shared" ref="W322:BB322" si="912">-W263/W315/4</f>
        <v>5.6743424221986709</v>
      </c>
      <c r="X322" s="94">
        <f t="shared" si="912"/>
        <v>5.7515413358243812</v>
      </c>
      <c r="Y322" s="94">
        <f t="shared" si="912"/>
        <v>5.5591532292834351</v>
      </c>
      <c r="Z322" s="94">
        <f t="shared" si="912"/>
        <v>5.8211631524369167</v>
      </c>
      <c r="AA322" s="94">
        <f t="shared" si="912"/>
        <v>5.1396354288385142</v>
      </c>
      <c r="AB322" s="94">
        <f t="shared" si="912"/>
        <v>4.5727085107776979</v>
      </c>
      <c r="AC322" s="94">
        <f t="shared" si="912"/>
        <v>3.983257555496122</v>
      </c>
      <c r="AD322" s="94">
        <f t="shared" si="912"/>
        <v>3.8222440756020339</v>
      </c>
      <c r="AE322" s="94">
        <f t="shared" si="912"/>
        <v>3.3805480550164537</v>
      </c>
      <c r="AF322" s="94">
        <f t="shared" si="912"/>
        <v>3.1822165702993486</v>
      </c>
      <c r="AG322" s="94">
        <f t="shared" si="912"/>
        <v>3.2303355382664432</v>
      </c>
      <c r="AH322" s="94">
        <f t="shared" si="912"/>
        <v>3.345795697158811</v>
      </c>
      <c r="AI322" s="94">
        <f t="shared" si="912"/>
        <v>3.3327531394054999</v>
      </c>
      <c r="AJ322" s="94">
        <f t="shared" si="912"/>
        <v>3.5239459712679571</v>
      </c>
      <c r="AK322" s="94">
        <f t="shared" si="912"/>
        <v>3.7351973684210527</v>
      </c>
      <c r="AL322" s="94">
        <f t="shared" si="912"/>
        <v>3.8827540629036612</v>
      </c>
      <c r="AM322" s="94">
        <f t="shared" si="912"/>
        <v>4.0395804833561328</v>
      </c>
      <c r="AN322" s="94">
        <f t="shared" si="912"/>
        <v>4.3689671739871665</v>
      </c>
      <c r="AO322" s="94">
        <f t="shared" si="912"/>
        <v>4.4720000599089387</v>
      </c>
      <c r="AP322" s="94">
        <f t="shared" si="912"/>
        <v>4.7615968087999754</v>
      </c>
      <c r="AQ322" s="94">
        <f t="shared" si="912"/>
        <v>4.6318016404805915</v>
      </c>
      <c r="AR322" s="94">
        <f t="shared" si="912"/>
        <v>4.3062384601765435</v>
      </c>
      <c r="AS322" s="94">
        <f t="shared" si="912"/>
        <v>4.0424787828837463</v>
      </c>
      <c r="AT322" s="94">
        <f t="shared" si="912"/>
        <v>4.1547895688097087</v>
      </c>
      <c r="AU322" s="94">
        <f t="shared" si="912"/>
        <v>4.1272161976073667</v>
      </c>
      <c r="AV322" s="94">
        <f t="shared" si="912"/>
        <v>3.9670138552465848</v>
      </c>
      <c r="AW322" s="94">
        <f t="shared" si="912"/>
        <v>4.0445829471733088</v>
      </c>
      <c r="AX322" s="94">
        <f t="shared" si="912"/>
        <v>4.2945829471733088</v>
      </c>
      <c r="AY322" s="94">
        <f t="shared" si="912"/>
        <v>4.178504258820551</v>
      </c>
      <c r="AZ322" s="94">
        <f t="shared" si="912"/>
        <v>4.624372881997691</v>
      </c>
      <c r="BA322" s="94">
        <f t="shared" si="912"/>
        <v>4.8791053120321415</v>
      </c>
      <c r="BB322" s="94">
        <f t="shared" si="912"/>
        <v>5.0883933773092034</v>
      </c>
      <c r="BC322" s="94">
        <f t="shared" ref="BC322:BW322" si="913">-BC263/BC315/4</f>
        <v>4.9205810892893291</v>
      </c>
      <c r="BD322" s="94">
        <f t="shared" si="913"/>
        <v>5.0663273578956849</v>
      </c>
      <c r="BE322" s="94">
        <f t="shared" si="913"/>
        <v>5.1135056708600946</v>
      </c>
      <c r="BF322" s="94">
        <f t="shared" si="913"/>
        <v>5.2412441671472765</v>
      </c>
      <c r="BG322" s="94">
        <f t="shared" si="913"/>
        <v>5.0313575976093023</v>
      </c>
      <c r="BH322" s="94">
        <f t="shared" si="913"/>
        <v>4.8856137080150361</v>
      </c>
      <c r="BI322" s="94">
        <f t="shared" si="913"/>
        <v>4.8249523645793033</v>
      </c>
      <c r="BJ322" s="94">
        <f t="shared" si="913"/>
        <v>5.10283937028401</v>
      </c>
      <c r="BK322" s="94">
        <f t="shared" si="913"/>
        <v>5.3759542273215111</v>
      </c>
      <c r="BL322" s="94">
        <f t="shared" si="913"/>
        <v>6.1150883963322107</v>
      </c>
      <c r="BM322" s="94">
        <f t="shared" ref="BM322:BR322" si="914">-BM263/BM315/4</f>
        <v>6.8383884150675192</v>
      </c>
      <c r="BN322" s="94">
        <f t="shared" si="914"/>
        <v>7.6548003848003834</v>
      </c>
      <c r="BO322" s="94">
        <f t="shared" si="914"/>
        <v>8.2468832054913488</v>
      </c>
      <c r="BP322" s="94">
        <f t="shared" si="914"/>
        <v>9.132850457873408</v>
      </c>
      <c r="BQ322" s="94">
        <f t="shared" si="914"/>
        <v>9.9924023943969189</v>
      </c>
      <c r="BR322" s="94">
        <f t="shared" si="914"/>
        <v>10.378072346982595</v>
      </c>
      <c r="BS322" s="94">
        <f>-BS263/BS315/4</f>
        <v>10.909629444561329</v>
      </c>
      <c r="BT322" s="94">
        <f t="shared" si="913"/>
        <v>11.177667657993029</v>
      </c>
      <c r="BU322" s="94">
        <f t="shared" si="913"/>
        <v>10.354823106905794</v>
      </c>
      <c r="BV322" s="94">
        <f t="shared" si="913"/>
        <v>9.7595184884738018</v>
      </c>
      <c r="BW322" s="94">
        <f t="shared" si="913"/>
        <v>9.9910319715618279</v>
      </c>
      <c r="BX322" s="94">
        <f t="shared" ref="BX322:CE322" si="915">-BX263/BX315/4</f>
        <v>10.213572820346386</v>
      </c>
      <c r="BY322" s="94">
        <f t="shared" si="915"/>
        <v>10.437966791858369</v>
      </c>
      <c r="BZ322" s="94">
        <f t="shared" si="915"/>
        <v>10.664090667472369</v>
      </c>
      <c r="CA322" s="94">
        <f t="shared" si="915"/>
        <v>9.3421621601676623</v>
      </c>
      <c r="CB322" s="94">
        <f t="shared" si="915"/>
        <v>8.4324679544402823</v>
      </c>
      <c r="CC322" s="94">
        <f t="shared" si="915"/>
        <v>8.7500733625311096</v>
      </c>
      <c r="CD322" s="94">
        <f t="shared" si="915"/>
        <v>9.0647000987703752</v>
      </c>
      <c r="CE322" s="94">
        <f t="shared" si="915"/>
        <v>9.3763418838882018</v>
      </c>
      <c r="CF322" s="4"/>
      <c r="CG322" s="4"/>
      <c r="CH322" s="4"/>
      <c r="CI322" s="4"/>
      <c r="CJ322" s="4"/>
      <c r="CK322" s="4"/>
      <c r="CL322" s="4"/>
      <c r="CM322" s="4"/>
      <c r="CN322" s="240">
        <f t="shared" si="760"/>
        <v>315</v>
      </c>
    </row>
    <row r="323" spans="1:92" hidden="1" outlineLevel="2">
      <c r="A323" s="143"/>
      <c r="B323" s="10" t="s">
        <v>212</v>
      </c>
      <c r="C323" s="23">
        <f t="shared" ref="C323:Q323" si="916">C264/-C59</f>
        <v>5.6260195671255158</v>
      </c>
      <c r="D323" s="23">
        <f t="shared" si="916"/>
        <v>5.517106972715462</v>
      </c>
      <c r="E323" s="23">
        <f t="shared" si="916"/>
        <v>3.97046527537309</v>
      </c>
      <c r="F323" s="23">
        <f t="shared" si="916"/>
        <v>3.0343237861847139</v>
      </c>
      <c r="G323" s="23">
        <f t="shared" si="916"/>
        <v>3.3969481103779242</v>
      </c>
      <c r="H323" s="23">
        <f t="shared" si="916"/>
        <v>3.8073761712011365</v>
      </c>
      <c r="I323" s="23">
        <f t="shared" si="916"/>
        <v>3.5210379791622053</v>
      </c>
      <c r="J323" s="23">
        <f t="shared" si="916"/>
        <v>3.4078441124582413</v>
      </c>
      <c r="K323" s="23">
        <f t="shared" si="916"/>
        <v>3.6799617005974534</v>
      </c>
      <c r="L323" s="23">
        <f t="shared" si="916"/>
        <v>2.5401971385025299</v>
      </c>
      <c r="M323" s="23">
        <f t="shared" si="916"/>
        <v>2.2921411409476291</v>
      </c>
      <c r="N323" s="23">
        <f t="shared" si="916"/>
        <v>2.7145416633544706</v>
      </c>
      <c r="O323" s="23">
        <f t="shared" si="916"/>
        <v>3.1325899045104659</v>
      </c>
      <c r="P323" s="23">
        <f t="shared" si="916"/>
        <v>3.7591727244523923</v>
      </c>
      <c r="Q323" s="23">
        <f t="shared" si="916"/>
        <v>2.874192694593027</v>
      </c>
      <c r="R323" s="23"/>
      <c r="S323" s="23"/>
      <c r="T323" s="23"/>
      <c r="U323" s="23"/>
      <c r="V323" s="23"/>
      <c r="W323" s="23">
        <f t="shared" ref="W323:BB323" si="917">W264/-(4*W59)</f>
        <v>3.4015319394932075</v>
      </c>
      <c r="X323" s="23">
        <f t="shared" si="917"/>
        <v>3.6468706212050441</v>
      </c>
      <c r="Y323" s="23">
        <f t="shared" si="917"/>
        <v>3.8912218677244117</v>
      </c>
      <c r="Z323" s="23">
        <f t="shared" si="917"/>
        <v>4.8543683027998625</v>
      </c>
      <c r="AA323" s="23">
        <f t="shared" si="917"/>
        <v>5.1179598036924512</v>
      </c>
      <c r="AB323" s="23">
        <f t="shared" si="917"/>
        <v>5.1488567123108169</v>
      </c>
      <c r="AC323" s="23">
        <f t="shared" si="917"/>
        <v>4.9600026745119017</v>
      </c>
      <c r="AD323" s="23">
        <f t="shared" si="917"/>
        <v>4.8410606351338386</v>
      </c>
      <c r="AE323" s="23">
        <f t="shared" si="917"/>
        <v>4.5684541388912328</v>
      </c>
      <c r="AF323" s="23">
        <f t="shared" si="917"/>
        <v>4.2629455463660983</v>
      </c>
      <c r="AG323" s="23">
        <f t="shared" si="917"/>
        <v>4.0371525516674094</v>
      </c>
      <c r="AH323" s="23">
        <f t="shared" si="917"/>
        <v>3.9208326490392511</v>
      </c>
      <c r="AI323" s="23">
        <f t="shared" si="917"/>
        <v>3.7364091559370531</v>
      </c>
      <c r="AJ323" s="23">
        <f t="shared" si="917"/>
        <v>3.6030605871330414</v>
      </c>
      <c r="AK323" s="23">
        <f t="shared" si="917"/>
        <v>3.4350753644675072</v>
      </c>
      <c r="AL323" s="23">
        <f t="shared" si="917"/>
        <v>3.1676830184144911</v>
      </c>
      <c r="AM323" s="23">
        <f t="shared" si="917"/>
        <v>3.0112631098951206</v>
      </c>
      <c r="AN323" s="23">
        <f t="shared" si="917"/>
        <v>2.8917501007408326</v>
      </c>
      <c r="AO323" s="23">
        <f t="shared" si="917"/>
        <v>2.8929427270548764</v>
      </c>
      <c r="AP323" s="23">
        <f t="shared" si="917"/>
        <v>3.0995210177994013</v>
      </c>
      <c r="AQ323" s="23">
        <f t="shared" si="917"/>
        <v>3.270975335027726</v>
      </c>
      <c r="AR323" s="23">
        <f t="shared" si="917"/>
        <v>3.191795027442649</v>
      </c>
      <c r="AS323" s="23">
        <f t="shared" si="917"/>
        <v>3.1637003541754836</v>
      </c>
      <c r="AT323" s="23">
        <f t="shared" si="917"/>
        <v>3.2959161717875896</v>
      </c>
      <c r="AU323" s="23">
        <f t="shared" si="917"/>
        <v>3.632842757552285</v>
      </c>
      <c r="AV323" s="23">
        <f t="shared" si="917"/>
        <v>3.5698478829570783</v>
      </c>
      <c r="AW323" s="23">
        <f t="shared" si="917"/>
        <v>3.4699073215940688</v>
      </c>
      <c r="AX323" s="23">
        <f t="shared" si="917"/>
        <v>3.5223076923076921</v>
      </c>
      <c r="AY323" s="23">
        <f t="shared" si="917"/>
        <v>3.419380798234986</v>
      </c>
      <c r="AZ323" s="23">
        <f t="shared" si="917"/>
        <v>3.5903665208913123</v>
      </c>
      <c r="BA323" s="23">
        <f t="shared" si="917"/>
        <v>3.5041976993196506</v>
      </c>
      <c r="BB323" s="23">
        <f t="shared" si="917"/>
        <v>3.461826502039052</v>
      </c>
      <c r="BC323" s="23">
        <f t="shared" ref="BC323:CE323" si="918">BC264/-(4*BC59)</f>
        <v>3.3421699276629426</v>
      </c>
      <c r="BD323" s="23">
        <f t="shared" si="918"/>
        <v>3.1878839744167191</v>
      </c>
      <c r="BE323" s="23">
        <f t="shared" si="918"/>
        <v>3.1344462728028732</v>
      </c>
      <c r="BF323" s="23">
        <f t="shared" si="918"/>
        <v>3.3892325975637463</v>
      </c>
      <c r="BG323" s="23">
        <f t="shared" si="918"/>
        <v>3.4487388748132268</v>
      </c>
      <c r="BH323" s="23">
        <f t="shared" si="918"/>
        <v>3.2497878016248332</v>
      </c>
      <c r="BI323" s="23">
        <f t="shared" si="918"/>
        <v>2.9154059397429837</v>
      </c>
      <c r="BJ323" s="23">
        <f t="shared" si="918"/>
        <v>2.7279027329210539</v>
      </c>
      <c r="BK323" s="23">
        <f t="shared" si="918"/>
        <v>2.6012992608044985</v>
      </c>
      <c r="BL323" s="23">
        <f t="shared" si="918"/>
        <v>2.6193474173758164</v>
      </c>
      <c r="BM323" s="23">
        <f t="shared" si="918"/>
        <v>2.598449715707178</v>
      </c>
      <c r="BN323" s="23">
        <f t="shared" si="918"/>
        <v>2.5938912938912937</v>
      </c>
      <c r="BO323" s="23">
        <f t="shared" si="918"/>
        <v>2.5739967333099014</v>
      </c>
      <c r="BP323" s="23">
        <f t="shared" si="918"/>
        <v>2.604219376217451</v>
      </c>
      <c r="BQ323" s="23">
        <f t="shared" si="918"/>
        <v>2.6873651939994669</v>
      </c>
      <c r="BR323" s="23">
        <f t="shared" si="918"/>
        <v>2.8081314572965868</v>
      </c>
      <c r="BS323" s="23">
        <f t="shared" si="918"/>
        <v>2.9187355354512938</v>
      </c>
      <c r="BT323" s="23">
        <f t="shared" si="918"/>
        <v>3.233960431679098</v>
      </c>
      <c r="BU323" s="23">
        <f t="shared" si="918"/>
        <v>3.1834378929995752</v>
      </c>
      <c r="BV323" s="23">
        <f t="shared" si="918"/>
        <v>2.9291097657035126</v>
      </c>
      <c r="BW323" s="23">
        <f t="shared" si="918"/>
        <v>2.9316186365492998</v>
      </c>
      <c r="BX323" s="23">
        <f t="shared" si="918"/>
        <v>2.9309093973292719</v>
      </c>
      <c r="BY323" s="23">
        <f t="shared" si="918"/>
        <v>2.9302642108334553</v>
      </c>
      <c r="BZ323" s="23">
        <f t="shared" si="918"/>
        <v>3.4290110167750765</v>
      </c>
      <c r="CA323" s="23">
        <f t="shared" si="918"/>
        <v>3.3379153040337064</v>
      </c>
      <c r="CB323" s="23">
        <f t="shared" si="918"/>
        <v>2.9003088633518921</v>
      </c>
      <c r="CC323" s="23">
        <f t="shared" si="918"/>
        <v>2.9021267596686036</v>
      </c>
      <c r="CD323" s="23">
        <f t="shared" si="918"/>
        <v>2.9038149090527678</v>
      </c>
      <c r="CE323" s="23">
        <f t="shared" si="918"/>
        <v>2.905380679020086</v>
      </c>
      <c r="CF323" s="4"/>
      <c r="CG323" s="4"/>
      <c r="CH323" s="4"/>
      <c r="CI323" s="4"/>
      <c r="CJ323" s="4"/>
      <c r="CK323" s="4"/>
      <c r="CL323" s="4"/>
      <c r="CM323" s="4"/>
      <c r="CN323" s="240">
        <f t="shared" si="760"/>
        <v>316</v>
      </c>
    </row>
    <row r="324" spans="1:92" hidden="1" outlineLevel="2">
      <c r="A324" s="143"/>
      <c r="B324" s="21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240">
        <f t="shared" si="760"/>
        <v>317</v>
      </c>
    </row>
    <row r="325" spans="1:92" outlineLevel="1" collapsed="1">
      <c r="A325" s="143" t="s">
        <v>33</v>
      </c>
      <c r="B325" s="90" t="s">
        <v>213</v>
      </c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240">
        <f t="shared" si="760"/>
        <v>318</v>
      </c>
    </row>
    <row r="326" spans="1:92" hidden="1" outlineLevel="2">
      <c r="A326" s="143"/>
      <c r="B326" s="10" t="s">
        <v>223</v>
      </c>
      <c r="C326" s="95">
        <f>AVERAGE(X326:AA326)</f>
        <v>214.77431249999998</v>
      </c>
      <c r="D326" s="95">
        <f>AVERAGE(AB326:AE326)</f>
        <v>216.6170625</v>
      </c>
      <c r="E326" s="95">
        <f>AVERAGE(AF326:AI326)</f>
        <v>217.28700000000001</v>
      </c>
      <c r="F326" s="95">
        <f>AVERAGE(AJ326:AM326)</f>
        <v>216.687375</v>
      </c>
      <c r="G326" s="95">
        <f t="shared" ref="G326:Q327" si="919">AVERAGEIF($T$5:$CF$5,G$5,$T326:$CF326)</f>
        <v>217.48424999999997</v>
      </c>
      <c r="H326" s="95">
        <f t="shared" si="919"/>
        <v>217.68712499999998</v>
      </c>
      <c r="I326" s="95">
        <f t="shared" si="919"/>
        <v>215.24799999999999</v>
      </c>
      <c r="J326" s="95">
        <f t="shared" si="919"/>
        <v>215.50399999999999</v>
      </c>
      <c r="K326" s="95">
        <f t="shared" si="919"/>
        <v>214.846</v>
      </c>
      <c r="L326" s="95">
        <f t="shared" si="919"/>
        <v>213.36199999999999</v>
      </c>
      <c r="M326" s="95">
        <f t="shared" si="919"/>
        <v>214.22749999999999</v>
      </c>
      <c r="N326" s="95">
        <f t="shared" si="919"/>
        <v>216.43324999999999</v>
      </c>
      <c r="O326" s="95">
        <f t="shared" si="919"/>
        <v>216.54355200000001</v>
      </c>
      <c r="P326" s="95">
        <f t="shared" si="919"/>
        <v>216.54355200000001</v>
      </c>
      <c r="Q326" s="95">
        <f t="shared" si="919"/>
        <v>216.54355200000001</v>
      </c>
      <c r="R326" s="95"/>
      <c r="S326" s="4"/>
      <c r="T326" s="4"/>
      <c r="U326" s="4"/>
      <c r="V326" s="4"/>
      <c r="W326" s="95">
        <f t="shared" ref="W326:AU326" si="920">W331*W$333</f>
        <v>213.17174999999997</v>
      </c>
      <c r="X326" s="95">
        <f t="shared" si="920"/>
        <v>213.81975</v>
      </c>
      <c r="Y326" s="95">
        <f t="shared" si="920"/>
        <v>214.72874999999999</v>
      </c>
      <c r="Z326" s="95">
        <f t="shared" si="920"/>
        <v>215.19225</v>
      </c>
      <c r="AA326" s="95">
        <f t="shared" si="920"/>
        <v>215.35649999999998</v>
      </c>
      <c r="AB326" s="95">
        <f t="shared" si="920"/>
        <v>215.68275</v>
      </c>
      <c r="AC326" s="95">
        <f t="shared" si="920"/>
        <v>216.78749999999999</v>
      </c>
      <c r="AD326" s="95">
        <f t="shared" si="920"/>
        <v>216.95850000000002</v>
      </c>
      <c r="AE326" s="95">
        <f t="shared" si="920"/>
        <v>217.0395</v>
      </c>
      <c r="AF326" s="95">
        <f t="shared" si="920"/>
        <v>217.3185</v>
      </c>
      <c r="AG326" s="95">
        <f t="shared" si="920"/>
        <v>217.75050000000002</v>
      </c>
      <c r="AH326" s="95">
        <f t="shared" si="920"/>
        <v>217.80450000000002</v>
      </c>
      <c r="AI326" s="95">
        <f t="shared" si="920"/>
        <v>216.27449999999999</v>
      </c>
      <c r="AJ326" s="95">
        <f t="shared" si="920"/>
        <v>216.40049999999999</v>
      </c>
      <c r="AK326" s="95">
        <f t="shared" si="920"/>
        <v>216.71324999999999</v>
      </c>
      <c r="AL326" s="95">
        <f t="shared" si="920"/>
        <v>216.792</v>
      </c>
      <c r="AM326" s="95">
        <f t="shared" si="920"/>
        <v>216.84375</v>
      </c>
      <c r="AN326" s="95">
        <f t="shared" si="920"/>
        <v>217.19475</v>
      </c>
      <c r="AO326" s="95">
        <f t="shared" si="920"/>
        <v>217.48499999999999</v>
      </c>
      <c r="AP326" s="95">
        <f t="shared" si="920"/>
        <v>217.59074999999999</v>
      </c>
      <c r="AQ326" s="95">
        <f t="shared" si="920"/>
        <v>217.66649999999998</v>
      </c>
      <c r="AR326" s="95">
        <f t="shared" si="920"/>
        <v>217.52249999999998</v>
      </c>
      <c r="AS326" s="95">
        <f t="shared" si="920"/>
        <v>217.82249999999999</v>
      </c>
      <c r="AT326" s="95">
        <f t="shared" si="920"/>
        <v>217.911</v>
      </c>
      <c r="AU326" s="95">
        <f t="shared" si="920"/>
        <v>217.49250000000001</v>
      </c>
      <c r="AV326" s="216">
        <v>215.62</v>
      </c>
      <c r="AW326" s="216">
        <v>214.893</v>
      </c>
      <c r="AX326" s="216">
        <v>215.15100000000001</v>
      </c>
      <c r="AY326" s="216">
        <v>215.328</v>
      </c>
      <c r="AZ326" s="216">
        <v>216.19399999999999</v>
      </c>
      <c r="BA326" s="216">
        <v>215.88300000000001</v>
      </c>
      <c r="BB326" s="216">
        <v>215.06800000000001</v>
      </c>
      <c r="BC326" s="216">
        <v>214.87100000000001</v>
      </c>
      <c r="BD326" s="216">
        <v>215.17500000000001</v>
      </c>
      <c r="BE326" s="216">
        <v>215.22399999999999</v>
      </c>
      <c r="BF326" s="216">
        <v>215.22399999999999</v>
      </c>
      <c r="BG326" s="216">
        <v>213.761</v>
      </c>
      <c r="BH326" s="216">
        <v>213.49199999999999</v>
      </c>
      <c r="BI326" s="216">
        <v>212.59800000000001</v>
      </c>
      <c r="BJ326" s="216">
        <v>213.679</v>
      </c>
      <c r="BK326" s="216">
        <v>213.679</v>
      </c>
      <c r="BL326" s="216">
        <v>214.11099999999999</v>
      </c>
      <c r="BM326" s="216">
        <v>214.26300000000001</v>
      </c>
      <c r="BN326" s="216">
        <v>214.26599999999999</v>
      </c>
      <c r="BO326" s="216">
        <v>214.27</v>
      </c>
      <c r="BP326" s="216">
        <v>214.67099999999999</v>
      </c>
      <c r="BQ326" s="216">
        <v>217.53</v>
      </c>
      <c r="BR326" s="216">
        <v>216.958</v>
      </c>
      <c r="BS326" s="216">
        <v>216.57400000000001</v>
      </c>
      <c r="BT326" s="95">
        <f t="shared" ref="BT326:CE326" si="921">AVERAGE(BS328:BT328)</f>
        <v>216.54355200000001</v>
      </c>
      <c r="BU326" s="95">
        <f t="shared" si="921"/>
        <v>216.54355200000001</v>
      </c>
      <c r="BV326" s="95">
        <f t="shared" si="921"/>
        <v>216.54355200000001</v>
      </c>
      <c r="BW326" s="95">
        <f t="shared" si="921"/>
        <v>216.54355200000001</v>
      </c>
      <c r="BX326" s="95">
        <f t="shared" si="921"/>
        <v>216.54355200000001</v>
      </c>
      <c r="BY326" s="95">
        <f t="shared" si="921"/>
        <v>216.54355200000001</v>
      </c>
      <c r="BZ326" s="95">
        <f t="shared" si="921"/>
        <v>216.54355200000001</v>
      </c>
      <c r="CA326" s="95">
        <f t="shared" si="921"/>
        <v>216.54355200000001</v>
      </c>
      <c r="CB326" s="95">
        <f t="shared" si="921"/>
        <v>216.54355200000001</v>
      </c>
      <c r="CC326" s="95">
        <f t="shared" si="921"/>
        <v>216.54355200000001</v>
      </c>
      <c r="CD326" s="95">
        <f t="shared" si="921"/>
        <v>216.54355200000001</v>
      </c>
      <c r="CE326" s="95">
        <f t="shared" si="921"/>
        <v>216.54355200000001</v>
      </c>
      <c r="CF326" s="4"/>
      <c r="CG326" s="4"/>
      <c r="CH326" s="4"/>
      <c r="CI326" s="4"/>
      <c r="CJ326" s="4"/>
      <c r="CK326" s="4"/>
      <c r="CL326" s="4"/>
      <c r="CM326" s="4"/>
      <c r="CN326" s="240">
        <f t="shared" si="760"/>
        <v>319</v>
      </c>
    </row>
    <row r="327" spans="1:92" hidden="1" outlineLevel="2">
      <c r="A327" s="143"/>
      <c r="B327" s="10" t="s">
        <v>224</v>
      </c>
      <c r="C327" s="95">
        <f>AVERAGE(X327:AA327)</f>
        <v>221.59125</v>
      </c>
      <c r="D327" s="95">
        <f>AVERAGE(AB327:AE327)</f>
        <v>221.18568749999997</v>
      </c>
      <c r="E327" s="95">
        <f>AVERAGE(AF327:AI327)</f>
        <v>220.12875000000003</v>
      </c>
      <c r="F327" s="95">
        <f>AVERAGE(AJ327:AM327)</f>
        <v>216.99731249999999</v>
      </c>
      <c r="G327" s="95">
        <f t="shared" si="919"/>
        <v>219.65437499999999</v>
      </c>
      <c r="H327" s="95">
        <f t="shared" si="919"/>
        <v>220.18950000000001</v>
      </c>
      <c r="I327" s="95">
        <f t="shared" si="919"/>
        <v>216.696</v>
      </c>
      <c r="J327" s="95">
        <f t="shared" si="919"/>
        <v>216.65775000000002</v>
      </c>
      <c r="K327" s="95">
        <f t="shared" si="919"/>
        <v>215.80225000000002</v>
      </c>
      <c r="L327" s="95">
        <f t="shared" si="919"/>
        <v>213.38524999999998</v>
      </c>
      <c r="M327" s="95">
        <f t="shared" si="919"/>
        <v>214.22749999999999</v>
      </c>
      <c r="N327" s="95">
        <f t="shared" si="919"/>
        <v>216.43324999999999</v>
      </c>
      <c r="O327" s="95">
        <f t="shared" si="919"/>
        <v>216.54355200000001</v>
      </c>
      <c r="P327" s="95">
        <f t="shared" si="919"/>
        <v>216.54355200000001</v>
      </c>
      <c r="Q327" s="95">
        <f t="shared" si="919"/>
        <v>216.54355200000001</v>
      </c>
      <c r="R327" s="95"/>
      <c r="S327" s="4"/>
      <c r="T327" s="4"/>
      <c r="U327" s="4"/>
      <c r="V327" s="4"/>
      <c r="W327" s="95">
        <f t="shared" ref="W327:AU327" si="922">W332*W$333</f>
        <v>221.59800000000001</v>
      </c>
      <c r="X327" s="95">
        <f t="shared" si="922"/>
        <v>222.18074999999999</v>
      </c>
      <c r="Y327" s="95">
        <f t="shared" si="922"/>
        <v>221.9265</v>
      </c>
      <c r="Z327" s="95">
        <f t="shared" si="922"/>
        <v>221.17499999999998</v>
      </c>
      <c r="AA327" s="95">
        <f t="shared" si="922"/>
        <v>221.08275</v>
      </c>
      <c r="AB327" s="95">
        <f t="shared" si="922"/>
        <v>221.36849999999998</v>
      </c>
      <c r="AC327" s="95">
        <f t="shared" si="922"/>
        <v>221.50799999999998</v>
      </c>
      <c r="AD327" s="95">
        <f t="shared" si="922"/>
        <v>221.08724999999998</v>
      </c>
      <c r="AE327" s="95">
        <f t="shared" si="922"/>
        <v>220.779</v>
      </c>
      <c r="AF327" s="95">
        <f t="shared" si="922"/>
        <v>220.70474999999999</v>
      </c>
      <c r="AG327" s="95">
        <f t="shared" si="922"/>
        <v>220.77</v>
      </c>
      <c r="AH327" s="95">
        <f t="shared" si="922"/>
        <v>221.02199999999999</v>
      </c>
      <c r="AI327" s="95">
        <f t="shared" si="922"/>
        <v>218.01825000000002</v>
      </c>
      <c r="AJ327" s="95">
        <f t="shared" si="922"/>
        <v>217.64025000000001</v>
      </c>
      <c r="AK327" s="95">
        <f t="shared" si="922"/>
        <v>216.71324999999999</v>
      </c>
      <c r="AL327" s="95">
        <f t="shared" si="922"/>
        <v>216.792</v>
      </c>
      <c r="AM327" s="95">
        <f t="shared" si="922"/>
        <v>216.84375</v>
      </c>
      <c r="AN327" s="95">
        <f t="shared" si="922"/>
        <v>219.26024999999998</v>
      </c>
      <c r="AO327" s="95">
        <f t="shared" si="922"/>
        <v>219.18825000000001</v>
      </c>
      <c r="AP327" s="95">
        <f t="shared" si="922"/>
        <v>220.13549999999998</v>
      </c>
      <c r="AQ327" s="95">
        <f t="shared" si="922"/>
        <v>220.0335</v>
      </c>
      <c r="AR327" s="95">
        <f t="shared" si="922"/>
        <v>220.54500000000002</v>
      </c>
      <c r="AS327" s="95">
        <f t="shared" si="922"/>
        <v>220.26300000000003</v>
      </c>
      <c r="AT327" s="95">
        <f t="shared" si="922"/>
        <v>220.29900000000004</v>
      </c>
      <c r="AU327" s="95">
        <f t="shared" si="922"/>
        <v>219.65100000000001</v>
      </c>
      <c r="AV327" s="216">
        <v>217.35</v>
      </c>
      <c r="AW327" s="216">
        <v>216.12700000000001</v>
      </c>
      <c r="AX327" s="216">
        <v>216.64500000000001</v>
      </c>
      <c r="AY327" s="216">
        <v>216.66200000000001</v>
      </c>
      <c r="AZ327" s="216">
        <v>217.52500000000001</v>
      </c>
      <c r="BA327" s="216">
        <v>216.69499999999999</v>
      </c>
      <c r="BB327" s="216">
        <v>216.142</v>
      </c>
      <c r="BC327" s="216">
        <v>216.26900000000001</v>
      </c>
      <c r="BD327" s="216">
        <v>216.214</v>
      </c>
      <c r="BE327" s="216">
        <v>216.238</v>
      </c>
      <c r="BF327" s="216">
        <v>216.238</v>
      </c>
      <c r="BG327" s="216">
        <v>214.51900000000001</v>
      </c>
      <c r="BH327" s="216">
        <v>213.58500000000001</v>
      </c>
      <c r="BI327" s="216">
        <v>212.59800000000001</v>
      </c>
      <c r="BJ327" s="216">
        <v>213.679</v>
      </c>
      <c r="BK327" s="216">
        <v>213.679</v>
      </c>
      <c r="BL327" s="95">
        <f t="shared" ref="BL327:BS327" si="923">BL37</f>
        <v>214.11099999999999</v>
      </c>
      <c r="BM327" s="95">
        <f t="shared" si="923"/>
        <v>214.26300000000001</v>
      </c>
      <c r="BN327" s="95">
        <f t="shared" si="923"/>
        <v>214.26599999999999</v>
      </c>
      <c r="BO327" s="95">
        <f t="shared" si="923"/>
        <v>214.27</v>
      </c>
      <c r="BP327" s="95">
        <f t="shared" si="923"/>
        <v>214.67099999999999</v>
      </c>
      <c r="BQ327" s="95">
        <f t="shared" si="923"/>
        <v>217.53</v>
      </c>
      <c r="BR327" s="95">
        <f t="shared" si="923"/>
        <v>216.958</v>
      </c>
      <c r="BS327" s="95">
        <f t="shared" si="923"/>
        <v>216.57400000000001</v>
      </c>
      <c r="BT327" s="95">
        <f t="shared" ref="BT327:CE327" si="924">+BS327/BS326*BT326</f>
        <v>216.54355200000001</v>
      </c>
      <c r="BU327" s="95">
        <f t="shared" si="924"/>
        <v>216.54355200000001</v>
      </c>
      <c r="BV327" s="95">
        <f t="shared" si="924"/>
        <v>216.54355200000001</v>
      </c>
      <c r="BW327" s="95">
        <f t="shared" si="924"/>
        <v>216.54355200000001</v>
      </c>
      <c r="BX327" s="95">
        <f t="shared" si="924"/>
        <v>216.54355200000001</v>
      </c>
      <c r="BY327" s="95">
        <f t="shared" si="924"/>
        <v>216.54355200000001</v>
      </c>
      <c r="BZ327" s="95">
        <f t="shared" si="924"/>
        <v>216.54355200000001</v>
      </c>
      <c r="CA327" s="95">
        <f t="shared" si="924"/>
        <v>216.54355200000001</v>
      </c>
      <c r="CB327" s="95">
        <f t="shared" si="924"/>
        <v>216.54355200000001</v>
      </c>
      <c r="CC327" s="95">
        <f t="shared" si="924"/>
        <v>216.54355200000001</v>
      </c>
      <c r="CD327" s="95">
        <f t="shared" si="924"/>
        <v>216.54355200000001</v>
      </c>
      <c r="CE327" s="95">
        <f t="shared" si="924"/>
        <v>216.54355200000001</v>
      </c>
      <c r="CF327" s="4"/>
      <c r="CG327" s="4"/>
      <c r="CH327" s="4"/>
      <c r="CI327" s="4"/>
      <c r="CJ327" s="4"/>
      <c r="CK327" s="4"/>
      <c r="CL327" s="4"/>
      <c r="CM327" s="4"/>
      <c r="CN327" s="240">
        <f t="shared" si="760"/>
        <v>320</v>
      </c>
    </row>
    <row r="328" spans="1:92" hidden="1" outlineLevel="2">
      <c r="A328" s="143"/>
      <c r="B328" s="10" t="s">
        <v>225</v>
      </c>
      <c r="C328" s="95">
        <f>AA328</f>
        <v>218.73075299999999</v>
      </c>
      <c r="D328" s="95">
        <f>AE328</f>
        <v>220.58850600000002</v>
      </c>
      <c r="E328" s="95">
        <f>AI328</f>
        <v>219.8365695</v>
      </c>
      <c r="F328" s="95">
        <f>AM328</f>
        <v>219.78275941793669</v>
      </c>
      <c r="G328" s="95">
        <f>AQ328</f>
        <v>222.2639925</v>
      </c>
      <c r="H328" s="95">
        <f>AU328</f>
        <v>222.47056199999997</v>
      </c>
      <c r="I328" s="95">
        <f>AY328</f>
        <v>220.64173</v>
      </c>
      <c r="J328" s="95">
        <f>BC328</f>
        <v>218.985816</v>
      </c>
      <c r="K328" s="95">
        <f>BG328</f>
        <v>216.5390185</v>
      </c>
      <c r="L328" s="95">
        <f>BK328</f>
        <v>216.99135699999999</v>
      </c>
      <c r="M328" s="95">
        <f>BO328</f>
        <v>217.48940200000001</v>
      </c>
      <c r="N328" s="95">
        <f>BS328</f>
        <v>216.54355200000001</v>
      </c>
      <c r="O328" s="95">
        <f>BW328</f>
        <v>216.54355200000001</v>
      </c>
      <c r="P328" s="95">
        <f>BX328</f>
        <v>216.54355200000001</v>
      </c>
      <c r="Q328" s="95">
        <f>BY328</f>
        <v>216.54355200000001</v>
      </c>
      <c r="R328" s="95"/>
      <c r="S328" s="4"/>
      <c r="T328" s="4"/>
      <c r="U328" s="4"/>
      <c r="V328" s="4"/>
      <c r="W328" s="95">
        <f t="shared" ref="W328:AU328" si="925">W330*W$333</f>
        <v>217.52720775</v>
      </c>
      <c r="X328" s="95">
        <f t="shared" si="925"/>
        <v>217.42172325000001</v>
      </c>
      <c r="Y328" s="95">
        <f t="shared" si="925"/>
        <v>217.30624875000001</v>
      </c>
      <c r="Z328" s="95">
        <f t="shared" si="925"/>
        <v>217.28591775000001</v>
      </c>
      <c r="AA328" s="95">
        <f t="shared" si="925"/>
        <v>218.73075299999999</v>
      </c>
      <c r="AB328" s="95">
        <f t="shared" si="925"/>
        <v>217.18694249999999</v>
      </c>
      <c r="AC328" s="95">
        <f t="shared" si="925"/>
        <v>217.02292425000002</v>
      </c>
      <c r="AD328" s="95">
        <f t="shared" si="925"/>
        <v>220.518</v>
      </c>
      <c r="AE328" s="95">
        <f t="shared" si="925"/>
        <v>220.58850600000002</v>
      </c>
      <c r="AF328" s="95">
        <f t="shared" si="925"/>
        <v>221.80949999999999</v>
      </c>
      <c r="AG328" s="95">
        <f t="shared" si="925"/>
        <v>221.8365</v>
      </c>
      <c r="AH328" s="95">
        <f t="shared" si="925"/>
        <v>220.7295</v>
      </c>
      <c r="AI328" s="95">
        <f t="shared" si="925"/>
        <v>219.8365695</v>
      </c>
      <c r="AJ328" s="95">
        <f t="shared" si="925"/>
        <v>219.8365695</v>
      </c>
      <c r="AK328" s="95">
        <f t="shared" si="925"/>
        <v>219.8365695</v>
      </c>
      <c r="AL328" s="95">
        <f t="shared" si="925"/>
        <v>219.8365695</v>
      </c>
      <c r="AM328" s="95">
        <f t="shared" si="925"/>
        <v>219.78275941793669</v>
      </c>
      <c r="AN328" s="95">
        <f t="shared" si="925"/>
        <v>222.36524999999997</v>
      </c>
      <c r="AO328" s="95">
        <f t="shared" si="925"/>
        <v>222.21449999999999</v>
      </c>
      <c r="AP328" s="95">
        <f t="shared" si="925"/>
        <v>222.21899999999999</v>
      </c>
      <c r="AQ328" s="95">
        <f t="shared" si="925"/>
        <v>222.2639925</v>
      </c>
      <c r="AR328" s="95">
        <f t="shared" si="925"/>
        <v>222.5251155</v>
      </c>
      <c r="AS328" s="95">
        <f t="shared" si="925"/>
        <v>222.440583</v>
      </c>
      <c r="AT328" s="95">
        <f t="shared" si="925"/>
        <v>222.47056199999997</v>
      </c>
      <c r="AU328" s="95">
        <f t="shared" si="925"/>
        <v>222.47056199999997</v>
      </c>
      <c r="AV328" s="216">
        <v>219.49255299999999</v>
      </c>
      <c r="AW328" s="216">
        <v>219.60316900000001</v>
      </c>
      <c r="AX328" s="216">
        <v>219.72200000000001</v>
      </c>
      <c r="AY328" s="216">
        <v>220.64173</v>
      </c>
      <c r="AZ328" s="216">
        <v>220.559</v>
      </c>
      <c r="BA328" s="216">
        <v>219.35599999999999</v>
      </c>
      <c r="BB328" s="216">
        <v>219.04</v>
      </c>
      <c r="BC328" s="216">
        <v>218.985816</v>
      </c>
      <c r="BD328" s="216">
        <v>218.84399999999999</v>
      </c>
      <c r="BE328" s="216">
        <v>218.833</v>
      </c>
      <c r="BF328" s="216">
        <v>218.833</v>
      </c>
      <c r="BG328" s="216">
        <v>216.5390185</v>
      </c>
      <c r="BH328" s="216">
        <v>217.06899999999999</v>
      </c>
      <c r="BI328" s="216">
        <v>217.018</v>
      </c>
      <c r="BJ328" s="216">
        <v>217.01300000000001</v>
      </c>
      <c r="BK328" s="216">
        <v>216.99135699999999</v>
      </c>
      <c r="BL328" s="216">
        <v>217.607</v>
      </c>
      <c r="BM328" s="216">
        <v>217.548</v>
      </c>
      <c r="BN328" s="216">
        <v>217.52199999999999</v>
      </c>
      <c r="BO328" s="216">
        <v>217.48940200000001</v>
      </c>
      <c r="BP328" s="216">
        <v>217.71299999999999</v>
      </c>
      <c r="BQ328" s="216">
        <v>217.352</v>
      </c>
      <c r="BR328" s="216">
        <v>216.58580799999999</v>
      </c>
      <c r="BS328" s="216">
        <v>216.54355200000001</v>
      </c>
      <c r="BT328" s="95">
        <f>BS328</f>
        <v>216.54355200000001</v>
      </c>
      <c r="BU328" s="95">
        <f>BT328</f>
        <v>216.54355200000001</v>
      </c>
      <c r="BV328" s="95">
        <f>BU328</f>
        <v>216.54355200000001</v>
      </c>
      <c r="BW328" s="95">
        <f>BV328</f>
        <v>216.54355200000001</v>
      </c>
      <c r="BX328" s="95">
        <f t="shared" ref="BX328:CE328" si="926">BW328</f>
        <v>216.54355200000001</v>
      </c>
      <c r="BY328" s="95">
        <f t="shared" si="926"/>
        <v>216.54355200000001</v>
      </c>
      <c r="BZ328" s="95">
        <f t="shared" si="926"/>
        <v>216.54355200000001</v>
      </c>
      <c r="CA328" s="95">
        <f t="shared" si="926"/>
        <v>216.54355200000001</v>
      </c>
      <c r="CB328" s="95">
        <f t="shared" si="926"/>
        <v>216.54355200000001</v>
      </c>
      <c r="CC328" s="95">
        <f t="shared" si="926"/>
        <v>216.54355200000001</v>
      </c>
      <c r="CD328" s="95">
        <f t="shared" si="926"/>
        <v>216.54355200000001</v>
      </c>
      <c r="CE328" s="95">
        <f t="shared" si="926"/>
        <v>216.54355200000001</v>
      </c>
      <c r="CF328" s="4"/>
      <c r="CG328" s="4"/>
      <c r="CH328" s="4"/>
      <c r="CI328" s="4"/>
      <c r="CJ328" s="4"/>
      <c r="CK328" s="4"/>
      <c r="CL328" s="4"/>
      <c r="CM328" s="4"/>
      <c r="CN328" s="240">
        <f t="shared" si="760"/>
        <v>321</v>
      </c>
    </row>
    <row r="329" spans="1:92" hidden="1" outlineLevel="2">
      <c r="A329" s="143"/>
      <c r="B329" s="86" t="s">
        <v>214</v>
      </c>
      <c r="C329" s="96">
        <f t="shared" ref="C329:O329" si="927">+C327/C326</f>
        <v>1.0317400038237814</v>
      </c>
      <c r="D329" s="96">
        <f t="shared" si="927"/>
        <v>1.0210907901126209</v>
      </c>
      <c r="E329" s="96">
        <f t="shared" si="927"/>
        <v>1.0130783249803257</v>
      </c>
      <c r="F329" s="96">
        <f t="shared" si="927"/>
        <v>1.0014303440613463</v>
      </c>
      <c r="G329" s="96">
        <f t="shared" si="927"/>
        <v>1.0099783087740837</v>
      </c>
      <c r="H329" s="96">
        <f t="shared" si="927"/>
        <v>1.0114952825069468</v>
      </c>
      <c r="I329" s="96">
        <f t="shared" si="927"/>
        <v>1.0067271240615476</v>
      </c>
      <c r="J329" s="96">
        <f t="shared" si="927"/>
        <v>1.0053537289331058</v>
      </c>
      <c r="K329" s="96">
        <f t="shared" si="927"/>
        <v>1.0044508624782402</v>
      </c>
      <c r="L329" s="96">
        <f t="shared" si="927"/>
        <v>1.0001089697321921</v>
      </c>
      <c r="M329" s="96">
        <f t="shared" si="927"/>
        <v>1</v>
      </c>
      <c r="N329" s="96">
        <f t="shared" si="927"/>
        <v>1</v>
      </c>
      <c r="O329" s="96">
        <f t="shared" si="927"/>
        <v>1</v>
      </c>
      <c r="P329" s="96">
        <f>+P327/P326</f>
        <v>1</v>
      </c>
      <c r="Q329" s="96">
        <f>+Q327/Q326</f>
        <v>1</v>
      </c>
      <c r="R329" s="96"/>
      <c r="S329" s="4"/>
      <c r="T329" s="4"/>
      <c r="U329" s="4"/>
      <c r="V329" s="4"/>
      <c r="W329" s="96">
        <f t="shared" ref="W329:BB329" si="928">+W327/W326</f>
        <v>1.0395279862364504</v>
      </c>
      <c r="X329" s="96">
        <f t="shared" si="928"/>
        <v>1.0391030295377297</v>
      </c>
      <c r="Y329" s="96">
        <f t="shared" si="928"/>
        <v>1.0335201969927177</v>
      </c>
      <c r="Z329" s="96">
        <f t="shared" si="928"/>
        <v>1.0278018841291914</v>
      </c>
      <c r="AA329" s="96">
        <f t="shared" si="928"/>
        <v>1.0265896316108407</v>
      </c>
      <c r="AB329" s="96">
        <f t="shared" si="928"/>
        <v>1.0263616353185407</v>
      </c>
      <c r="AC329" s="96">
        <f t="shared" si="928"/>
        <v>1.0217747794499221</v>
      </c>
      <c r="AD329" s="96">
        <f t="shared" si="928"/>
        <v>1.0190301370999522</v>
      </c>
      <c r="AE329" s="96">
        <f t="shared" si="928"/>
        <v>1.017229582633576</v>
      </c>
      <c r="AF329" s="96">
        <f t="shared" si="928"/>
        <v>1.0155819684012175</v>
      </c>
      <c r="AG329" s="96">
        <f t="shared" si="928"/>
        <v>1.0138667879063423</v>
      </c>
      <c r="AH329" s="96">
        <f t="shared" si="928"/>
        <v>1.0147724220573955</v>
      </c>
      <c r="AI329" s="96">
        <f t="shared" si="928"/>
        <v>1.0080626703564222</v>
      </c>
      <c r="AJ329" s="96">
        <f t="shared" si="928"/>
        <v>1.0057289608850257</v>
      </c>
      <c r="AK329" s="96">
        <f t="shared" si="928"/>
        <v>1</v>
      </c>
      <c r="AL329" s="96">
        <f t="shared" si="928"/>
        <v>1</v>
      </c>
      <c r="AM329" s="96">
        <f t="shared" si="928"/>
        <v>1</v>
      </c>
      <c r="AN329" s="96">
        <f t="shared" si="928"/>
        <v>1.0095098983746154</v>
      </c>
      <c r="AO329" s="96">
        <f t="shared" si="928"/>
        <v>1.0078315745913513</v>
      </c>
      <c r="AP329" s="96">
        <f t="shared" si="928"/>
        <v>1.0116951203118698</v>
      </c>
      <c r="AQ329" s="96">
        <f t="shared" si="928"/>
        <v>1.0108744340539313</v>
      </c>
      <c r="AR329" s="96">
        <f t="shared" si="928"/>
        <v>1.0138951142985211</v>
      </c>
      <c r="AS329" s="96">
        <f t="shared" si="928"/>
        <v>1.0112040767138384</v>
      </c>
      <c r="AT329" s="96">
        <f t="shared" si="928"/>
        <v>1.010958602365186</v>
      </c>
      <c r="AU329" s="96">
        <f t="shared" si="928"/>
        <v>1.009924480154488</v>
      </c>
      <c r="AV329" s="96">
        <f t="shared" si="928"/>
        <v>1.0080233744550597</v>
      </c>
      <c r="AW329" s="96">
        <f t="shared" si="928"/>
        <v>1.0057423927256821</v>
      </c>
      <c r="AX329" s="96">
        <f t="shared" si="928"/>
        <v>1.0069439602883556</v>
      </c>
      <c r="AY329" s="96">
        <f t="shared" si="928"/>
        <v>1.0061951998811116</v>
      </c>
      <c r="AZ329" s="96">
        <f t="shared" si="928"/>
        <v>1.006156507581154</v>
      </c>
      <c r="BA329" s="96">
        <f t="shared" si="928"/>
        <v>1.0037612966282661</v>
      </c>
      <c r="BB329" s="96">
        <f t="shared" si="928"/>
        <v>1.0049937694124649</v>
      </c>
      <c r="BC329" s="96">
        <f t="shared" ref="BC329:BS329" si="929">+BC327/BC326</f>
        <v>1.0065062293189868</v>
      </c>
      <c r="BD329" s="96">
        <f t="shared" si="929"/>
        <v>1.0048286278610432</v>
      </c>
      <c r="BE329" s="96">
        <f t="shared" si="929"/>
        <v>1.0047113704791288</v>
      </c>
      <c r="BF329" s="96">
        <f t="shared" si="929"/>
        <v>1.0047113704791288</v>
      </c>
      <c r="BG329" s="96">
        <f t="shared" si="929"/>
        <v>1.0035460163453578</v>
      </c>
      <c r="BH329" s="96">
        <f t="shared" si="929"/>
        <v>1.0004356135124501</v>
      </c>
      <c r="BI329" s="96">
        <f t="shared" si="929"/>
        <v>1</v>
      </c>
      <c r="BJ329" s="96">
        <f t="shared" si="929"/>
        <v>1</v>
      </c>
      <c r="BK329" s="96">
        <f t="shared" si="929"/>
        <v>1</v>
      </c>
      <c r="BL329" s="96">
        <f t="shared" si="929"/>
        <v>1</v>
      </c>
      <c r="BM329" s="96">
        <f t="shared" si="929"/>
        <v>1</v>
      </c>
      <c r="BN329" s="96">
        <f t="shared" si="929"/>
        <v>1</v>
      </c>
      <c r="BO329" s="96">
        <f t="shared" si="929"/>
        <v>1</v>
      </c>
      <c r="BP329" s="96">
        <f t="shared" si="929"/>
        <v>1</v>
      </c>
      <c r="BQ329" s="96">
        <f t="shared" si="929"/>
        <v>1</v>
      </c>
      <c r="BR329" s="96">
        <f t="shared" si="929"/>
        <v>1</v>
      </c>
      <c r="BS329" s="96">
        <f t="shared" si="929"/>
        <v>1</v>
      </c>
      <c r="BT329" s="96">
        <f>+BT327/BT326</f>
        <v>1</v>
      </c>
      <c r="BU329" s="96">
        <f>+BU327/BU326</f>
        <v>1</v>
      </c>
      <c r="BV329" s="96">
        <f>+BV327/BV326</f>
        <v>1</v>
      </c>
      <c r="BW329" s="96">
        <f>+BW327/BW326</f>
        <v>1</v>
      </c>
      <c r="BX329" s="96">
        <f t="shared" ref="BX329:CE329" si="930">+BX327/BX326</f>
        <v>1</v>
      </c>
      <c r="BY329" s="96">
        <f t="shared" si="930"/>
        <v>1</v>
      </c>
      <c r="BZ329" s="96">
        <f t="shared" si="930"/>
        <v>1</v>
      </c>
      <c r="CA329" s="96">
        <f t="shared" si="930"/>
        <v>1</v>
      </c>
      <c r="CB329" s="96">
        <f t="shared" si="930"/>
        <v>1</v>
      </c>
      <c r="CC329" s="96">
        <f t="shared" si="930"/>
        <v>1</v>
      </c>
      <c r="CD329" s="96">
        <f t="shared" si="930"/>
        <v>1</v>
      </c>
      <c r="CE329" s="96">
        <f t="shared" si="930"/>
        <v>1</v>
      </c>
      <c r="CF329" s="4"/>
      <c r="CG329" s="4"/>
      <c r="CH329" s="4"/>
      <c r="CI329" s="4"/>
      <c r="CJ329" s="4"/>
      <c r="CK329" s="4"/>
      <c r="CL329" s="4"/>
      <c r="CM329" s="4"/>
      <c r="CN329" s="240">
        <f t="shared" si="760"/>
        <v>322</v>
      </c>
    </row>
    <row r="330" spans="1:92" hidden="1" outlineLevel="3">
      <c r="A330" s="143"/>
      <c r="B330" s="10" t="s">
        <v>99</v>
      </c>
      <c r="C330" s="95">
        <f>AA330</f>
        <v>97.213667999999998</v>
      </c>
      <c r="D330" s="95">
        <f>AE330</f>
        <v>98.039336000000006</v>
      </c>
      <c r="E330" s="95">
        <f>AI330</f>
        <v>97.705141999999995</v>
      </c>
      <c r="F330" s="95">
        <f>AM330</f>
        <v>97.681226407971863</v>
      </c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95">
        <v>96.678758999999999</v>
      </c>
      <c r="X330" s="95">
        <v>96.631877000000003</v>
      </c>
      <c r="Y330" s="95">
        <v>96.580555000000004</v>
      </c>
      <c r="Z330" s="95">
        <v>96.571519000000009</v>
      </c>
      <c r="AA330" s="95">
        <v>97.213667999999998</v>
      </c>
      <c r="AB330" s="95">
        <v>96.527529999999999</v>
      </c>
      <c r="AC330" s="95">
        <v>96.454633000000001</v>
      </c>
      <c r="AD330" s="95">
        <v>98.007999999999996</v>
      </c>
      <c r="AE330" s="95">
        <v>98.039336000000006</v>
      </c>
      <c r="AF330" s="95">
        <v>98.581999999999994</v>
      </c>
      <c r="AG330" s="95">
        <v>98.593999999999994</v>
      </c>
      <c r="AH330" s="95">
        <v>98.102000000000004</v>
      </c>
      <c r="AI330" s="95">
        <v>97.705141999999995</v>
      </c>
      <c r="AJ330" s="95">
        <v>97.705141999999995</v>
      </c>
      <c r="AK330" s="95">
        <v>97.705141999999995</v>
      </c>
      <c r="AL330" s="95">
        <v>97.705141999999995</v>
      </c>
      <c r="AM330" s="95">
        <v>97.681226407971863</v>
      </c>
      <c r="AN330" s="95">
        <v>98.828999999999994</v>
      </c>
      <c r="AO330" s="95">
        <v>98.762</v>
      </c>
      <c r="AP330" s="95">
        <v>98.763999999999996</v>
      </c>
      <c r="AQ330" s="95">
        <v>148.175995</v>
      </c>
      <c r="AR330" s="95">
        <v>148.350077</v>
      </c>
      <c r="AS330" s="95">
        <v>148.293722</v>
      </c>
      <c r="AT330" s="95">
        <v>148.31370799999999</v>
      </c>
      <c r="AU330" s="95">
        <v>148.31370799999999</v>
      </c>
      <c r="AV330" s="95"/>
      <c r="AW330" s="95"/>
      <c r="AX330" s="95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240">
        <f t="shared" ref="CN330:CN381" si="931">+CN329+1</f>
        <v>323</v>
      </c>
    </row>
    <row r="331" spans="1:92" hidden="1" outlineLevel="3">
      <c r="A331" s="143"/>
      <c r="B331" s="10" t="s">
        <v>100</v>
      </c>
      <c r="C331" s="95">
        <v>95.242592999999999</v>
      </c>
      <c r="D331" s="95">
        <v>96.267731999999995</v>
      </c>
      <c r="E331" s="95">
        <v>96.564999999999998</v>
      </c>
      <c r="F331" s="95">
        <v>96.305000000000007</v>
      </c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95">
        <v>94.742999999999995</v>
      </c>
      <c r="X331" s="95">
        <v>95.031000000000006</v>
      </c>
      <c r="Y331" s="95">
        <v>95.435000000000002</v>
      </c>
      <c r="Z331" s="95">
        <v>95.641000000000005</v>
      </c>
      <c r="AA331" s="95">
        <v>95.713999999999999</v>
      </c>
      <c r="AB331" s="95">
        <v>95.858999999999995</v>
      </c>
      <c r="AC331" s="95">
        <v>96.35</v>
      </c>
      <c r="AD331" s="95">
        <v>96.426000000000002</v>
      </c>
      <c r="AE331" s="95">
        <v>96.462000000000003</v>
      </c>
      <c r="AF331" s="95">
        <v>96.585999999999999</v>
      </c>
      <c r="AG331" s="95">
        <v>96.778000000000006</v>
      </c>
      <c r="AH331" s="95">
        <v>96.802000000000007</v>
      </c>
      <c r="AI331" s="95">
        <v>96.122</v>
      </c>
      <c r="AJ331" s="95">
        <v>96.177999999999997</v>
      </c>
      <c r="AK331" s="95">
        <v>96.316999999999993</v>
      </c>
      <c r="AL331" s="95">
        <v>96.352000000000004</v>
      </c>
      <c r="AM331" s="95">
        <v>96.375</v>
      </c>
      <c r="AN331" s="95">
        <v>96.531000000000006</v>
      </c>
      <c r="AO331" s="95">
        <v>96.66</v>
      </c>
      <c r="AP331" s="95">
        <v>96.706999999999994</v>
      </c>
      <c r="AQ331" s="95">
        <v>145.11099999999999</v>
      </c>
      <c r="AR331" s="95">
        <v>145.01499999999999</v>
      </c>
      <c r="AS331" s="95">
        <v>145.215</v>
      </c>
      <c r="AT331" s="95">
        <v>145.274</v>
      </c>
      <c r="AU331" s="95">
        <v>144.995</v>
      </c>
      <c r="AV331" s="95"/>
      <c r="AW331" s="95"/>
      <c r="AX331" s="95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240">
        <f t="shared" si="931"/>
        <v>324</v>
      </c>
    </row>
    <row r="332" spans="1:92" hidden="1" outlineLevel="3">
      <c r="A332" s="143"/>
      <c r="B332" s="10" t="s">
        <v>101</v>
      </c>
      <c r="C332" s="95">
        <v>98.196021000000002</v>
      </c>
      <c r="D332" s="95">
        <v>98.362065000000001</v>
      </c>
      <c r="E332" s="95">
        <v>97.865037999999998</v>
      </c>
      <c r="F332" s="95">
        <v>96.305000000000007</v>
      </c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95">
        <v>98.488</v>
      </c>
      <c r="X332" s="95">
        <v>98.747</v>
      </c>
      <c r="Y332" s="95">
        <v>98.634</v>
      </c>
      <c r="Z332" s="95">
        <v>98.3</v>
      </c>
      <c r="AA332" s="95">
        <v>98.259</v>
      </c>
      <c r="AB332" s="95">
        <v>98.385999999999996</v>
      </c>
      <c r="AC332" s="95">
        <v>98.447999999999993</v>
      </c>
      <c r="AD332" s="95">
        <v>98.260999999999996</v>
      </c>
      <c r="AE332" s="95">
        <v>98.123999999999995</v>
      </c>
      <c r="AF332" s="95">
        <v>98.090999999999994</v>
      </c>
      <c r="AG332" s="95">
        <v>98.12</v>
      </c>
      <c r="AH332" s="95">
        <v>98.231999999999999</v>
      </c>
      <c r="AI332" s="95">
        <v>96.897000000000006</v>
      </c>
      <c r="AJ332" s="95">
        <v>96.728999999999999</v>
      </c>
      <c r="AK332" s="95">
        <v>96.316999999999993</v>
      </c>
      <c r="AL332" s="95">
        <v>96.352000000000004</v>
      </c>
      <c r="AM332" s="95">
        <v>96.375</v>
      </c>
      <c r="AN332" s="95">
        <v>97.448999999999998</v>
      </c>
      <c r="AO332" s="95">
        <v>97.417000000000002</v>
      </c>
      <c r="AP332" s="95">
        <v>97.837999999999994</v>
      </c>
      <c r="AQ332" s="95">
        <v>146.68899999999999</v>
      </c>
      <c r="AR332" s="95">
        <v>147.03</v>
      </c>
      <c r="AS332" s="95">
        <v>146.84200000000001</v>
      </c>
      <c r="AT332" s="95">
        <v>146.86600000000001</v>
      </c>
      <c r="AU332" s="95">
        <v>146.434</v>
      </c>
      <c r="AV332" s="95"/>
      <c r="AW332" s="95"/>
      <c r="AX332" s="95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240">
        <f t="shared" si="931"/>
        <v>325</v>
      </c>
    </row>
    <row r="333" spans="1:92" hidden="1" outlineLevel="3">
      <c r="A333" s="143"/>
      <c r="B333" s="10" t="s">
        <v>155</v>
      </c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196">
        <f t="shared" ref="W333:AO333" si="932">3/2*3/2</f>
        <v>2.25</v>
      </c>
      <c r="X333" s="196">
        <f t="shared" si="932"/>
        <v>2.25</v>
      </c>
      <c r="Y333" s="196">
        <f t="shared" si="932"/>
        <v>2.25</v>
      </c>
      <c r="Z333" s="196">
        <f t="shared" si="932"/>
        <v>2.25</v>
      </c>
      <c r="AA333" s="196">
        <f t="shared" si="932"/>
        <v>2.25</v>
      </c>
      <c r="AB333" s="196">
        <f t="shared" si="932"/>
        <v>2.25</v>
      </c>
      <c r="AC333" s="196">
        <f t="shared" si="932"/>
        <v>2.25</v>
      </c>
      <c r="AD333" s="196">
        <f t="shared" si="932"/>
        <v>2.25</v>
      </c>
      <c r="AE333" s="196">
        <f t="shared" si="932"/>
        <v>2.25</v>
      </c>
      <c r="AF333" s="196">
        <f t="shared" si="932"/>
        <v>2.25</v>
      </c>
      <c r="AG333" s="196">
        <f t="shared" si="932"/>
        <v>2.25</v>
      </c>
      <c r="AH333" s="196">
        <f t="shared" si="932"/>
        <v>2.25</v>
      </c>
      <c r="AI333" s="196">
        <f t="shared" si="932"/>
        <v>2.25</v>
      </c>
      <c r="AJ333" s="196">
        <f t="shared" si="932"/>
        <v>2.25</v>
      </c>
      <c r="AK333" s="196">
        <f t="shared" si="932"/>
        <v>2.25</v>
      </c>
      <c r="AL333" s="196">
        <f t="shared" si="932"/>
        <v>2.25</v>
      </c>
      <c r="AM333" s="196">
        <f t="shared" si="932"/>
        <v>2.25</v>
      </c>
      <c r="AN333" s="196">
        <f t="shared" si="932"/>
        <v>2.25</v>
      </c>
      <c r="AO333" s="196">
        <f t="shared" si="932"/>
        <v>2.25</v>
      </c>
      <c r="AP333" s="196">
        <f>3/2*3/2</f>
        <v>2.25</v>
      </c>
      <c r="AQ333" s="196">
        <f>3/2</f>
        <v>1.5</v>
      </c>
      <c r="AR333" s="196">
        <f>3/2</f>
        <v>1.5</v>
      </c>
      <c r="AS333" s="196">
        <f>3/2</f>
        <v>1.5</v>
      </c>
      <c r="AT333" s="196">
        <f>3/2</f>
        <v>1.5</v>
      </c>
      <c r="AU333" s="196">
        <f>3/2</f>
        <v>1.5</v>
      </c>
      <c r="AV333" s="196"/>
      <c r="AW333" s="196"/>
      <c r="AX333" s="196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240">
        <f t="shared" si="931"/>
        <v>326</v>
      </c>
    </row>
    <row r="334" spans="1:92" hidden="1" outlineLevel="2" collapsed="1">
      <c r="A334" s="143"/>
      <c r="B334" s="86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240">
        <f t="shared" si="931"/>
        <v>327</v>
      </c>
    </row>
    <row r="335" spans="1:92" hidden="1" outlineLevel="2">
      <c r="A335" s="143"/>
      <c r="B335" s="97" t="s">
        <v>215</v>
      </c>
      <c r="C335" s="98">
        <f t="shared" ref="C335:Q335" si="933">C33/C326</f>
        <v>0.48807047164916439</v>
      </c>
      <c r="D335" s="98">
        <f t="shared" si="933"/>
        <v>0.37280535091735906</v>
      </c>
      <c r="E335" s="98">
        <f t="shared" si="933"/>
        <v>0.35453570623185005</v>
      </c>
      <c r="F335" s="98">
        <f t="shared" si="933"/>
        <v>-0.11024177112302917</v>
      </c>
      <c r="G335" s="98">
        <f t="shared" si="933"/>
        <v>0.65744530925802669</v>
      </c>
      <c r="H335" s="98">
        <f t="shared" si="933"/>
        <v>1.3662498413721063</v>
      </c>
      <c r="I335" s="98">
        <f t="shared" si="933"/>
        <v>1.3078495502861811</v>
      </c>
      <c r="J335" s="98">
        <f t="shared" si="933"/>
        <v>0.8179244932808668</v>
      </c>
      <c r="K335" s="98">
        <f t="shared" si="933"/>
        <v>1.2132643847220799</v>
      </c>
      <c r="L335" s="98">
        <f t="shared" si="933"/>
        <v>-0.43655383807800829</v>
      </c>
      <c r="M335" s="98">
        <f t="shared" si="933"/>
        <v>-0.69629716072866465</v>
      </c>
      <c r="N335" s="98">
        <f t="shared" si="933"/>
        <v>0.72992943551880318</v>
      </c>
      <c r="O335" s="98">
        <f t="shared" si="933"/>
        <v>1.5970320282828081</v>
      </c>
      <c r="P335" s="98">
        <f t="shared" si="933"/>
        <v>1.983645621907772</v>
      </c>
      <c r="Q335" s="98">
        <f t="shared" si="933"/>
        <v>2.0649623899734388</v>
      </c>
      <c r="R335" s="98"/>
      <c r="S335" s="4"/>
      <c r="T335" s="98"/>
      <c r="U335" s="98"/>
      <c r="V335" s="98"/>
      <c r="W335" s="98">
        <f t="shared" ref="W335:BB335" si="934">W33/W326</f>
        <v>0.10091862547452934</v>
      </c>
      <c r="X335" s="98">
        <f t="shared" si="934"/>
        <v>0.11645322754329292</v>
      </c>
      <c r="Y335" s="98">
        <f t="shared" si="934"/>
        <v>0.12859945396226635</v>
      </c>
      <c r="Z335" s="98">
        <f t="shared" si="934"/>
        <v>0.13369440581619463</v>
      </c>
      <c r="AA335" s="98">
        <f t="shared" si="934"/>
        <v>0.13702860141207718</v>
      </c>
      <c r="AB335" s="98">
        <f t="shared" si="934"/>
        <v>0.1300289429729545</v>
      </c>
      <c r="AC335" s="98">
        <f t="shared" si="934"/>
        <v>0.10985411981779392</v>
      </c>
      <c r="AD335" s="98">
        <f t="shared" si="934"/>
        <v>6.8644464263902985E-2</v>
      </c>
      <c r="AE335" s="98">
        <f t="shared" si="934"/>
        <v>9.3512931977819735E-2</v>
      </c>
      <c r="AF335" s="98">
        <f t="shared" si="934"/>
        <v>6.7904941364863095E-2</v>
      </c>
      <c r="AG335" s="98">
        <f t="shared" si="934"/>
        <v>0.10313638774652638</v>
      </c>
      <c r="AH335" s="98">
        <f t="shared" si="934"/>
        <v>0.1183630273938325</v>
      </c>
      <c r="AI335" s="98">
        <f t="shared" si="934"/>
        <v>9.4361563660995643E-2</v>
      </c>
      <c r="AJ335" s="98">
        <f t="shared" si="934"/>
        <v>2.0637660264186081E-2</v>
      </c>
      <c r="AK335" s="98">
        <f t="shared" si="934"/>
        <v>-5.3637698664018005E-2</v>
      </c>
      <c r="AL335" s="98">
        <f t="shared" si="934"/>
        <v>-4.7903059153474287E-2</v>
      </c>
      <c r="AM335" s="98">
        <f t="shared" si="934"/>
        <v>-2.3989623865110245E-2</v>
      </c>
      <c r="AN335" s="98">
        <f t="shared" si="934"/>
        <v>6.1695782241513668E-2</v>
      </c>
      <c r="AO335" s="98">
        <f t="shared" si="934"/>
        <v>0.14530657286709434</v>
      </c>
      <c r="AP335" s="98">
        <f t="shared" si="934"/>
        <v>0.21264231131148731</v>
      </c>
      <c r="AQ335" s="98">
        <f t="shared" si="934"/>
        <v>0.2548439929892749</v>
      </c>
      <c r="AR335" s="98">
        <f t="shared" si="934"/>
        <v>0.30122860853474931</v>
      </c>
      <c r="AS335" s="98">
        <f t="shared" si="934"/>
        <v>0.33589275671705171</v>
      </c>
      <c r="AT335" s="98">
        <f t="shared" si="934"/>
        <v>0.38139882796187419</v>
      </c>
      <c r="AU335" s="98">
        <f t="shared" si="934"/>
        <v>0.34291297401059795</v>
      </c>
      <c r="AV335" s="98">
        <f t="shared" si="934"/>
        <v>0.38103608199610428</v>
      </c>
      <c r="AW335" s="98">
        <f t="shared" si="934"/>
        <v>0.3403554327037176</v>
      </c>
      <c r="AX335" s="98">
        <f t="shared" si="934"/>
        <v>0.30694721381727247</v>
      </c>
      <c r="AY335" s="98">
        <f t="shared" si="934"/>
        <v>0.25719367662356962</v>
      </c>
      <c r="AZ335" s="98">
        <f t="shared" si="934"/>
        <v>0.16224317048576742</v>
      </c>
      <c r="BA335" s="98">
        <f t="shared" si="934"/>
        <v>0.18721251789163579</v>
      </c>
      <c r="BB335" s="98">
        <f t="shared" si="934"/>
        <v>0.24996745215466737</v>
      </c>
      <c r="BC335" s="98">
        <f t="shared" ref="BC335:CE335" si="935">BC33/BC326</f>
        <v>0.17518883423077095</v>
      </c>
      <c r="BD335" s="98">
        <f t="shared" si="935"/>
        <v>0.18305100499593352</v>
      </c>
      <c r="BE335" s="98">
        <f t="shared" si="935"/>
        <v>0.29403319332416461</v>
      </c>
      <c r="BF335" s="98">
        <f t="shared" si="935"/>
        <v>0.30147660112255148</v>
      </c>
      <c r="BG335" s="98">
        <f t="shared" si="935"/>
        <v>0.36319534433315714</v>
      </c>
      <c r="BH335" s="98">
        <f t="shared" si="935"/>
        <v>3.5354954752402905E-2</v>
      </c>
      <c r="BI335" s="98">
        <f t="shared" si="935"/>
        <v>-0.16018494999952959</v>
      </c>
      <c r="BJ335" s="98">
        <f t="shared" si="935"/>
        <v>-0.16460672316886546</v>
      </c>
      <c r="BK335" s="98">
        <f t="shared" si="935"/>
        <v>-0.17727993859948801</v>
      </c>
      <c r="BL335" s="98">
        <f t="shared" si="935"/>
        <v>-0.15184180168230507</v>
      </c>
      <c r="BM335" s="98">
        <f t="shared" si="935"/>
        <v>-0.22722541922777142</v>
      </c>
      <c r="BN335" s="98">
        <f t="shared" si="935"/>
        <v>-0.18174605397029864</v>
      </c>
      <c r="BO335" s="98">
        <f t="shared" si="935"/>
        <v>-9.8506557147524182E-2</v>
      </c>
      <c r="BP335" s="98">
        <f t="shared" si="935"/>
        <v>1.6928229709648718E-2</v>
      </c>
      <c r="BQ335" s="98">
        <f t="shared" si="935"/>
        <v>0.20153542040178365</v>
      </c>
      <c r="BR335" s="98">
        <f t="shared" si="935"/>
        <v>0.26426312926925949</v>
      </c>
      <c r="BS335" s="98">
        <f t="shared" si="935"/>
        <v>0.26643549087148044</v>
      </c>
      <c r="BT335" s="98">
        <f t="shared" si="935"/>
        <v>0.2755102957002174</v>
      </c>
      <c r="BU335" s="98">
        <f t="shared" si="935"/>
        <v>0.39485350514353335</v>
      </c>
      <c r="BV335" s="98">
        <f t="shared" si="935"/>
        <v>0.43615642879640382</v>
      </c>
      <c r="BW335" s="98">
        <f t="shared" si="935"/>
        <v>0.46744022734045226</v>
      </c>
      <c r="BX335" s="98">
        <f t="shared" si="935"/>
        <v>0.47214140528658249</v>
      </c>
      <c r="BY335" s="98">
        <f t="shared" si="935"/>
        <v>0.4752441305322524</v>
      </c>
      <c r="BZ335" s="98">
        <f t="shared" si="935"/>
        <v>0.5003011312473522</v>
      </c>
      <c r="CA335" s="98">
        <f t="shared" si="935"/>
        <v>0.51288738353938412</v>
      </c>
      <c r="CB335" s="98">
        <f t="shared" si="935"/>
        <v>0.50496259614234629</v>
      </c>
      <c r="CC335" s="98">
        <f t="shared" si="935"/>
        <v>0.50749548539865974</v>
      </c>
      <c r="CD335" s="98">
        <f t="shared" si="935"/>
        <v>0.51200605739623917</v>
      </c>
      <c r="CE335" s="98">
        <f t="shared" si="935"/>
        <v>0.51742667973399203</v>
      </c>
      <c r="CF335" s="4"/>
      <c r="CG335" s="4"/>
      <c r="CH335" s="4"/>
      <c r="CI335" s="4"/>
      <c r="CJ335" s="4"/>
      <c r="CK335" s="4"/>
      <c r="CL335" s="4"/>
      <c r="CM335" s="4"/>
      <c r="CN335" s="240">
        <f t="shared" si="931"/>
        <v>328</v>
      </c>
    </row>
    <row r="336" spans="1:92" hidden="1" outlineLevel="2">
      <c r="A336" s="143"/>
      <c r="B336" s="97" t="s">
        <v>216</v>
      </c>
      <c r="C336" s="98">
        <f t="shared" ref="C336:Q336" si="936">(C33-C32)/C326</f>
        <v>0.48807047164916439</v>
      </c>
      <c r="D336" s="98">
        <f t="shared" si="936"/>
        <v>0.37280535091735906</v>
      </c>
      <c r="E336" s="98">
        <f t="shared" si="936"/>
        <v>0.35453570623185005</v>
      </c>
      <c r="F336" s="98">
        <f t="shared" si="936"/>
        <v>-0.11024177112302917</v>
      </c>
      <c r="G336" s="98">
        <f t="shared" si="936"/>
        <v>0.65744530925802669</v>
      </c>
      <c r="H336" s="98">
        <f t="shared" si="936"/>
        <v>1.382135025211068</v>
      </c>
      <c r="I336" s="98">
        <f t="shared" si="936"/>
        <v>1.3078495502861811</v>
      </c>
      <c r="J336" s="98">
        <f t="shared" si="936"/>
        <v>0.8179244932808668</v>
      </c>
      <c r="K336" s="98">
        <f t="shared" si="936"/>
        <v>1.2132643847220799</v>
      </c>
      <c r="L336" s="98">
        <f t="shared" si="936"/>
        <v>-0.43655383807800829</v>
      </c>
      <c r="M336" s="98">
        <f t="shared" si="936"/>
        <v>-0.76351542168955899</v>
      </c>
      <c r="N336" s="98">
        <f t="shared" si="936"/>
        <v>0.64056239048297814</v>
      </c>
      <c r="O336" s="98">
        <f t="shared" si="936"/>
        <v>1.5970320282828081</v>
      </c>
      <c r="P336" s="98">
        <f t="shared" si="936"/>
        <v>1.983645621907772</v>
      </c>
      <c r="Q336" s="98">
        <f t="shared" si="936"/>
        <v>2.0649623899734388</v>
      </c>
      <c r="R336" s="98"/>
      <c r="S336" s="4"/>
      <c r="T336" s="98"/>
      <c r="U336" s="98"/>
      <c r="V336" s="98"/>
      <c r="W336" s="98">
        <f t="shared" ref="W336:BB336" si="937">(W33-W32)/W326</f>
        <v>8.4499939602691254E-2</v>
      </c>
      <c r="X336" s="98">
        <f t="shared" si="937"/>
        <v>0.11645322754329292</v>
      </c>
      <c r="Y336" s="98">
        <f t="shared" si="937"/>
        <v>0.12859945396226635</v>
      </c>
      <c r="Z336" s="98">
        <f t="shared" si="937"/>
        <v>0.13369440581619463</v>
      </c>
      <c r="AA336" s="98">
        <f t="shared" si="937"/>
        <v>0.13702860141207718</v>
      </c>
      <c r="AB336" s="98">
        <f t="shared" si="937"/>
        <v>0.1300289429729545</v>
      </c>
      <c r="AC336" s="98">
        <f t="shared" si="937"/>
        <v>0.10985411981779392</v>
      </c>
      <c r="AD336" s="98">
        <f t="shared" si="937"/>
        <v>6.8644464263902985E-2</v>
      </c>
      <c r="AE336" s="98">
        <f t="shared" si="937"/>
        <v>9.3512931977819735E-2</v>
      </c>
      <c r="AF336" s="98">
        <f t="shared" si="937"/>
        <v>6.7904941364863095E-2</v>
      </c>
      <c r="AG336" s="98">
        <f t="shared" si="937"/>
        <v>0.10313638774652638</v>
      </c>
      <c r="AH336" s="98">
        <f t="shared" si="937"/>
        <v>0.1183630273938325</v>
      </c>
      <c r="AI336" s="98">
        <f t="shared" si="937"/>
        <v>9.4361563660995643E-2</v>
      </c>
      <c r="AJ336" s="98">
        <f t="shared" si="937"/>
        <v>2.0637660264186081E-2</v>
      </c>
      <c r="AK336" s="98">
        <f t="shared" si="937"/>
        <v>-5.3637698664018005E-2</v>
      </c>
      <c r="AL336" s="98">
        <f t="shared" si="937"/>
        <v>-4.7903059153474287E-2</v>
      </c>
      <c r="AM336" s="98">
        <f t="shared" si="937"/>
        <v>-2.3989623865110245E-2</v>
      </c>
      <c r="AN336" s="98">
        <f t="shared" si="937"/>
        <v>6.1695782241513668E-2</v>
      </c>
      <c r="AO336" s="98">
        <f t="shared" si="937"/>
        <v>0.14530657286709434</v>
      </c>
      <c r="AP336" s="98">
        <f t="shared" si="937"/>
        <v>0.21264231131148731</v>
      </c>
      <c r="AQ336" s="98">
        <f t="shared" si="937"/>
        <v>0.2548439929892749</v>
      </c>
      <c r="AR336" s="98">
        <f t="shared" si="937"/>
        <v>0.30122860853474931</v>
      </c>
      <c r="AS336" s="98">
        <f t="shared" si="937"/>
        <v>0.33589275671705171</v>
      </c>
      <c r="AT336" s="98">
        <f t="shared" si="937"/>
        <v>0.39386423815227301</v>
      </c>
      <c r="AU336" s="98">
        <f t="shared" si="937"/>
        <v>0.34632297665436729</v>
      </c>
      <c r="AV336" s="98">
        <f t="shared" si="937"/>
        <v>0.38103608199610428</v>
      </c>
      <c r="AW336" s="98">
        <f t="shared" si="937"/>
        <v>0.3403554327037176</v>
      </c>
      <c r="AX336" s="98">
        <f t="shared" si="937"/>
        <v>0.30694721381727247</v>
      </c>
      <c r="AY336" s="98">
        <f t="shared" si="937"/>
        <v>0.25719367662356962</v>
      </c>
      <c r="AZ336" s="98">
        <f t="shared" si="937"/>
        <v>0.16224317048576742</v>
      </c>
      <c r="BA336" s="98">
        <f t="shared" si="937"/>
        <v>0.18721251789163579</v>
      </c>
      <c r="BB336" s="98">
        <f t="shared" si="937"/>
        <v>0.24996745215466737</v>
      </c>
      <c r="BC336" s="98">
        <f t="shared" ref="BC336:CE336" si="938">(BC33-BC32)/BC326</f>
        <v>0.17518883423077095</v>
      </c>
      <c r="BD336" s="98">
        <f t="shared" si="938"/>
        <v>0.18305100499593352</v>
      </c>
      <c r="BE336" s="98">
        <f t="shared" si="938"/>
        <v>0.29403319332416461</v>
      </c>
      <c r="BF336" s="98">
        <f t="shared" si="938"/>
        <v>0.30147660112255148</v>
      </c>
      <c r="BG336" s="98">
        <f t="shared" si="938"/>
        <v>0.36319534433315714</v>
      </c>
      <c r="BH336" s="98">
        <f t="shared" si="938"/>
        <v>3.5354954752402905E-2</v>
      </c>
      <c r="BI336" s="98">
        <f t="shared" si="938"/>
        <v>-0.16018494999952959</v>
      </c>
      <c r="BJ336" s="98">
        <f t="shared" si="938"/>
        <v>-0.16460672316886546</v>
      </c>
      <c r="BK336" s="98">
        <f t="shared" si="938"/>
        <v>-0.17727993859948801</v>
      </c>
      <c r="BL336" s="98">
        <f t="shared" si="938"/>
        <v>-0.21909663679119717</v>
      </c>
      <c r="BM336" s="98">
        <f t="shared" si="938"/>
        <v>-0.22722541922777142</v>
      </c>
      <c r="BN336" s="98">
        <f t="shared" si="938"/>
        <v>-0.18174605397029864</v>
      </c>
      <c r="BO336" s="98">
        <f t="shared" si="938"/>
        <v>-9.8506557147524182E-2</v>
      </c>
      <c r="BP336" s="98">
        <f t="shared" si="938"/>
        <v>1.6928229709648718E-2</v>
      </c>
      <c r="BQ336" s="98">
        <f t="shared" si="938"/>
        <v>0.20153542040178365</v>
      </c>
      <c r="BR336" s="98">
        <f t="shared" si="938"/>
        <v>0.26426312926925949</v>
      </c>
      <c r="BS336" s="98">
        <f t="shared" si="938"/>
        <v>0.17712652488294994</v>
      </c>
      <c r="BT336" s="98">
        <f t="shared" si="938"/>
        <v>0.2755102957002174</v>
      </c>
      <c r="BU336" s="98">
        <f t="shared" si="938"/>
        <v>0.39485350514353335</v>
      </c>
      <c r="BV336" s="98">
        <f t="shared" si="938"/>
        <v>0.43615642879640382</v>
      </c>
      <c r="BW336" s="98">
        <f t="shared" si="938"/>
        <v>0.46744022734045226</v>
      </c>
      <c r="BX336" s="98">
        <f t="shared" si="938"/>
        <v>0.47214140528658249</v>
      </c>
      <c r="BY336" s="98">
        <f t="shared" si="938"/>
        <v>0.4752441305322524</v>
      </c>
      <c r="BZ336" s="98">
        <f t="shared" si="938"/>
        <v>0.5003011312473522</v>
      </c>
      <c r="CA336" s="98">
        <f t="shared" si="938"/>
        <v>0.51288738353938412</v>
      </c>
      <c r="CB336" s="98">
        <f t="shared" si="938"/>
        <v>0.50496259614234629</v>
      </c>
      <c r="CC336" s="98">
        <f t="shared" si="938"/>
        <v>0.50749548539865974</v>
      </c>
      <c r="CD336" s="98">
        <f t="shared" si="938"/>
        <v>0.51200605739623917</v>
      </c>
      <c r="CE336" s="98">
        <f t="shared" si="938"/>
        <v>0.51742667973399203</v>
      </c>
      <c r="CF336" s="4"/>
      <c r="CG336" s="4"/>
      <c r="CH336" s="4"/>
      <c r="CI336" s="4"/>
      <c r="CJ336" s="4"/>
      <c r="CK336" s="4"/>
      <c r="CL336" s="4"/>
      <c r="CM336" s="4"/>
      <c r="CN336" s="240">
        <f t="shared" si="931"/>
        <v>329</v>
      </c>
    </row>
    <row r="337" spans="1:92" hidden="1" outlineLevel="2">
      <c r="A337" s="143"/>
      <c r="B337" s="86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240">
        <f t="shared" si="931"/>
        <v>330</v>
      </c>
    </row>
    <row r="338" spans="1:92" hidden="1" outlineLevel="2">
      <c r="A338" s="143"/>
      <c r="B338" s="10" t="s">
        <v>226</v>
      </c>
      <c r="C338" s="14">
        <f t="shared" ref="C338:O338" si="939">C280/C$328</f>
        <v>1.5328754434453027</v>
      </c>
      <c r="D338" s="14">
        <f t="shared" si="939"/>
        <v>1.8553641230971478</v>
      </c>
      <c r="E338" s="14">
        <f t="shared" si="939"/>
        <v>2.0428084418411561</v>
      </c>
      <c r="F338" s="14">
        <f t="shared" si="939"/>
        <v>1.8642181083042773</v>
      </c>
      <c r="G338" s="14">
        <f t="shared" si="939"/>
        <v>2.4245717623379774</v>
      </c>
      <c r="H338" s="14">
        <f t="shared" si="939"/>
        <v>3.4278332968835672</v>
      </c>
      <c r="I338" s="14">
        <f t="shared" si="939"/>
        <v>4.075530045925583</v>
      </c>
      <c r="J338" s="14">
        <f t="shared" si="939"/>
        <v>4.4235833064183483</v>
      </c>
      <c r="K338" s="14">
        <f t="shared" si="939"/>
        <v>4.9800816844470912</v>
      </c>
      <c r="L338" s="14">
        <f t="shared" si="939"/>
        <v>4.3885664994481788</v>
      </c>
      <c r="M338" s="14">
        <f t="shared" si="939"/>
        <v>3.7096014453154829</v>
      </c>
      <c r="N338" s="14">
        <f t="shared" si="939"/>
        <v>4.2102246480190733</v>
      </c>
      <c r="O338" s="14">
        <f t="shared" si="939"/>
        <v>5.3424406888002078</v>
      </c>
      <c r="P338" s="14">
        <f>P280/P$328</f>
        <v>6.7812703232063098</v>
      </c>
      <c r="Q338" s="14">
        <f>Q280/Q$328</f>
        <v>8.3014167256780791</v>
      </c>
      <c r="R338" s="14"/>
      <c r="S338" s="4"/>
      <c r="T338" s="4"/>
      <c r="U338" s="4"/>
      <c r="V338" s="4"/>
      <c r="W338" s="14">
        <f t="shared" ref="W338:BB338" si="940">W280/W$328</f>
        <v>1.0688364108788133</v>
      </c>
      <c r="X338" s="14">
        <f t="shared" si="940"/>
        <v>1.1723667542957901</v>
      </c>
      <c r="Y338" s="14">
        <f t="shared" si="940"/>
        <v>1.2895855577645923</v>
      </c>
      <c r="Z338" s="14">
        <f t="shared" si="940"/>
        <v>1.4094654783489757</v>
      </c>
      <c r="AA338" s="14">
        <f t="shared" si="940"/>
        <v>1.5328754434453027</v>
      </c>
      <c r="AB338" s="14">
        <f t="shared" si="940"/>
        <v>1.6541095696855717</v>
      </c>
      <c r="AC338" s="14">
        <f t="shared" si="940"/>
        <v>1.7476494767119055</v>
      </c>
      <c r="AD338" s="14">
        <f t="shared" si="940"/>
        <v>1.7703996952629719</v>
      </c>
      <c r="AE338" s="14">
        <f t="shared" si="940"/>
        <v>1.8553641230971478</v>
      </c>
      <c r="AF338" s="14">
        <f t="shared" si="940"/>
        <v>1.8683419781388986</v>
      </c>
      <c r="AG338" s="14">
        <f t="shared" si="940"/>
        <v>1.9489173332612082</v>
      </c>
      <c r="AH338" s="14">
        <f t="shared" si="940"/>
        <v>2.0140080958820636</v>
      </c>
      <c r="AI338" s="14">
        <f t="shared" si="940"/>
        <v>2.0428084418411561</v>
      </c>
      <c r="AJ338" s="14">
        <f t="shared" si="940"/>
        <v>2.0292893080284351</v>
      </c>
      <c r="AK338" s="14">
        <f t="shared" si="940"/>
        <v>1.9578271303037234</v>
      </c>
      <c r="AL338" s="14">
        <f t="shared" si="940"/>
        <v>1.8987559756294323</v>
      </c>
      <c r="AM338" s="14">
        <f t="shared" si="940"/>
        <v>1.8642181083042773</v>
      </c>
      <c r="AN338" s="14">
        <f t="shared" si="940"/>
        <v>1.8850337451557746</v>
      </c>
      <c r="AO338" s="14">
        <f t="shared" si="940"/>
        <v>2.0172716001881068</v>
      </c>
      <c r="AP338" s="14">
        <f t="shared" si="940"/>
        <v>2.2061119886238352</v>
      </c>
      <c r="AQ338" s="14">
        <f t="shared" si="940"/>
        <v>2.4245717623379774</v>
      </c>
      <c r="AR338" s="14">
        <f t="shared" si="940"/>
        <v>2.6141408743589665</v>
      </c>
      <c r="AS338" s="14">
        <f t="shared" si="940"/>
        <v>2.9053331513701348</v>
      </c>
      <c r="AT338" s="14">
        <f t="shared" si="940"/>
        <v>3.2311151351341496</v>
      </c>
      <c r="AU338" s="14">
        <f t="shared" si="940"/>
        <v>3.4278332968835672</v>
      </c>
      <c r="AV338" s="14">
        <f t="shared" si="940"/>
        <v>3.6465838547151077</v>
      </c>
      <c r="AW338" s="14">
        <f t="shared" si="940"/>
        <v>3.9016422390516592</v>
      </c>
      <c r="AX338" s="14">
        <f t="shared" si="940"/>
        <v>4.132280791181584</v>
      </c>
      <c r="AY338" s="14">
        <f t="shared" si="940"/>
        <v>4.075530045925583</v>
      </c>
      <c r="AZ338" s="14">
        <f t="shared" si="940"/>
        <v>4.1371651122828812</v>
      </c>
      <c r="BA338" s="14">
        <f t="shared" si="940"/>
        <v>4.1810891883513559</v>
      </c>
      <c r="BB338" s="14">
        <f t="shared" si="940"/>
        <v>4.3231875456537621</v>
      </c>
      <c r="BC338" s="14">
        <f t="shared" ref="BC338:BW338" si="941">BC280/BC$328</f>
        <v>4.4235833064183483</v>
      </c>
      <c r="BD338" s="14">
        <f t="shared" si="941"/>
        <v>4.4703624499643579</v>
      </c>
      <c r="BE338" s="14">
        <f t="shared" si="941"/>
        <v>4.6686057404504808</v>
      </c>
      <c r="BF338" s="14">
        <f t="shared" si="941"/>
        <v>4.8481947421092793</v>
      </c>
      <c r="BG338" s="14">
        <f t="shared" si="941"/>
        <v>4.9800816844470912</v>
      </c>
      <c r="BH338" s="14">
        <f t="shared" si="941"/>
        <v>4.8928912004938523</v>
      </c>
      <c r="BI338" s="14">
        <f t="shared" si="941"/>
        <v>4.7000479222921605</v>
      </c>
      <c r="BJ338" s="14">
        <f t="shared" si="941"/>
        <v>4.5476952993599458</v>
      </c>
      <c r="BK338" s="14">
        <f t="shared" si="941"/>
        <v>4.3885664994481788</v>
      </c>
      <c r="BL338" s="14">
        <f t="shared" si="941"/>
        <v>4.2269917787571174</v>
      </c>
      <c r="BM338" s="14">
        <f t="shared" ref="BM338:BR338" si="942">BM280/BM$328</f>
        <v>4.0175455531652782</v>
      </c>
      <c r="BN338" s="14">
        <f t="shared" si="942"/>
        <v>3.8516104118204133</v>
      </c>
      <c r="BO338" s="14">
        <f t="shared" si="942"/>
        <v>3.7096014453154829</v>
      </c>
      <c r="BP338" s="14">
        <f t="shared" si="942"/>
        <v>3.7095074708446441</v>
      </c>
      <c r="BQ338" s="14">
        <f t="shared" si="942"/>
        <v>3.9029362508741583</v>
      </c>
      <c r="BR338" s="14">
        <f t="shared" si="942"/>
        <v>4.0716102691271452</v>
      </c>
      <c r="BS338" s="14">
        <f>BS280/BS$328</f>
        <v>4.2102246480190733</v>
      </c>
      <c r="BT338" s="14">
        <f t="shared" si="941"/>
        <v>4.3952988396694224</v>
      </c>
      <c r="BU338" s="14">
        <f t="shared" si="941"/>
        <v>4.6997162407630872</v>
      </c>
      <c r="BV338" s="14">
        <f t="shared" si="941"/>
        <v>5.0054365655096236</v>
      </c>
      <c r="BW338" s="14">
        <f t="shared" si="941"/>
        <v>5.3424406888002078</v>
      </c>
      <c r="BX338" s="14">
        <f t="shared" ref="BX338:CE338" si="943">BX280/BX$328</f>
        <v>5.6841459900369236</v>
      </c>
      <c r="BY338" s="14">
        <f t="shared" si="943"/>
        <v>6.0289540165193074</v>
      </c>
      <c r="BZ338" s="14">
        <f t="shared" si="943"/>
        <v>6.3988190437167933</v>
      </c>
      <c r="CA338" s="14">
        <f t="shared" si="943"/>
        <v>6.7812703232063098</v>
      </c>
      <c r="CB338" s="14">
        <f t="shared" si="943"/>
        <v>7.155796815298789</v>
      </c>
      <c r="CC338" s="14">
        <f t="shared" si="943"/>
        <v>7.5328561966475815</v>
      </c>
      <c r="CD338" s="14">
        <f t="shared" si="943"/>
        <v>7.914426149993953</v>
      </c>
      <c r="CE338" s="14">
        <f t="shared" si="943"/>
        <v>8.3014167256780791</v>
      </c>
      <c r="CF338" s="4"/>
      <c r="CG338" s="4"/>
      <c r="CH338" s="4"/>
      <c r="CI338" s="4"/>
      <c r="CJ338" s="4"/>
      <c r="CK338" s="4"/>
      <c r="CL338" s="4"/>
      <c r="CM338" s="4"/>
      <c r="CN338" s="240">
        <f t="shared" si="931"/>
        <v>331</v>
      </c>
    </row>
    <row r="339" spans="1:92" hidden="1" outlineLevel="2">
      <c r="A339" s="143"/>
      <c r="B339" s="10" t="s">
        <v>227</v>
      </c>
      <c r="C339" s="14">
        <f t="shared" ref="C339:O339" si="944">(C280-C265)/C$328</f>
        <v>1.4227263232619145</v>
      </c>
      <c r="D339" s="14">
        <f t="shared" si="944"/>
        <v>1.7461426571337308</v>
      </c>
      <c r="E339" s="14">
        <f t="shared" si="944"/>
        <v>1.9332133910504821</v>
      </c>
      <c r="F339" s="14">
        <f t="shared" si="944"/>
        <v>1.7545962250236828</v>
      </c>
      <c r="G339" s="14">
        <f t="shared" si="944"/>
        <v>2.3161736375270054</v>
      </c>
      <c r="H339" s="14">
        <f t="shared" si="944"/>
        <v>3.3195358224518716</v>
      </c>
      <c r="I339" s="14">
        <f t="shared" si="944"/>
        <v>3.9663349267611352</v>
      </c>
      <c r="J339" s="14">
        <f t="shared" si="944"/>
        <v>4.2780898649618475</v>
      </c>
      <c r="K339" s="14">
        <f t="shared" si="944"/>
        <v>4.8316095974176578</v>
      </c>
      <c r="L339" s="14">
        <f t="shared" si="944"/>
        <v>4.2404039161799423</v>
      </c>
      <c r="M339" s="14">
        <f t="shared" si="944"/>
        <v>3.5617781504590282</v>
      </c>
      <c r="N339" s="14">
        <f t="shared" si="944"/>
        <v>4.0617556693629924</v>
      </c>
      <c r="O339" s="14">
        <f t="shared" si="944"/>
        <v>5.193971710144127</v>
      </c>
      <c r="P339" s="14">
        <f>(P280-P265)/P$328</f>
        <v>6.632801344550229</v>
      </c>
      <c r="Q339" s="14">
        <f>(Q280-Q265)/Q$328</f>
        <v>8.1529477470219973</v>
      </c>
      <c r="R339" s="14"/>
      <c r="S339" s="4"/>
      <c r="T339" s="4"/>
      <c r="U339" s="4"/>
      <c r="V339" s="4"/>
      <c r="W339" s="14">
        <f t="shared" ref="W339:BB339" si="945">(W280-W265)/W$328</f>
        <v>0.95807785221754638</v>
      </c>
      <c r="X339" s="14">
        <f t="shared" si="945"/>
        <v>1.0615544599221642</v>
      </c>
      <c r="Y339" s="14">
        <f t="shared" si="945"/>
        <v>1.1787143787783045</v>
      </c>
      <c r="Z339" s="14">
        <f t="shared" si="945"/>
        <v>1.2985839253726783</v>
      </c>
      <c r="AA339" s="14">
        <f t="shared" si="945"/>
        <v>1.4227263232619145</v>
      </c>
      <c r="AB339" s="14">
        <f t="shared" si="945"/>
        <v>1.5431774863721377</v>
      </c>
      <c r="AC339" s="14">
        <f t="shared" si="945"/>
        <v>1.6366335548535951</v>
      </c>
      <c r="AD339" s="14">
        <f t="shared" si="945"/>
        <v>1.6611433080292766</v>
      </c>
      <c r="AE339" s="14">
        <f t="shared" si="945"/>
        <v>1.7461426571337308</v>
      </c>
      <c r="AF339" s="14">
        <f t="shared" si="945"/>
        <v>1.7597217432075722</v>
      </c>
      <c r="AG339" s="14">
        <f t="shared" si="945"/>
        <v>1.8403103186355716</v>
      </c>
      <c r="AH339" s="14">
        <f t="shared" si="945"/>
        <v>1.9048563966302645</v>
      </c>
      <c r="AI339" s="14">
        <f t="shared" si="945"/>
        <v>1.9332133910504821</v>
      </c>
      <c r="AJ339" s="14">
        <f t="shared" si="945"/>
        <v>1.9196942572377611</v>
      </c>
      <c r="AK339" s="14">
        <f t="shared" si="945"/>
        <v>1.8482320795130496</v>
      </c>
      <c r="AL339" s="14">
        <f t="shared" si="945"/>
        <v>1.7891609248387583</v>
      </c>
      <c r="AM339" s="14">
        <f t="shared" si="945"/>
        <v>1.7545962250236828</v>
      </c>
      <c r="AN339" s="14">
        <f t="shared" si="945"/>
        <v>1.7766849811290213</v>
      </c>
      <c r="AO339" s="14">
        <f t="shared" si="945"/>
        <v>1.908849332514305</v>
      </c>
      <c r="AP339" s="14">
        <f t="shared" si="945"/>
        <v>2.0976919165327899</v>
      </c>
      <c r="AQ339" s="14">
        <f t="shared" si="945"/>
        <v>2.3161736375270054</v>
      </c>
      <c r="AR339" s="14">
        <f t="shared" si="945"/>
        <v>2.5058699497675354</v>
      </c>
      <c r="AS339" s="14">
        <f t="shared" si="945"/>
        <v>2.797021081355465</v>
      </c>
      <c r="AT339" s="14">
        <f t="shared" si="945"/>
        <v>3.1228176607024536</v>
      </c>
      <c r="AU339" s="14">
        <f t="shared" si="945"/>
        <v>3.3195358224518716</v>
      </c>
      <c r="AV339" s="14">
        <f t="shared" si="945"/>
        <v>3.5368170326944992</v>
      </c>
      <c r="AW339" s="14">
        <f t="shared" si="945"/>
        <v>3.7919307075208919</v>
      </c>
      <c r="AX339" s="14">
        <f t="shared" si="945"/>
        <v>4.022628594314634</v>
      </c>
      <c r="AY339" s="14">
        <f t="shared" si="945"/>
        <v>3.9663349267611352</v>
      </c>
      <c r="AZ339" s="14">
        <f t="shared" si="945"/>
        <v>4.0279290348614207</v>
      </c>
      <c r="BA339" s="14">
        <f t="shared" si="945"/>
        <v>4.071254034537465</v>
      </c>
      <c r="BB339" s="14">
        <f t="shared" si="945"/>
        <v>4.2131939371804243</v>
      </c>
      <c r="BC339" s="14">
        <f t="shared" ref="BC339:BW339" si="946">(BC280-BC265)/BC$328</f>
        <v>4.2780898649618475</v>
      </c>
      <c r="BD339" s="14">
        <f t="shared" si="946"/>
        <v>4.3234541499881196</v>
      </c>
      <c r="BE339" s="14">
        <f t="shared" si="946"/>
        <v>4.5216900558873672</v>
      </c>
      <c r="BF339" s="14">
        <f t="shared" si="946"/>
        <v>4.7012790575461647</v>
      </c>
      <c r="BG339" s="14">
        <f t="shared" si="946"/>
        <v>4.8316095974176578</v>
      </c>
      <c r="BH339" s="14">
        <f t="shared" si="946"/>
        <v>4.74478161321976</v>
      </c>
      <c r="BI339" s="14">
        <f t="shared" si="946"/>
        <v>4.551903528739552</v>
      </c>
      <c r="BJ339" s="14">
        <f t="shared" si="946"/>
        <v>4.399547492546529</v>
      </c>
      <c r="BK339" s="14">
        <f t="shared" si="946"/>
        <v>4.2404039161799423</v>
      </c>
      <c r="BL339" s="14">
        <f t="shared" si="946"/>
        <v>4.0792483697675168</v>
      </c>
      <c r="BM339" s="14">
        <f t="shared" ref="BM339:BR339" si="947">(BM280-BM265)/BM$328</f>
        <v>3.8697620754959821</v>
      </c>
      <c r="BN339" s="14">
        <f t="shared" si="947"/>
        <v>3.703809269866956</v>
      </c>
      <c r="BO339" s="14">
        <f t="shared" si="947"/>
        <v>3.5617781504590282</v>
      </c>
      <c r="BP339" s="14">
        <f t="shared" si="947"/>
        <v>3.5618359950944591</v>
      </c>
      <c r="BQ339" s="14">
        <f t="shared" si="947"/>
        <v>3.7550195075269612</v>
      </c>
      <c r="BR339" s="14">
        <f t="shared" si="947"/>
        <v>3.9231702568434224</v>
      </c>
      <c r="BS339" s="14">
        <f>(BS280-BS265)/BS$328</f>
        <v>4.0617556693629924</v>
      </c>
      <c r="BT339" s="14">
        <f t="shared" si="946"/>
        <v>4.2468298610133415</v>
      </c>
      <c r="BU339" s="14">
        <f t="shared" si="946"/>
        <v>4.5512472621070064</v>
      </c>
      <c r="BV339" s="14">
        <f t="shared" si="946"/>
        <v>4.8569675868535418</v>
      </c>
      <c r="BW339" s="14">
        <f t="shared" si="946"/>
        <v>5.193971710144127</v>
      </c>
      <c r="BX339" s="14">
        <f t="shared" ref="BX339:CE339" si="948">(BX280-BX265)/BX$328</f>
        <v>5.5356770113808418</v>
      </c>
      <c r="BY339" s="14">
        <f t="shared" si="948"/>
        <v>5.8804850378632265</v>
      </c>
      <c r="BZ339" s="14">
        <f t="shared" si="948"/>
        <v>6.2503500650607116</v>
      </c>
      <c r="CA339" s="14">
        <f t="shared" si="948"/>
        <v>6.632801344550229</v>
      </c>
      <c r="CB339" s="14">
        <f t="shared" si="948"/>
        <v>7.0073278366427072</v>
      </c>
      <c r="CC339" s="14">
        <f t="shared" si="948"/>
        <v>7.3843872179915007</v>
      </c>
      <c r="CD339" s="14">
        <f t="shared" si="948"/>
        <v>7.7659571713378721</v>
      </c>
      <c r="CE339" s="14">
        <f t="shared" si="948"/>
        <v>8.1529477470219973</v>
      </c>
      <c r="CF339" s="4"/>
      <c r="CG339" s="4"/>
      <c r="CH339" s="4"/>
      <c r="CI339" s="4"/>
      <c r="CJ339" s="4"/>
      <c r="CK339" s="4"/>
      <c r="CL339" s="4"/>
      <c r="CM339" s="4"/>
      <c r="CN339" s="240">
        <f t="shared" si="931"/>
        <v>332</v>
      </c>
    </row>
    <row r="340" spans="1:92" hidden="1" outlineLevel="2">
      <c r="A340" s="143"/>
      <c r="B340" s="21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152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240">
        <f t="shared" si="931"/>
        <v>333</v>
      </c>
    </row>
    <row r="341" spans="1:92" outlineLevel="1" collapsed="1">
      <c r="A341" s="146" t="s">
        <v>33</v>
      </c>
      <c r="B341" s="99" t="s">
        <v>217</v>
      </c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83"/>
      <c r="BG341" s="83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240">
        <f t="shared" si="931"/>
        <v>334</v>
      </c>
    </row>
    <row r="342" spans="1:92" ht="12.75" hidden="1" customHeight="1" outlineLevel="2">
      <c r="A342" s="143"/>
      <c r="B342" s="10" t="s">
        <v>189</v>
      </c>
      <c r="C342" s="56">
        <f t="shared" ref="C342:O342" si="949">SUM(C257:C260,C264:C266)-SUM(C270:C271,C275:C276)</f>
        <v>377.34299999999996</v>
      </c>
      <c r="D342" s="56">
        <f t="shared" si="949"/>
        <v>563.86099999999988</v>
      </c>
      <c r="E342" s="56">
        <f t="shared" si="949"/>
        <v>631.67399999999998</v>
      </c>
      <c r="F342" s="56">
        <f t="shared" si="949"/>
        <v>510.18099999999998</v>
      </c>
      <c r="G342" s="56">
        <f t="shared" si="949"/>
        <v>669.50700000000006</v>
      </c>
      <c r="H342" s="56">
        <f t="shared" si="949"/>
        <v>982.94399999999996</v>
      </c>
      <c r="I342" s="56">
        <f t="shared" si="949"/>
        <v>1018.612</v>
      </c>
      <c r="J342" s="56">
        <f t="shared" si="949"/>
        <v>1035.268</v>
      </c>
      <c r="K342" s="56">
        <f t="shared" si="949"/>
        <v>1327.509</v>
      </c>
      <c r="L342" s="56">
        <f t="shared" si="949"/>
        <v>920.09400000000039</v>
      </c>
      <c r="M342" s="56">
        <f t="shared" si="949"/>
        <v>707.82799999999997</v>
      </c>
      <c r="N342" s="56">
        <f t="shared" si="949"/>
        <v>856.28199999999993</v>
      </c>
      <c r="O342" s="56">
        <f t="shared" si="949"/>
        <v>1018.3772078070514</v>
      </c>
      <c r="P342" s="56">
        <f>SUM(P257:P260,P264:P266)-SUM(P270:P271,P275:P276)</f>
        <v>1257.0441501854525</v>
      </c>
      <c r="Q342" s="56">
        <f>SUM(Q257:Q260,Q264:Q266)-SUM(Q270:Q271,Q275:Q276)</f>
        <v>1257.0465303673695</v>
      </c>
      <c r="R342" s="56"/>
      <c r="S342" s="4"/>
      <c r="T342" s="56"/>
      <c r="U342" s="56"/>
      <c r="V342" s="56"/>
      <c r="W342" s="56">
        <f t="shared" ref="W342:BB342" si="950">SUM(W257:W260,W264:W266)-SUM(W270:W271,W275:W276)</f>
        <v>233.30599999999993</v>
      </c>
      <c r="X342" s="56">
        <f t="shared" si="950"/>
        <v>259.31</v>
      </c>
      <c r="Y342" s="56">
        <f t="shared" si="950"/>
        <v>289.34500000000003</v>
      </c>
      <c r="Z342" s="56">
        <f t="shared" si="950"/>
        <v>318.20699999999999</v>
      </c>
      <c r="AA342" s="56">
        <f t="shared" si="950"/>
        <v>377.34299999999996</v>
      </c>
      <c r="AB342" s="56">
        <f t="shared" si="950"/>
        <v>439.95599999999996</v>
      </c>
      <c r="AC342" s="56">
        <f t="shared" si="950"/>
        <v>505.21199999999999</v>
      </c>
      <c r="AD342" s="56">
        <f t="shared" si="950"/>
        <v>535.42099999999994</v>
      </c>
      <c r="AE342" s="56">
        <f t="shared" si="950"/>
        <v>563.86099999999988</v>
      </c>
      <c r="AF342" s="56">
        <f t="shared" si="950"/>
        <v>577.04599999999994</v>
      </c>
      <c r="AG342" s="56">
        <f t="shared" si="950"/>
        <v>611.18899999999996</v>
      </c>
      <c r="AH342" s="56">
        <f t="shared" si="950"/>
        <v>632.03199999999993</v>
      </c>
      <c r="AI342" s="56">
        <f t="shared" si="950"/>
        <v>631.67399999999998</v>
      </c>
      <c r="AJ342" s="56">
        <f t="shared" si="950"/>
        <v>588.33399999999995</v>
      </c>
      <c r="AK342" s="56">
        <f t="shared" si="950"/>
        <v>564.01199999999994</v>
      </c>
      <c r="AL342" s="56">
        <f t="shared" si="950"/>
        <v>529.75900000000001</v>
      </c>
      <c r="AM342" s="56">
        <f t="shared" si="950"/>
        <v>510.18099999999998</v>
      </c>
      <c r="AN342" s="56">
        <f t="shared" si="950"/>
        <v>545.11299999999994</v>
      </c>
      <c r="AO342" s="56">
        <f t="shared" si="950"/>
        <v>560.36400000000003</v>
      </c>
      <c r="AP342" s="56">
        <f t="shared" si="950"/>
        <v>610.60899999999992</v>
      </c>
      <c r="AQ342" s="56">
        <f t="shared" si="950"/>
        <v>669.50700000000006</v>
      </c>
      <c r="AR342" s="56">
        <f t="shared" si="950"/>
        <v>738.53200000000004</v>
      </c>
      <c r="AS342" s="56">
        <f t="shared" si="950"/>
        <v>831.10900000000015</v>
      </c>
      <c r="AT342" s="56">
        <f t="shared" si="950"/>
        <v>871.08900000000017</v>
      </c>
      <c r="AU342" s="56">
        <f t="shared" si="950"/>
        <v>982.94399999999996</v>
      </c>
      <c r="AV342" s="56">
        <f t="shared" si="950"/>
        <v>997.88200000000018</v>
      </c>
      <c r="AW342" s="56">
        <f t="shared" si="950"/>
        <v>1031.5200000000002</v>
      </c>
      <c r="AX342" s="56">
        <f t="shared" si="950"/>
        <v>1003.0840000000002</v>
      </c>
      <c r="AY342" s="56">
        <f t="shared" si="950"/>
        <v>1018.612</v>
      </c>
      <c r="AZ342" s="56">
        <f t="shared" si="950"/>
        <v>1017.6040000000002</v>
      </c>
      <c r="BA342" s="56">
        <f t="shared" si="950"/>
        <v>1001.1540000000002</v>
      </c>
      <c r="BB342" s="56">
        <f t="shared" si="950"/>
        <v>1003.49</v>
      </c>
      <c r="BC342" s="56">
        <f t="shared" ref="BC342:BW342" si="951">SUM(BC257:BC260,BC264:BC266)-SUM(BC270:BC271,BC275:BC276)</f>
        <v>1035.268</v>
      </c>
      <c r="BD342" s="56">
        <f t="shared" si="951"/>
        <v>1037.048</v>
      </c>
      <c r="BE342" s="56">
        <f t="shared" si="951"/>
        <v>1153.748</v>
      </c>
      <c r="BF342" s="56">
        <f t="shared" si="951"/>
        <v>1227.2090000000003</v>
      </c>
      <c r="BG342" s="56">
        <f t="shared" si="951"/>
        <v>1327.509</v>
      </c>
      <c r="BH342" s="56">
        <f t="shared" si="951"/>
        <v>1236.7800000000002</v>
      </c>
      <c r="BI342" s="56">
        <f t="shared" si="951"/>
        <v>1095.0650000000001</v>
      </c>
      <c r="BJ342" s="56">
        <f t="shared" si="951"/>
        <v>1032.5619999999999</v>
      </c>
      <c r="BK342" s="56">
        <f t="shared" si="951"/>
        <v>920.09400000000039</v>
      </c>
      <c r="BL342" s="56">
        <f t="shared" si="951"/>
        <v>843.59099999999989</v>
      </c>
      <c r="BM342" s="56">
        <f t="shared" ref="BM342:BR342" si="952">SUM(BM257:BM260,BM264:BM266)-SUM(BM270:BM271,BM275:BM276)</f>
        <v>765.17499999999995</v>
      </c>
      <c r="BN342" s="56">
        <f t="shared" si="952"/>
        <v>729.01200000000006</v>
      </c>
      <c r="BO342" s="56">
        <f t="shared" si="952"/>
        <v>707.82799999999997</v>
      </c>
      <c r="BP342" s="56">
        <f t="shared" si="952"/>
        <v>736.74699999999996</v>
      </c>
      <c r="BQ342" s="56">
        <f t="shared" si="952"/>
        <v>757.41700000000003</v>
      </c>
      <c r="BR342" s="56">
        <f t="shared" si="952"/>
        <v>779.89599999999996</v>
      </c>
      <c r="BS342" s="56">
        <f>SUM(BS257:BS260,BS264:BS266)-SUM(BS270:BS271,BS275:BS276)</f>
        <v>856.28199999999993</v>
      </c>
      <c r="BT342" s="56">
        <f t="shared" si="951"/>
        <v>862.82077044202822</v>
      </c>
      <c r="BU342" s="56">
        <f t="shared" si="951"/>
        <v>968.62434245919326</v>
      </c>
      <c r="BV342" s="56">
        <f t="shared" si="951"/>
        <v>1002.1059853621483</v>
      </c>
      <c r="BW342" s="56">
        <f t="shared" si="951"/>
        <v>1018.3772078070514</v>
      </c>
      <c r="BX342" s="56">
        <f t="shared" ref="BX342:CE342" si="953">SUM(BX257:BX260,BX264:BX266)-SUM(BX270:BX271,BX275:BX276)</f>
        <v>1023.4354053077541</v>
      </c>
      <c r="BY342" s="56">
        <f t="shared" si="953"/>
        <v>1026.8825410096097</v>
      </c>
      <c r="BZ342" s="56">
        <f t="shared" si="953"/>
        <v>1137.8856000816336</v>
      </c>
      <c r="CA342" s="56">
        <f t="shared" si="953"/>
        <v>1257.0441501854525</v>
      </c>
      <c r="CB342" s="56">
        <f t="shared" si="953"/>
        <v>1266.0373386614588</v>
      </c>
      <c r="CC342" s="56">
        <f t="shared" si="953"/>
        <v>1261.6370660734592</v>
      </c>
      <c r="CD342" s="56">
        <f t="shared" si="953"/>
        <v>1258.7582920654827</v>
      </c>
      <c r="CE342" s="56">
        <f t="shared" si="953"/>
        <v>1257.0465303673695</v>
      </c>
      <c r="CF342" s="4"/>
      <c r="CG342" s="4"/>
      <c r="CH342" s="4"/>
      <c r="CI342" s="4"/>
      <c r="CJ342" s="4"/>
      <c r="CK342" s="4"/>
      <c r="CL342" s="4"/>
      <c r="CM342" s="4"/>
      <c r="CN342" s="240">
        <f t="shared" si="931"/>
        <v>335</v>
      </c>
    </row>
    <row r="343" spans="1:92" hidden="1" outlineLevel="2">
      <c r="A343" s="146"/>
      <c r="B343" s="84" t="s">
        <v>218</v>
      </c>
      <c r="C343" s="56">
        <f t="shared" ref="C343:O343" si="954">+SUM(C256)-SUM(C273:C274,C277:C279)</f>
        <v>-377.34300000000002</v>
      </c>
      <c r="D343" s="56">
        <f t="shared" si="954"/>
        <v>-563.86099999999999</v>
      </c>
      <c r="E343" s="56">
        <f t="shared" si="954"/>
        <v>-631.67399999999986</v>
      </c>
      <c r="F343" s="56">
        <f t="shared" si="954"/>
        <v>-510.18099999999998</v>
      </c>
      <c r="G343" s="56">
        <f t="shared" si="954"/>
        <v>-669.50699999999995</v>
      </c>
      <c r="H343" s="56">
        <f t="shared" si="954"/>
        <v>-982.94399999999996</v>
      </c>
      <c r="I343" s="56">
        <f t="shared" si="954"/>
        <v>-1018.6120000000001</v>
      </c>
      <c r="J343" s="56">
        <f t="shared" si="954"/>
        <v>-1035.268</v>
      </c>
      <c r="K343" s="56">
        <f t="shared" si="954"/>
        <v>-1327.509</v>
      </c>
      <c r="L343" s="56">
        <f t="shared" si="954"/>
        <v>-920.09399999999994</v>
      </c>
      <c r="M343" s="56">
        <f t="shared" si="954"/>
        <v>-707.82800000000009</v>
      </c>
      <c r="N343" s="56">
        <f t="shared" si="954"/>
        <v>-856.28200000000004</v>
      </c>
      <c r="O343" s="56">
        <f t="shared" si="954"/>
        <v>-1018.3772078070511</v>
      </c>
      <c r="P343" s="56">
        <f>+SUM(P256)-SUM(P273:P274,P277:P279)</f>
        <v>-1257.0441501854534</v>
      </c>
      <c r="Q343" s="56">
        <f>+SUM(Q256)-SUM(Q273:Q274,Q277:Q279)</f>
        <v>-1257.0465303673711</v>
      </c>
      <c r="R343" s="56"/>
      <c r="S343" s="4"/>
      <c r="T343" s="56"/>
      <c r="U343" s="56"/>
      <c r="V343" s="56"/>
      <c r="W343" s="56">
        <f t="shared" ref="W343:BB343" si="955">+SUM(W256)-SUM(W273:W274,W277:W279)</f>
        <v>-233.30600000000001</v>
      </c>
      <c r="X343" s="56">
        <f t="shared" si="955"/>
        <v>-259.31</v>
      </c>
      <c r="Y343" s="56">
        <f t="shared" si="955"/>
        <v>-289.34500000000003</v>
      </c>
      <c r="Z343" s="56">
        <f t="shared" si="955"/>
        <v>-318.20699999999999</v>
      </c>
      <c r="AA343" s="56">
        <f t="shared" si="955"/>
        <v>-377.34300000000002</v>
      </c>
      <c r="AB343" s="56">
        <f t="shared" si="955"/>
        <v>-439.95599999999996</v>
      </c>
      <c r="AC343" s="56">
        <f t="shared" si="955"/>
        <v>-505.21199999999993</v>
      </c>
      <c r="AD343" s="56">
        <f t="shared" si="955"/>
        <v>-535.42099999999994</v>
      </c>
      <c r="AE343" s="56">
        <f t="shared" si="955"/>
        <v>-563.86099999999999</v>
      </c>
      <c r="AF343" s="56">
        <f t="shared" si="955"/>
        <v>-577.04600000000005</v>
      </c>
      <c r="AG343" s="56">
        <f t="shared" si="955"/>
        <v>-611.18899999999996</v>
      </c>
      <c r="AH343" s="56">
        <f t="shared" si="955"/>
        <v>-632.03200000000004</v>
      </c>
      <c r="AI343" s="56">
        <f t="shared" si="955"/>
        <v>-631.67399999999986</v>
      </c>
      <c r="AJ343" s="56">
        <f t="shared" si="955"/>
        <v>-588.33399999999995</v>
      </c>
      <c r="AK343" s="56">
        <f t="shared" si="955"/>
        <v>-564.01199999999994</v>
      </c>
      <c r="AL343" s="56">
        <f t="shared" si="955"/>
        <v>-529.7589999999999</v>
      </c>
      <c r="AM343" s="56">
        <f t="shared" si="955"/>
        <v>-510.18099999999998</v>
      </c>
      <c r="AN343" s="56">
        <f t="shared" si="955"/>
        <v>-545.11299999999994</v>
      </c>
      <c r="AO343" s="56">
        <f t="shared" si="955"/>
        <v>-560.36400000000003</v>
      </c>
      <c r="AP343" s="56">
        <f t="shared" si="955"/>
        <v>-610.60899999999992</v>
      </c>
      <c r="AQ343" s="56">
        <f t="shared" si="955"/>
        <v>-669.50699999999995</v>
      </c>
      <c r="AR343" s="56">
        <f t="shared" si="955"/>
        <v>-738.53200000000004</v>
      </c>
      <c r="AS343" s="56">
        <f t="shared" si="955"/>
        <v>-831.10900000000004</v>
      </c>
      <c r="AT343" s="56">
        <f t="shared" si="955"/>
        <v>-871.08900000000006</v>
      </c>
      <c r="AU343" s="56">
        <f t="shared" si="955"/>
        <v>-982.94399999999996</v>
      </c>
      <c r="AV343" s="56">
        <f t="shared" si="955"/>
        <v>-997.88200000000006</v>
      </c>
      <c r="AW343" s="56">
        <f t="shared" si="955"/>
        <v>-1031.5199999999998</v>
      </c>
      <c r="AX343" s="56">
        <f t="shared" si="955"/>
        <v>-1003.0839999999998</v>
      </c>
      <c r="AY343" s="56">
        <f t="shared" si="955"/>
        <v>-1018.6120000000001</v>
      </c>
      <c r="AZ343" s="56">
        <f t="shared" si="955"/>
        <v>-1017.6040000000002</v>
      </c>
      <c r="BA343" s="56">
        <f t="shared" si="955"/>
        <v>-1001.154</v>
      </c>
      <c r="BB343" s="56">
        <f t="shared" si="955"/>
        <v>-1003.4899999999999</v>
      </c>
      <c r="BC343" s="56">
        <f t="shared" ref="BC343:BW343" si="956">+SUM(BC256)-SUM(BC273:BC274,BC277:BC279)</f>
        <v>-1035.268</v>
      </c>
      <c r="BD343" s="56">
        <f t="shared" si="956"/>
        <v>-1037.048</v>
      </c>
      <c r="BE343" s="56">
        <f t="shared" si="956"/>
        <v>-1153.748</v>
      </c>
      <c r="BF343" s="56">
        <f t="shared" si="956"/>
        <v>-1227.2090000000001</v>
      </c>
      <c r="BG343" s="56">
        <f t="shared" si="956"/>
        <v>-1327.509</v>
      </c>
      <c r="BH343" s="56">
        <f t="shared" si="956"/>
        <v>-1236.7799999999997</v>
      </c>
      <c r="BI343" s="56">
        <f t="shared" si="956"/>
        <v>-1095.0650000000001</v>
      </c>
      <c r="BJ343" s="56">
        <f t="shared" si="956"/>
        <v>-1032.5619999999999</v>
      </c>
      <c r="BK343" s="56">
        <f t="shared" si="956"/>
        <v>-920.09399999999994</v>
      </c>
      <c r="BL343" s="56">
        <f t="shared" si="956"/>
        <v>-843.59100000000001</v>
      </c>
      <c r="BM343" s="56">
        <f t="shared" ref="BM343:BR343" si="957">+SUM(BM256)-SUM(BM273:BM274,BM277:BM279)</f>
        <v>-765.17499999999984</v>
      </c>
      <c r="BN343" s="56">
        <f t="shared" si="957"/>
        <v>-729.01200000000006</v>
      </c>
      <c r="BO343" s="56">
        <f t="shared" si="957"/>
        <v>-707.82800000000009</v>
      </c>
      <c r="BP343" s="56">
        <f t="shared" si="957"/>
        <v>-736.74699999999984</v>
      </c>
      <c r="BQ343" s="56">
        <f t="shared" si="957"/>
        <v>-757.41700000000003</v>
      </c>
      <c r="BR343" s="56">
        <f t="shared" si="957"/>
        <v>-779.89600000000007</v>
      </c>
      <c r="BS343" s="56">
        <f>+SUM(BS256)-SUM(BS273:BS274,BS277:BS279)</f>
        <v>-856.28200000000004</v>
      </c>
      <c r="BT343" s="56">
        <f t="shared" si="956"/>
        <v>-862.82077044202788</v>
      </c>
      <c r="BU343" s="56">
        <f t="shared" si="956"/>
        <v>-968.62434245919269</v>
      </c>
      <c r="BV343" s="56">
        <f t="shared" si="956"/>
        <v>-1002.105985362148</v>
      </c>
      <c r="BW343" s="56">
        <f t="shared" si="956"/>
        <v>-1018.3772078070511</v>
      </c>
      <c r="BX343" s="56">
        <f t="shared" ref="BX343:CE343" si="958">+SUM(BX256)-SUM(BX273:BX274,BX277:BX279)</f>
        <v>-1023.4354053077541</v>
      </c>
      <c r="BY343" s="56">
        <f t="shared" si="958"/>
        <v>-1026.8825410096099</v>
      </c>
      <c r="BZ343" s="56">
        <f t="shared" si="958"/>
        <v>-1137.8856000816345</v>
      </c>
      <c r="CA343" s="56">
        <f t="shared" si="958"/>
        <v>-1257.0441501854534</v>
      </c>
      <c r="CB343" s="56">
        <f t="shared" si="958"/>
        <v>-1266.0373386614594</v>
      </c>
      <c r="CC343" s="56">
        <f t="shared" si="958"/>
        <v>-1261.6370660734603</v>
      </c>
      <c r="CD343" s="56">
        <f t="shared" si="958"/>
        <v>-1258.7582920654841</v>
      </c>
      <c r="CE343" s="56">
        <f t="shared" si="958"/>
        <v>-1257.0465303673711</v>
      </c>
      <c r="CF343" s="4"/>
      <c r="CG343" s="4"/>
      <c r="CH343" s="4"/>
      <c r="CI343" s="4"/>
      <c r="CJ343" s="4"/>
      <c r="CK343" s="4"/>
      <c r="CL343" s="4"/>
      <c r="CM343" s="4"/>
      <c r="CN343" s="240">
        <f t="shared" si="931"/>
        <v>336</v>
      </c>
    </row>
    <row r="344" spans="1:92" ht="12.75" hidden="1" customHeight="1" outlineLevel="2">
      <c r="A344" s="143"/>
      <c r="B344" s="10" t="s">
        <v>145</v>
      </c>
      <c r="C344" s="56">
        <f t="shared" ref="C344:Q344" si="959">C25</f>
        <v>171.83100000000002</v>
      </c>
      <c r="D344" s="56">
        <f t="shared" si="959"/>
        <v>135.745</v>
      </c>
      <c r="E344" s="56">
        <f t="shared" si="959"/>
        <v>137.803</v>
      </c>
      <c r="F344" s="56">
        <f t="shared" si="959"/>
        <v>-34.194999999999993</v>
      </c>
      <c r="G344" s="56">
        <f t="shared" si="959"/>
        <v>235.08699999999999</v>
      </c>
      <c r="H344" s="56">
        <f t="shared" si="959"/>
        <v>488.43499999999989</v>
      </c>
      <c r="I344" s="56">
        <f t="shared" si="959"/>
        <v>448.5859999999999</v>
      </c>
      <c r="J344" s="56">
        <f t="shared" si="959"/>
        <v>284.78399999999993</v>
      </c>
      <c r="K344" s="56">
        <f t="shared" si="959"/>
        <v>415.44200000000001</v>
      </c>
      <c r="L344" s="56">
        <f t="shared" si="959"/>
        <v>-148.82999999999998</v>
      </c>
      <c r="M344" s="56">
        <f t="shared" si="959"/>
        <v>-244.86199999999999</v>
      </c>
      <c r="N344" s="56">
        <f t="shared" si="959"/>
        <v>221.68700000000001</v>
      </c>
      <c r="O344" s="56">
        <f t="shared" si="959"/>
        <v>443.75577504320188</v>
      </c>
      <c r="P344" s="56">
        <f t="shared" si="959"/>
        <v>549.74730549423816</v>
      </c>
      <c r="Q344" s="56">
        <f t="shared" si="959"/>
        <v>570.94574690327397</v>
      </c>
      <c r="R344" s="56"/>
      <c r="S344" s="4"/>
      <c r="T344" s="56">
        <f t="shared" ref="T344:AY344" si="960">T25</f>
        <v>14.233000000000001</v>
      </c>
      <c r="U344" s="56">
        <f t="shared" si="960"/>
        <v>18.404</v>
      </c>
      <c r="V344" s="56">
        <f t="shared" si="960"/>
        <v>25.514000000000003</v>
      </c>
      <c r="W344" s="56">
        <f t="shared" si="960"/>
        <v>27.321999999999999</v>
      </c>
      <c r="X344" s="56">
        <f t="shared" si="960"/>
        <v>39.516999999999996</v>
      </c>
      <c r="Y344" s="56">
        <f t="shared" si="960"/>
        <v>44.35</v>
      </c>
      <c r="Z344" s="56">
        <f t="shared" si="960"/>
        <v>46.625</v>
      </c>
      <c r="AA344" s="56">
        <f t="shared" si="960"/>
        <v>47.308</v>
      </c>
      <c r="AB344" s="56">
        <f t="shared" si="960"/>
        <v>43.984999999999999</v>
      </c>
      <c r="AC344" s="56">
        <f t="shared" si="960"/>
        <v>38.704999999999998</v>
      </c>
      <c r="AD344" s="56">
        <f t="shared" si="960"/>
        <v>24.663</v>
      </c>
      <c r="AE344" s="56">
        <f t="shared" si="960"/>
        <v>34.685000000000002</v>
      </c>
      <c r="AF344" s="56">
        <f t="shared" si="960"/>
        <v>25.441000000000003</v>
      </c>
      <c r="AG344" s="56">
        <f t="shared" si="960"/>
        <v>37.799999999999997</v>
      </c>
      <c r="AH344" s="56">
        <f t="shared" si="960"/>
        <v>44.231999999999992</v>
      </c>
      <c r="AI344" s="56">
        <f t="shared" si="960"/>
        <v>36.697000000000003</v>
      </c>
      <c r="AJ344" s="56">
        <f t="shared" si="960"/>
        <v>8.3970000000000002</v>
      </c>
      <c r="AK344" s="56">
        <f t="shared" si="960"/>
        <v>-19.497999999999998</v>
      </c>
      <c r="AL344" s="56">
        <f t="shared" si="960"/>
        <v>-14.907</v>
      </c>
      <c r="AM344" s="56">
        <f t="shared" si="960"/>
        <v>-7.0439999999999996</v>
      </c>
      <c r="AN344" s="56">
        <f t="shared" si="960"/>
        <v>22.567999999999998</v>
      </c>
      <c r="AO344" s="56">
        <f t="shared" si="960"/>
        <v>52.089000000000006</v>
      </c>
      <c r="AP344" s="56">
        <f t="shared" si="960"/>
        <v>74.39</v>
      </c>
      <c r="AQ344" s="56">
        <f t="shared" si="960"/>
        <v>89.798000000000002</v>
      </c>
      <c r="AR344" s="56">
        <f t="shared" si="960"/>
        <v>106.32599999999999</v>
      </c>
      <c r="AS344" s="56">
        <f t="shared" si="960"/>
        <v>119.267</v>
      </c>
      <c r="AT344" s="56">
        <f t="shared" si="960"/>
        <v>138.63299999999998</v>
      </c>
      <c r="AU344" s="56">
        <f t="shared" si="960"/>
        <v>123.17499999999998</v>
      </c>
      <c r="AV344" s="56">
        <f t="shared" si="960"/>
        <v>132.26100000000002</v>
      </c>
      <c r="AW344" s="56">
        <f t="shared" si="960"/>
        <v>119.85799999999999</v>
      </c>
      <c r="AX344" s="56">
        <f t="shared" si="960"/>
        <v>102.36799999999999</v>
      </c>
      <c r="AY344" s="56">
        <f t="shared" si="960"/>
        <v>89.307000000000002</v>
      </c>
      <c r="AZ344" s="56">
        <f t="shared" ref="AZ344:CE344" si="961">AZ25</f>
        <v>57.219000000000001</v>
      </c>
      <c r="BA344" s="56">
        <f t="shared" si="961"/>
        <v>67.853000000000009</v>
      </c>
      <c r="BB344" s="56">
        <f t="shared" si="961"/>
        <v>85.839000000000013</v>
      </c>
      <c r="BC344" s="56">
        <f t="shared" si="961"/>
        <v>64.501999999999981</v>
      </c>
      <c r="BD344" s="56">
        <f t="shared" si="961"/>
        <v>65.231999999999999</v>
      </c>
      <c r="BE344" s="56">
        <f t="shared" si="961"/>
        <v>103.03100000000001</v>
      </c>
      <c r="BF344" s="56">
        <f t="shared" si="961"/>
        <v>106.661</v>
      </c>
      <c r="BG344" s="56">
        <f t="shared" si="961"/>
        <v>125.04600000000001</v>
      </c>
      <c r="BH344" s="56">
        <f t="shared" si="961"/>
        <v>6.17</v>
      </c>
      <c r="BI344" s="56">
        <f t="shared" si="961"/>
        <v>-52.536999999999992</v>
      </c>
      <c r="BJ344" s="56">
        <f t="shared" si="961"/>
        <v>-51.475000000000001</v>
      </c>
      <c r="BK344" s="56">
        <f t="shared" si="961"/>
        <v>-57.405000000000001</v>
      </c>
      <c r="BL344" s="56">
        <f t="shared" si="961"/>
        <v>-73.087000000000003</v>
      </c>
      <c r="BM344" s="56">
        <f t="shared" si="961"/>
        <v>-75.221999999999994</v>
      </c>
      <c r="BN344" s="56">
        <f t="shared" si="961"/>
        <v>-56.417000000000002</v>
      </c>
      <c r="BO344" s="56">
        <f t="shared" si="961"/>
        <v>-32.216000000000001</v>
      </c>
      <c r="BP344" s="56">
        <f t="shared" si="961"/>
        <v>1.5739999999999998</v>
      </c>
      <c r="BQ344" s="56">
        <f t="shared" si="961"/>
        <v>67.001999999999995</v>
      </c>
      <c r="BR344" s="56">
        <f t="shared" si="961"/>
        <v>97.357000000000014</v>
      </c>
      <c r="BS344" s="56">
        <f t="shared" si="961"/>
        <v>60.284000000000006</v>
      </c>
      <c r="BT344" s="56">
        <f t="shared" si="961"/>
        <v>76.77066730843427</v>
      </c>
      <c r="BU344" s="56">
        <f t="shared" si="961"/>
        <v>110.00230846664392</v>
      </c>
      <c r="BV344" s="56">
        <f t="shared" si="961"/>
        <v>121.67857277256761</v>
      </c>
      <c r="BW344" s="56">
        <f t="shared" si="961"/>
        <v>130.30822649555614</v>
      </c>
      <c r="BX344" s="56">
        <f t="shared" si="961"/>
        <v>131.42875464743733</v>
      </c>
      <c r="BY344" s="56">
        <f t="shared" si="961"/>
        <v>132.06102097573452</v>
      </c>
      <c r="BZ344" s="56">
        <f t="shared" si="961"/>
        <v>138.81978263054805</v>
      </c>
      <c r="CA344" s="56">
        <f t="shared" si="961"/>
        <v>142.44174724051837</v>
      </c>
      <c r="CB344" s="56">
        <f t="shared" si="961"/>
        <v>140.35118572465177</v>
      </c>
      <c r="CC344" s="56">
        <f t="shared" si="961"/>
        <v>140.81343479741781</v>
      </c>
      <c r="CD344" s="56">
        <f t="shared" si="961"/>
        <v>141.78080953512648</v>
      </c>
      <c r="CE344" s="56">
        <f t="shared" si="961"/>
        <v>143.00431684607784</v>
      </c>
      <c r="CF344" s="4"/>
      <c r="CG344" s="4"/>
      <c r="CH344" s="4"/>
      <c r="CI344" s="4"/>
      <c r="CJ344" s="4"/>
      <c r="CK344" s="4"/>
      <c r="CL344" s="4"/>
      <c r="CM344" s="4"/>
      <c r="CN344" s="240">
        <f t="shared" si="931"/>
        <v>337</v>
      </c>
    </row>
    <row r="345" spans="1:92" ht="12.75" hidden="1" customHeight="1" outlineLevel="2">
      <c r="A345" s="143"/>
      <c r="B345" s="10" t="s">
        <v>190</v>
      </c>
      <c r="C345" s="56">
        <f t="shared" ref="C345:P345" si="962">C344*(1-C380)</f>
        <v>107.39437500000001</v>
      </c>
      <c r="D345" s="56">
        <f t="shared" si="962"/>
        <v>84.840625000000003</v>
      </c>
      <c r="E345" s="56">
        <f t="shared" si="962"/>
        <v>86.126874999999998</v>
      </c>
      <c r="F345" s="56">
        <f t="shared" si="962"/>
        <v>-21.371874999999996</v>
      </c>
      <c r="G345" s="56">
        <f t="shared" si="962"/>
        <v>146.92937499999999</v>
      </c>
      <c r="H345" s="56">
        <f t="shared" si="962"/>
        <v>305.27187499999991</v>
      </c>
      <c r="I345" s="56">
        <f t="shared" si="962"/>
        <v>280.36624999999992</v>
      </c>
      <c r="J345" s="56">
        <f t="shared" si="962"/>
        <v>177.98999999999995</v>
      </c>
      <c r="K345" s="56">
        <f t="shared" si="962"/>
        <v>259.65125</v>
      </c>
      <c r="L345" s="56">
        <f t="shared" si="962"/>
        <v>-93.018749999999983</v>
      </c>
      <c r="M345" s="56">
        <f t="shared" si="962"/>
        <v>-153.03874999999999</v>
      </c>
      <c r="N345" s="56">
        <f t="shared" si="962"/>
        <v>138.55437499999999</v>
      </c>
      <c r="O345" s="56">
        <f t="shared" si="962"/>
        <v>337.25438903283344</v>
      </c>
      <c r="P345" s="56">
        <f t="shared" si="962"/>
        <v>417.80795217562098</v>
      </c>
      <c r="Q345" s="56">
        <f>Q344*(1-Q380)</f>
        <v>433.91876764648822</v>
      </c>
      <c r="R345" s="56"/>
      <c r="S345" s="4"/>
      <c r="T345" s="56">
        <f t="shared" ref="T345:AY345" si="963">T344*(1-T380)</f>
        <v>14.233000000000001</v>
      </c>
      <c r="U345" s="56">
        <f t="shared" si="963"/>
        <v>18.404</v>
      </c>
      <c r="V345" s="56">
        <f t="shared" si="963"/>
        <v>25.514000000000003</v>
      </c>
      <c r="W345" s="56">
        <f t="shared" si="963"/>
        <v>17.076249999999998</v>
      </c>
      <c r="X345" s="56">
        <f t="shared" si="963"/>
        <v>24.698124999999997</v>
      </c>
      <c r="Y345" s="56">
        <f t="shared" si="963"/>
        <v>27.71875</v>
      </c>
      <c r="Z345" s="56">
        <f t="shared" si="963"/>
        <v>29.140625</v>
      </c>
      <c r="AA345" s="56">
        <f t="shared" si="963"/>
        <v>29.567499999999999</v>
      </c>
      <c r="AB345" s="56">
        <f t="shared" si="963"/>
        <v>27.490625000000001</v>
      </c>
      <c r="AC345" s="56">
        <f t="shared" si="963"/>
        <v>24.190624999999997</v>
      </c>
      <c r="AD345" s="56">
        <f t="shared" si="963"/>
        <v>15.414375</v>
      </c>
      <c r="AE345" s="56">
        <f t="shared" si="963"/>
        <v>21.678125000000001</v>
      </c>
      <c r="AF345" s="56">
        <f t="shared" si="963"/>
        <v>15.900625000000002</v>
      </c>
      <c r="AG345" s="56">
        <f t="shared" si="963"/>
        <v>23.625</v>
      </c>
      <c r="AH345" s="56">
        <f t="shared" si="963"/>
        <v>27.644999999999996</v>
      </c>
      <c r="AI345" s="56">
        <f t="shared" si="963"/>
        <v>22.935625000000002</v>
      </c>
      <c r="AJ345" s="56">
        <f t="shared" si="963"/>
        <v>5.2481249999999999</v>
      </c>
      <c r="AK345" s="56">
        <f t="shared" si="963"/>
        <v>-12.186249999999998</v>
      </c>
      <c r="AL345" s="56">
        <f t="shared" si="963"/>
        <v>-9.3168749999999996</v>
      </c>
      <c r="AM345" s="56">
        <f t="shared" si="963"/>
        <v>-4.4024999999999999</v>
      </c>
      <c r="AN345" s="56">
        <f t="shared" si="963"/>
        <v>14.104999999999999</v>
      </c>
      <c r="AO345" s="56">
        <f t="shared" si="963"/>
        <v>32.555625000000006</v>
      </c>
      <c r="AP345" s="56">
        <f t="shared" si="963"/>
        <v>46.493749999999999</v>
      </c>
      <c r="AQ345" s="56">
        <f t="shared" si="963"/>
        <v>56.123750000000001</v>
      </c>
      <c r="AR345" s="56">
        <f t="shared" si="963"/>
        <v>66.453749999999999</v>
      </c>
      <c r="AS345" s="56">
        <f t="shared" si="963"/>
        <v>74.541875000000005</v>
      </c>
      <c r="AT345" s="56">
        <f t="shared" si="963"/>
        <v>86.645624999999995</v>
      </c>
      <c r="AU345" s="56">
        <f t="shared" si="963"/>
        <v>76.984374999999986</v>
      </c>
      <c r="AV345" s="56">
        <f t="shared" si="963"/>
        <v>82.663125000000008</v>
      </c>
      <c r="AW345" s="56">
        <f t="shared" si="963"/>
        <v>74.911249999999995</v>
      </c>
      <c r="AX345" s="56">
        <f t="shared" si="963"/>
        <v>63.98</v>
      </c>
      <c r="AY345" s="56">
        <f t="shared" si="963"/>
        <v>55.816875000000003</v>
      </c>
      <c r="AZ345" s="56">
        <f t="shared" ref="AZ345:CE345" si="964">AZ344*(1-AZ380)</f>
        <v>35.761875000000003</v>
      </c>
      <c r="BA345" s="56">
        <f t="shared" si="964"/>
        <v>42.408125000000005</v>
      </c>
      <c r="BB345" s="56">
        <f t="shared" si="964"/>
        <v>53.649375000000006</v>
      </c>
      <c r="BC345" s="56">
        <f t="shared" si="964"/>
        <v>40.313749999999985</v>
      </c>
      <c r="BD345" s="56">
        <f t="shared" si="964"/>
        <v>40.769999999999996</v>
      </c>
      <c r="BE345" s="56">
        <f t="shared" si="964"/>
        <v>64.394374999999997</v>
      </c>
      <c r="BF345" s="56">
        <f t="shared" si="964"/>
        <v>66.663125000000008</v>
      </c>
      <c r="BG345" s="56">
        <f t="shared" si="964"/>
        <v>78.153750000000002</v>
      </c>
      <c r="BH345" s="56">
        <f t="shared" si="964"/>
        <v>3.8562500000000002</v>
      </c>
      <c r="BI345" s="56">
        <f t="shared" si="964"/>
        <v>-32.835624999999993</v>
      </c>
      <c r="BJ345" s="56">
        <f t="shared" si="964"/>
        <v>-32.171875</v>
      </c>
      <c r="BK345" s="56">
        <f t="shared" si="964"/>
        <v>-35.878124999999997</v>
      </c>
      <c r="BL345" s="56">
        <f t="shared" si="964"/>
        <v>-45.679375</v>
      </c>
      <c r="BM345" s="56">
        <f t="shared" si="964"/>
        <v>-47.013749999999995</v>
      </c>
      <c r="BN345" s="56">
        <f t="shared" si="964"/>
        <v>-35.260625000000005</v>
      </c>
      <c r="BO345" s="56">
        <f t="shared" si="964"/>
        <v>-20.135000000000002</v>
      </c>
      <c r="BP345" s="56">
        <f>BP344*(1-BP380)</f>
        <v>0.9837499999999999</v>
      </c>
      <c r="BQ345" s="56">
        <f>BQ344*(1-BQ380)</f>
        <v>41.876249999999999</v>
      </c>
      <c r="BR345" s="56">
        <f>BR344*(1-BR380)</f>
        <v>60.84812500000001</v>
      </c>
      <c r="BS345" s="56">
        <f>BS344*(1-BS380)</f>
        <v>37.677500000000002</v>
      </c>
      <c r="BT345" s="56">
        <f t="shared" si="964"/>
        <v>58.345707154410043</v>
      </c>
      <c r="BU345" s="56">
        <f t="shared" si="964"/>
        <v>83.601754434649379</v>
      </c>
      <c r="BV345" s="56">
        <f t="shared" si="964"/>
        <v>92.475715307151376</v>
      </c>
      <c r="BW345" s="56">
        <f t="shared" si="964"/>
        <v>99.034252136622669</v>
      </c>
      <c r="BX345" s="56">
        <f t="shared" si="964"/>
        <v>99.885853532052366</v>
      </c>
      <c r="BY345" s="56">
        <f t="shared" si="964"/>
        <v>100.36637594155823</v>
      </c>
      <c r="BZ345" s="56">
        <f t="shared" si="964"/>
        <v>105.50303479921652</v>
      </c>
      <c r="CA345" s="56">
        <f t="shared" si="964"/>
        <v>108.25572790279396</v>
      </c>
      <c r="CB345" s="56">
        <f t="shared" si="964"/>
        <v>106.66690115073534</v>
      </c>
      <c r="CC345" s="56">
        <f t="shared" si="964"/>
        <v>107.01821044603754</v>
      </c>
      <c r="CD345" s="56">
        <f t="shared" si="964"/>
        <v>107.75341524669612</v>
      </c>
      <c r="CE345" s="56">
        <f t="shared" si="964"/>
        <v>108.68328080301916</v>
      </c>
      <c r="CF345" s="4"/>
      <c r="CG345" s="4"/>
      <c r="CH345" s="4"/>
      <c r="CI345" s="4"/>
      <c r="CJ345" s="4"/>
      <c r="CK345" s="4"/>
      <c r="CL345" s="4"/>
      <c r="CM345" s="4"/>
      <c r="CN345" s="240">
        <f t="shared" si="931"/>
        <v>338</v>
      </c>
    </row>
    <row r="346" spans="1:92" ht="12.75" hidden="1" customHeight="1" outlineLevel="2">
      <c r="A346" s="143"/>
      <c r="B346" s="10" t="s">
        <v>191</v>
      </c>
      <c r="C346" s="6">
        <f t="shared" ref="C346:Q346" si="965">C345/C12</f>
        <v>0.18000163417863668</v>
      </c>
      <c r="D346" s="6">
        <f t="shared" si="965"/>
        <v>0.12291716771028623</v>
      </c>
      <c r="E346" s="6">
        <f t="shared" si="965"/>
        <v>9.8208818475284981E-2</v>
      </c>
      <c r="F346" s="6">
        <f t="shared" si="965"/>
        <v>-3.6355196703993946E-2</v>
      </c>
      <c r="G346" s="6">
        <f t="shared" si="965"/>
        <v>0.13401269536950558</v>
      </c>
      <c r="H346" s="6">
        <f t="shared" si="965"/>
        <v>0.16683282717794826</v>
      </c>
      <c r="I346" s="6">
        <f t="shared" si="965"/>
        <v>0.14414546768855685</v>
      </c>
      <c r="J346" s="6">
        <f t="shared" si="965"/>
        <v>9.5617003377403767E-2</v>
      </c>
      <c r="K346" s="6">
        <f t="shared" si="965"/>
        <v>0.11108488315928765</v>
      </c>
      <c r="L346" s="6">
        <f t="shared" si="965"/>
        <v>-7.3600099696164045E-2</v>
      </c>
      <c r="M346" s="6">
        <f t="shared" si="965"/>
        <v>-0.20993718568837844</v>
      </c>
      <c r="N346" s="6">
        <f t="shared" si="965"/>
        <v>8.6855585443325625E-2</v>
      </c>
      <c r="O346" s="6">
        <f t="shared" si="965"/>
        <v>0.15642478790890663</v>
      </c>
      <c r="P346" s="6">
        <f t="shared" si="965"/>
        <v>0.16775165789850796</v>
      </c>
      <c r="Q346" s="6">
        <f t="shared" si="965"/>
        <v>0.15823186215387899</v>
      </c>
      <c r="R346" s="6"/>
      <c r="S346" s="4"/>
      <c r="T346" s="6">
        <f t="shared" ref="T346:AY346" si="966">T345/T12</f>
        <v>0.15415357955160838</v>
      </c>
      <c r="U346" s="6">
        <f t="shared" si="966"/>
        <v>0.1805287164647604</v>
      </c>
      <c r="V346" s="6">
        <f t="shared" si="966"/>
        <v>0.22032624934154285</v>
      </c>
      <c r="W346" s="6">
        <f t="shared" si="966"/>
        <v>0.14524696556006361</v>
      </c>
      <c r="X346" s="6">
        <f t="shared" si="966"/>
        <v>0.18157181820855142</v>
      </c>
      <c r="Y346" s="6">
        <f t="shared" si="966"/>
        <v>0.18976996542635127</v>
      </c>
      <c r="Z346" s="6">
        <f t="shared" si="966"/>
        <v>0.18896838057441523</v>
      </c>
      <c r="AA346" s="6">
        <f t="shared" si="966"/>
        <v>0.18441421550283163</v>
      </c>
      <c r="AB346" s="6">
        <f t="shared" si="966"/>
        <v>0.16072159373264347</v>
      </c>
      <c r="AC346" s="6">
        <f t="shared" si="966"/>
        <v>0.14144000210488156</v>
      </c>
      <c r="AD346" s="6">
        <f t="shared" si="966"/>
        <v>9.5173375071776548E-2</v>
      </c>
      <c r="AE346" s="6">
        <f t="shared" si="966"/>
        <v>0.11643075047398076</v>
      </c>
      <c r="AF346" s="6">
        <f t="shared" si="966"/>
        <v>8.0620934253423732E-2</v>
      </c>
      <c r="AG346" s="6">
        <f t="shared" si="966"/>
        <v>0.11004289926358593</v>
      </c>
      <c r="AH346" s="6">
        <f t="shared" si="966"/>
        <v>0.11653886525839209</v>
      </c>
      <c r="AI346" s="6">
        <f t="shared" si="966"/>
        <v>0.10066372166921228</v>
      </c>
      <c r="AJ346" s="6">
        <f t="shared" si="966"/>
        <v>2.9773048317647256E-2</v>
      </c>
      <c r="AK346" s="6">
        <f t="shared" si="966"/>
        <v>-9.5941126454518244E-2</v>
      </c>
      <c r="AL346" s="6">
        <f t="shared" si="966"/>
        <v>-7.0497468957846227E-2</v>
      </c>
      <c r="AM346" s="6">
        <f t="shared" si="966"/>
        <v>-2.8884952268477513E-2</v>
      </c>
      <c r="AN346" s="6">
        <f t="shared" si="966"/>
        <v>6.6175918627782146E-2</v>
      </c>
      <c r="AO346" s="6">
        <f t="shared" si="966"/>
        <v>0.12873127688852337</v>
      </c>
      <c r="AP346" s="6">
        <f t="shared" si="966"/>
        <v>0.15385092653871607</v>
      </c>
      <c r="AQ346" s="6">
        <f t="shared" si="966"/>
        <v>0.17103390584621386</v>
      </c>
      <c r="AR346" s="6">
        <f t="shared" si="966"/>
        <v>0.1740716050094169</v>
      </c>
      <c r="AS346" s="6">
        <f t="shared" si="966"/>
        <v>0.16098748674489072</v>
      </c>
      <c r="AT346" s="6">
        <f t="shared" si="966"/>
        <v>0.17252008521907075</v>
      </c>
      <c r="AU346" s="6">
        <f t="shared" si="966"/>
        <v>0.15945991151285668</v>
      </c>
      <c r="AV346" s="6">
        <f t="shared" si="966"/>
        <v>0.16448507333496501</v>
      </c>
      <c r="AW346" s="6">
        <f t="shared" si="966"/>
        <v>0.14979074436219519</v>
      </c>
      <c r="AX346" s="6">
        <f t="shared" si="966"/>
        <v>0.13543091076123262</v>
      </c>
      <c r="AY346" s="6">
        <f t="shared" si="966"/>
        <v>0.1187739657234297</v>
      </c>
      <c r="AZ346" s="6">
        <f t="shared" ref="AZ346:CE346" si="967">AZ345/AZ12</f>
        <v>8.3983352159710298E-2</v>
      </c>
      <c r="BA346" s="6">
        <f t="shared" si="967"/>
        <v>9.2681984675434814E-2</v>
      </c>
      <c r="BB346" s="6">
        <f t="shared" si="967"/>
        <v>0.1092386092225745</v>
      </c>
      <c r="BC346" s="6">
        <f t="shared" si="967"/>
        <v>8.2783003854359785E-2</v>
      </c>
      <c r="BD346" s="6">
        <f t="shared" si="967"/>
        <v>8.1264999242563155E-2</v>
      </c>
      <c r="BE346" s="6">
        <f t="shared" si="967"/>
        <v>0.11048550094281188</v>
      </c>
      <c r="BF346" s="6">
        <f t="shared" si="967"/>
        <v>0.10740267994663953</v>
      </c>
      <c r="BG346" s="6">
        <f t="shared" si="967"/>
        <v>0.12362070274562405</v>
      </c>
      <c r="BH346" s="6">
        <f t="shared" si="967"/>
        <v>9.4918404017033005E-3</v>
      </c>
      <c r="BI346" s="6">
        <f t="shared" si="967"/>
        <v>-0.11034959335932247</v>
      </c>
      <c r="BJ346" s="6">
        <f t="shared" si="967"/>
        <v>-0.11020633795097355</v>
      </c>
      <c r="BK346" s="6">
        <f t="shared" si="967"/>
        <v>-0.13383065508829253</v>
      </c>
      <c r="BL346" s="6">
        <f t="shared" si="967"/>
        <v>-0.2415683915492213</v>
      </c>
      <c r="BM346" s="6">
        <f t="shared" si="967"/>
        <v>-0.32877208072840169</v>
      </c>
      <c r="BN346" s="6">
        <f t="shared" si="967"/>
        <v>-0.20047659252689276</v>
      </c>
      <c r="BO346" s="6">
        <f t="shared" si="967"/>
        <v>-9.1109834070145765E-2</v>
      </c>
      <c r="BP346" s="6">
        <f t="shared" si="967"/>
        <v>3.2998567686058251E-3</v>
      </c>
      <c r="BQ346" s="6">
        <f t="shared" si="967"/>
        <v>0.1050030089516311</v>
      </c>
      <c r="BR346" s="6">
        <f t="shared" si="967"/>
        <v>0.12918949934076296</v>
      </c>
      <c r="BS346" s="6">
        <f t="shared" si="967"/>
        <v>8.8175961095158198E-2</v>
      </c>
      <c r="BT346" s="6">
        <f t="shared" si="967"/>
        <v>0.12891943578384449</v>
      </c>
      <c r="BU346" s="6">
        <f t="shared" si="967"/>
        <v>0.15676013838951569</v>
      </c>
      <c r="BV346" s="6">
        <f t="shared" si="967"/>
        <v>0.16069956917504544</v>
      </c>
      <c r="BW346" s="6">
        <f t="shared" si="967"/>
        <v>0.16653532346920755</v>
      </c>
      <c r="BX346" s="6">
        <f t="shared" si="967"/>
        <v>0.16661920104857308</v>
      </c>
      <c r="BY346" s="6">
        <f t="shared" si="967"/>
        <v>0.16662261253819308</v>
      </c>
      <c r="BZ346" s="6">
        <f t="shared" si="967"/>
        <v>0.16872367235565211</v>
      </c>
      <c r="CA346" s="6">
        <f t="shared" si="967"/>
        <v>0.16316111147859888</v>
      </c>
      <c r="CB346" s="6">
        <f t="shared" si="967"/>
        <v>0.15626121018216066</v>
      </c>
      <c r="CC346" s="6">
        <f t="shared" si="967"/>
        <v>0.1565211858424557</v>
      </c>
      <c r="CD346" s="6">
        <f t="shared" si="967"/>
        <v>0.15702176887782021</v>
      </c>
      <c r="CE346" s="6">
        <f t="shared" si="967"/>
        <v>0.15757694078797452</v>
      </c>
      <c r="CF346" s="4"/>
      <c r="CG346" s="4"/>
      <c r="CH346" s="4"/>
      <c r="CI346" s="4"/>
      <c r="CJ346" s="4"/>
      <c r="CK346" s="4"/>
      <c r="CL346" s="4"/>
      <c r="CM346" s="4"/>
      <c r="CN346" s="240">
        <f t="shared" si="931"/>
        <v>339</v>
      </c>
    </row>
    <row r="347" spans="1:92" hidden="1" outlineLevel="2">
      <c r="A347" s="146"/>
      <c r="B347" s="8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83"/>
      <c r="BG347" s="83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240">
        <f t="shared" si="931"/>
        <v>340</v>
      </c>
    </row>
    <row r="348" spans="1:92" hidden="1" outlineLevel="2">
      <c r="A348" s="146"/>
      <c r="B348" s="84" t="s">
        <v>219</v>
      </c>
      <c r="C348" s="100">
        <f t="shared" ref="C348:Q348" si="968">C12/AVERAGE(B342:C342)</f>
        <v>1.5811344055673486</v>
      </c>
      <c r="D348" s="100">
        <f t="shared" si="968"/>
        <v>1.4666873493950303</v>
      </c>
      <c r="E348" s="100">
        <f t="shared" si="968"/>
        <v>1.4670871199923048</v>
      </c>
      <c r="F348" s="100">
        <f t="shared" si="968"/>
        <v>1.0296631358622592</v>
      </c>
      <c r="G348" s="100">
        <f t="shared" si="968"/>
        <v>1.8587694373427548</v>
      </c>
      <c r="H348" s="100">
        <f t="shared" si="968"/>
        <v>2.2146581048394172</v>
      </c>
      <c r="I348" s="100">
        <f t="shared" si="968"/>
        <v>1.9435109484820809</v>
      </c>
      <c r="J348" s="100">
        <f t="shared" si="968"/>
        <v>1.812656046117592</v>
      </c>
      <c r="K348" s="100">
        <f t="shared" si="968"/>
        <v>1.9785303479761314</v>
      </c>
      <c r="L348" s="100">
        <f t="shared" si="968"/>
        <v>1.1246114193654304</v>
      </c>
      <c r="M348" s="100">
        <f t="shared" si="968"/>
        <v>0.89558836357024452</v>
      </c>
      <c r="N348" s="100">
        <f t="shared" si="968"/>
        <v>2.0397887616599855</v>
      </c>
      <c r="O348" s="100">
        <f t="shared" si="968"/>
        <v>2.3001687657572236</v>
      </c>
      <c r="P348" s="100">
        <f t="shared" si="968"/>
        <v>2.1891627317113818</v>
      </c>
      <c r="Q348" s="100">
        <f t="shared" si="968"/>
        <v>2.1815418703220888</v>
      </c>
      <c r="R348" s="100"/>
      <c r="S348" s="4"/>
      <c r="T348" s="100"/>
      <c r="U348" s="100"/>
      <c r="V348" s="100"/>
      <c r="W348" s="100">
        <f t="shared" ref="W348:BB348" si="969">4*W12/AVERAGE(V342:W342)</f>
        <v>2.015670407104833</v>
      </c>
      <c r="X348" s="100">
        <f t="shared" si="969"/>
        <v>2.2090066096107317</v>
      </c>
      <c r="Y348" s="100">
        <f t="shared" si="969"/>
        <v>2.1297901231192644</v>
      </c>
      <c r="Z348" s="100">
        <f t="shared" si="969"/>
        <v>2.0305619930475087</v>
      </c>
      <c r="AA348" s="100">
        <f t="shared" si="969"/>
        <v>1.8440888505499247</v>
      </c>
      <c r="AB348" s="100">
        <f t="shared" si="969"/>
        <v>1.6742465119864334</v>
      </c>
      <c r="AC348" s="100">
        <f t="shared" si="969"/>
        <v>1.4476241260812894</v>
      </c>
      <c r="AD348" s="100">
        <f t="shared" si="969"/>
        <v>1.2450960136762914</v>
      </c>
      <c r="AE348" s="100">
        <f t="shared" si="969"/>
        <v>1.3549862546644085</v>
      </c>
      <c r="AF348" s="100">
        <f t="shared" si="969"/>
        <v>1.3829488293086118</v>
      </c>
      <c r="AG348" s="100">
        <f t="shared" si="969"/>
        <v>1.445431248869121</v>
      </c>
      <c r="AH348" s="100">
        <f t="shared" si="969"/>
        <v>1.5264671365750739</v>
      </c>
      <c r="AI348" s="100">
        <f t="shared" si="969"/>
        <v>1.4423861246207583</v>
      </c>
      <c r="AJ348" s="100">
        <f t="shared" si="969"/>
        <v>1.1558678303748831</v>
      </c>
      <c r="AK348" s="100">
        <f t="shared" si="969"/>
        <v>0.88180459688322776</v>
      </c>
      <c r="AL348" s="100">
        <f t="shared" si="969"/>
        <v>0.96663012641585855</v>
      </c>
      <c r="AM348" s="100">
        <f t="shared" si="969"/>
        <v>1.1724907206184971</v>
      </c>
      <c r="AN348" s="100">
        <f t="shared" si="969"/>
        <v>1.6158075379941517</v>
      </c>
      <c r="AO348" s="100">
        <f t="shared" si="969"/>
        <v>1.8301312465116872</v>
      </c>
      <c r="AP348" s="100">
        <f t="shared" si="969"/>
        <v>2.0646078090613531</v>
      </c>
      <c r="AQ348" s="100">
        <f t="shared" si="969"/>
        <v>2.0507141540297913</v>
      </c>
      <c r="AR348" s="100">
        <f t="shared" si="969"/>
        <v>2.169036511062548</v>
      </c>
      <c r="AS348" s="100">
        <f t="shared" si="969"/>
        <v>2.3599230652104524</v>
      </c>
      <c r="AT348" s="100">
        <f t="shared" si="969"/>
        <v>2.3604069561825356</v>
      </c>
      <c r="AU348" s="100">
        <f t="shared" si="969"/>
        <v>2.0831646470154523</v>
      </c>
      <c r="AV348" s="100">
        <f t="shared" si="969"/>
        <v>2.0296866054868019</v>
      </c>
      <c r="AW348" s="100">
        <f t="shared" si="969"/>
        <v>1.9714418336041843</v>
      </c>
      <c r="AX348" s="100">
        <f t="shared" si="969"/>
        <v>1.8575329646456999</v>
      </c>
      <c r="AY348" s="100">
        <f t="shared" si="969"/>
        <v>1.8595951122226091</v>
      </c>
      <c r="AZ348" s="100">
        <f t="shared" si="969"/>
        <v>1.6729895060249012</v>
      </c>
      <c r="BA348" s="100">
        <f t="shared" si="969"/>
        <v>1.813257458298617</v>
      </c>
      <c r="BB348" s="100">
        <f t="shared" si="969"/>
        <v>1.9599330354915883</v>
      </c>
      <c r="BC348" s="100">
        <f t="shared" ref="BC348:CE348" si="970">4*BC12/AVERAGE(BB342:BC342)</f>
        <v>1.9108928082685634</v>
      </c>
      <c r="BD348" s="100">
        <f t="shared" si="970"/>
        <v>1.9367393775852719</v>
      </c>
      <c r="BE348" s="100">
        <f t="shared" si="970"/>
        <v>2.1282894436542699</v>
      </c>
      <c r="BF348" s="100">
        <f t="shared" si="970"/>
        <v>2.0854941941412628</v>
      </c>
      <c r="BG348" s="100">
        <f t="shared" si="970"/>
        <v>1.97972848666663</v>
      </c>
      <c r="BH348" s="100">
        <f t="shared" si="970"/>
        <v>1.2674702422386868</v>
      </c>
      <c r="BI348" s="100">
        <f t="shared" si="970"/>
        <v>1.0208568751353542</v>
      </c>
      <c r="BJ348" s="100">
        <f t="shared" si="970"/>
        <v>1.0976510450374994</v>
      </c>
      <c r="BK348" s="100">
        <f t="shared" si="970"/>
        <v>1.0983439991478272</v>
      </c>
      <c r="BL348" s="100">
        <f t="shared" si="970"/>
        <v>0.85772686165613454</v>
      </c>
      <c r="BM348" s="100">
        <f t="shared" si="970"/>
        <v>0.71109409323667971</v>
      </c>
      <c r="BN348" s="100">
        <f t="shared" si="970"/>
        <v>0.94169739129038066</v>
      </c>
      <c r="BO348" s="100">
        <f t="shared" si="970"/>
        <v>1.230461290053172</v>
      </c>
      <c r="BP348" s="100">
        <f t="shared" si="970"/>
        <v>1.6509713929702508</v>
      </c>
      <c r="BQ348" s="100">
        <f t="shared" si="970"/>
        <v>2.135294385355289</v>
      </c>
      <c r="BR348" s="100">
        <f t="shared" si="970"/>
        <v>2.4510246124244053</v>
      </c>
      <c r="BS348" s="100">
        <f t="shared" si="970"/>
        <v>2.0892543476321035</v>
      </c>
      <c r="BT348" s="100">
        <f t="shared" si="970"/>
        <v>2.1060984015504101</v>
      </c>
      <c r="BU348" s="100">
        <f t="shared" si="970"/>
        <v>2.3295703631250464</v>
      </c>
      <c r="BV348" s="100">
        <f t="shared" si="970"/>
        <v>2.3360157888426065</v>
      </c>
      <c r="BW348" s="100">
        <f t="shared" si="970"/>
        <v>2.3545819267669121</v>
      </c>
      <c r="BX348" s="100">
        <f t="shared" si="970"/>
        <v>2.3488378792078337</v>
      </c>
      <c r="BY348" s="100">
        <f t="shared" si="970"/>
        <v>2.3502987904191102</v>
      </c>
      <c r="BZ348" s="100">
        <f t="shared" si="970"/>
        <v>2.3108275256754869</v>
      </c>
      <c r="CA348" s="100">
        <f t="shared" si="970"/>
        <v>2.2163147535185694</v>
      </c>
      <c r="CB348" s="100">
        <f t="shared" si="970"/>
        <v>2.1643984017321412</v>
      </c>
      <c r="CC348" s="100">
        <f t="shared" si="970"/>
        <v>2.163980839495069</v>
      </c>
      <c r="CD348" s="100">
        <f t="shared" si="970"/>
        <v>2.1781736224836088</v>
      </c>
      <c r="CE348" s="100">
        <f t="shared" si="970"/>
        <v>2.1932246424256827</v>
      </c>
      <c r="CF348" s="4"/>
      <c r="CG348" s="4"/>
      <c r="CH348" s="4"/>
      <c r="CI348" s="4"/>
      <c r="CJ348" s="4"/>
      <c r="CK348" s="4"/>
      <c r="CL348" s="4"/>
      <c r="CM348" s="4"/>
      <c r="CN348" s="240">
        <f t="shared" si="931"/>
        <v>341</v>
      </c>
    </row>
    <row r="349" spans="1:92" ht="12.75" hidden="1" customHeight="1" outlineLevel="2">
      <c r="A349" s="143"/>
      <c r="B349" s="10" t="s">
        <v>192</v>
      </c>
      <c r="C349" s="110">
        <f t="shared" ref="C349:M349" si="971">C345/AVERAGE(B342:C342)</f>
        <v>0.28460677685819008</v>
      </c>
      <c r="D349" s="110">
        <f t="shared" si="971"/>
        <v>0.18028105490414409</v>
      </c>
      <c r="E349" s="110">
        <f t="shared" si="971"/>
        <v>0.14408089265475291</v>
      </c>
      <c r="F349" s="110">
        <f t="shared" si="971"/>
        <v>-3.7433605843123684E-2</v>
      </c>
      <c r="G349" s="110">
        <f t="shared" si="971"/>
        <v>0.24909870236876189</v>
      </c>
      <c r="H349" s="110">
        <f t="shared" si="971"/>
        <v>0.36947767286291683</v>
      </c>
      <c r="I349" s="110">
        <f t="shared" si="971"/>
        <v>0.28014829462678026</v>
      </c>
      <c r="J349" s="110">
        <f t="shared" si="971"/>
        <v>0.17332073928369715</v>
      </c>
      <c r="K349" s="110">
        <f t="shared" si="971"/>
        <v>0.21978481253203327</v>
      </c>
      <c r="L349" s="110">
        <f t="shared" si="971"/>
        <v>-8.2771512584740248E-2</v>
      </c>
      <c r="M349" s="110">
        <f t="shared" si="971"/>
        <v>-0.18801730058319741</v>
      </c>
      <c r="N349" s="110">
        <f>N345/AVERAGE(M342:N342)</f>
        <v>0.17716704707469424</v>
      </c>
      <c r="O349" s="110">
        <f>O345/AVERAGE(N342:O342)</f>
        <v>0.35980341133826521</v>
      </c>
      <c r="P349" s="110">
        <f>P345/AVERAGE(O342:P342)</f>
        <v>0.36723567765421089</v>
      </c>
      <c r="Q349" s="110">
        <f>Q345/AVERAGE(P342:Q342)</f>
        <v>0.34518943250772011</v>
      </c>
      <c r="R349" s="110"/>
      <c r="S349" s="110"/>
      <c r="T349" s="110"/>
      <c r="U349" s="110"/>
      <c r="V349" s="110"/>
      <c r="W349" s="110">
        <f>(W345*4)/AVERAGE(V342:W342)</f>
        <v>0.29277001020119509</v>
      </c>
      <c r="X349" s="110">
        <f t="shared" ref="X349:BS349" si="972">(X345*4)/AVERAGE(W342:X342)</f>
        <v>0.40109334654172824</v>
      </c>
      <c r="Y349" s="110">
        <f t="shared" si="972"/>
        <v>0.40417019802972726</v>
      </c>
      <c r="Z349" s="110">
        <f t="shared" si="972"/>
        <v>0.38371201148214473</v>
      </c>
      <c r="AA349" s="110">
        <f t="shared" si="972"/>
        <v>0.34007619869168287</v>
      </c>
      <c r="AB349" s="110">
        <f t="shared" si="972"/>
        <v>0.26908756770777892</v>
      </c>
      <c r="AC349" s="110">
        <f t="shared" si="972"/>
        <v>0.2047519594400149</v>
      </c>
      <c r="AD349" s="110">
        <f t="shared" si="972"/>
        <v>0.1184999899099875</v>
      </c>
      <c r="AE349" s="110">
        <f t="shared" si="972"/>
        <v>0.15776206651250549</v>
      </c>
      <c r="AF349" s="110">
        <f t="shared" si="972"/>
        <v>0.1114946266435389</v>
      </c>
      <c r="AG349" s="110">
        <f t="shared" si="972"/>
        <v>0.1590594453117439</v>
      </c>
      <c r="AH349" s="110">
        <f t="shared" si="972"/>
        <v>0.17789274795068613</v>
      </c>
      <c r="AI349" s="110">
        <f t="shared" si="972"/>
        <v>0.14519595538835775</v>
      </c>
      <c r="AJ349" s="110">
        <f t="shared" si="972"/>
        <v>3.4413708762565498E-2</v>
      </c>
      <c r="AK349" s="110">
        <f t="shared" si="972"/>
        <v>-8.4601326337749236E-2</v>
      </c>
      <c r="AL349" s="110">
        <f t="shared" si="972"/>
        <v>-6.814497733072096E-2</v>
      </c>
      <c r="AM349" s="110">
        <f t="shared" si="972"/>
        <v>-3.3867338500298091E-2</v>
      </c>
      <c r="AN349" s="110">
        <f t="shared" si="972"/>
        <v>0.10692754815245799</v>
      </c>
      <c r="AO349" s="110">
        <f t="shared" si="972"/>
        <v>0.2355951322370344</v>
      </c>
      <c r="AP349" s="110">
        <f t="shared" si="972"/>
        <v>0.3176418243631578</v>
      </c>
      <c r="AQ349" s="110">
        <f t="shared" si="972"/>
        <v>0.35074165153782938</v>
      </c>
      <c r="AR349" s="110">
        <f t="shared" si="972"/>
        <v>0.37756766680468362</v>
      </c>
      <c r="AS349" s="110">
        <f t="shared" si="972"/>
        <v>0.37991808317952958</v>
      </c>
      <c r="AT349" s="110">
        <f t="shared" si="972"/>
        <v>0.40721760923229838</v>
      </c>
      <c r="AU349" s="110">
        <f t="shared" si="972"/>
        <v>0.33218125027979539</v>
      </c>
      <c r="AV349" s="110">
        <f t="shared" si="972"/>
        <v>0.33385315015049283</v>
      </c>
      <c r="AW349" s="110">
        <f t="shared" si="972"/>
        <v>0.29530373972234175</v>
      </c>
      <c r="AX349" s="110">
        <f t="shared" si="972"/>
        <v>0.25156738117097965</v>
      </c>
      <c r="AY349" s="110">
        <f t="shared" si="972"/>
        <v>0.22087148611858559</v>
      </c>
      <c r="AZ349" s="110">
        <f t="shared" si="972"/>
        <v>0.14050326684398906</v>
      </c>
      <c r="BA349" s="110">
        <f t="shared" si="972"/>
        <v>0.16805629996265031</v>
      </c>
      <c r="BB349" s="110">
        <f t="shared" si="972"/>
        <v>0.21410035896647983</v>
      </c>
      <c r="BC349" s="110">
        <f t="shared" si="972"/>
        <v>0.15818944671216489</v>
      </c>
      <c r="BD349" s="110">
        <f t="shared" si="972"/>
        <v>0.15738912405250938</v>
      </c>
      <c r="BE349" s="110">
        <f t="shared" si="972"/>
        <v>0.2351451253334404</v>
      </c>
      <c r="BF349" s="110">
        <f t="shared" si="972"/>
        <v>0.22398766546392901</v>
      </c>
      <c r="BG349" s="110">
        <f t="shared" si="972"/>
        <v>0.24473542676725962</v>
      </c>
      <c r="BH349" s="110">
        <f t="shared" si="972"/>
        <v>1.2030625253237837E-2</v>
      </c>
      <c r="BI349" s="110">
        <f t="shared" si="972"/>
        <v>-0.11265114104925496</v>
      </c>
      <c r="BJ349" s="110">
        <f t="shared" si="972"/>
        <v>-0.12096810202164196</v>
      </c>
      <c r="BK349" s="110">
        <f t="shared" si="972"/>
        <v>-0.14699209691824874</v>
      </c>
      <c r="BL349" s="110">
        <f t="shared" si="972"/>
        <v>-0.20719969835883387</v>
      </c>
      <c r="BM349" s="110">
        <f t="shared" si="972"/>
        <v>-0.23378788462709926</v>
      </c>
      <c r="BN349" s="110">
        <f t="shared" si="972"/>
        <v>-0.18878828419735955</v>
      </c>
      <c r="BO349" s="110">
        <f t="shared" si="972"/>
        <v>-0.11210712396648199</v>
      </c>
      <c r="BP349" s="110">
        <f t="shared" si="972"/>
        <v>5.4479691258674696E-3</v>
      </c>
      <c r="BQ349" s="110">
        <f t="shared" si="972"/>
        <v>0.22421233545982905</v>
      </c>
      <c r="BR349" s="110">
        <f t="shared" si="972"/>
        <v>0.3166466425509965</v>
      </c>
      <c r="BS349" s="110">
        <f t="shared" si="972"/>
        <v>0.18422201007469849</v>
      </c>
      <c r="BT349" s="110">
        <f>(BT345*4)/AVERAGE(BS342:BT342)</f>
        <v>0.27151701763313557</v>
      </c>
      <c r="BU349" s="110">
        <f>(BU345*4)/AVERAGE(BT342:BU342)</f>
        <v>0.36518377251159662</v>
      </c>
      <c r="BV349" s="110">
        <f>(BV345*4)/AVERAGE(BU342:BV342)</f>
        <v>0.37539673085311082</v>
      </c>
      <c r="BW349" s="110">
        <f>(BW345*4)/AVERAGE(BV342:BW342)</f>
        <v>0.3921210628088776</v>
      </c>
      <c r="BX349" s="110">
        <f t="shared" ref="BX349:CE349" si="973">(BX345*4)/AVERAGE(BW342:BX342)</f>
        <v>0.39136149082623406</v>
      </c>
      <c r="BY349" s="110">
        <f t="shared" si="973"/>
        <v>0.39161292470498726</v>
      </c>
      <c r="BZ349" s="110">
        <f t="shared" si="973"/>
        <v>0.38989130631249308</v>
      </c>
      <c r="CA349" s="110">
        <f t="shared" si="973"/>
        <v>0.36161637857050671</v>
      </c>
      <c r="CB349" s="110">
        <f t="shared" si="973"/>
        <v>0.33821151357099871</v>
      </c>
      <c r="CC349" s="110">
        <f t="shared" si="973"/>
        <v>0.33870884713812099</v>
      </c>
      <c r="CD349" s="110">
        <f t="shared" si="973"/>
        <v>0.34202067512538559</v>
      </c>
      <c r="CE349" s="110">
        <f t="shared" si="973"/>
        <v>0.34560162961423835</v>
      </c>
      <c r="CF349" s="4"/>
      <c r="CG349" s="4"/>
      <c r="CH349" s="4"/>
      <c r="CI349" s="4"/>
      <c r="CJ349" s="4"/>
      <c r="CK349" s="4"/>
      <c r="CL349" s="4"/>
      <c r="CM349" s="4"/>
      <c r="CN349" s="240">
        <f t="shared" si="931"/>
        <v>342</v>
      </c>
    </row>
    <row r="350" spans="1:92" hidden="1" outlineLevel="2">
      <c r="A350" s="146"/>
      <c r="B350" s="84" t="s">
        <v>220</v>
      </c>
      <c r="C350" s="100">
        <f t="shared" ref="C350:Q350" si="974">(C31)/AVERAGE(B280:C280)</f>
        <v>0.31264260171136976</v>
      </c>
      <c r="D350" s="100">
        <f t="shared" si="974"/>
        <v>0.21692303766390575</v>
      </c>
      <c r="E350" s="100">
        <f t="shared" si="974"/>
        <v>0.17949661911840775</v>
      </c>
      <c r="F350" s="100">
        <f t="shared" si="974"/>
        <v>-5.5630659740779929E-2</v>
      </c>
      <c r="G350" s="100">
        <f t="shared" si="974"/>
        <v>0.3014574886835375</v>
      </c>
      <c r="H350" s="100">
        <f t="shared" si="974"/>
        <v>0.46235267812893999</v>
      </c>
      <c r="I350" s="100">
        <f t="shared" si="974"/>
        <v>0.33879881383347438</v>
      </c>
      <c r="J350" s="100">
        <f t="shared" si="974"/>
        <v>0.18872829553934978</v>
      </c>
      <c r="K350" s="100">
        <f t="shared" si="974"/>
        <v>0.25466956900645016</v>
      </c>
      <c r="L350" s="100">
        <f t="shared" si="974"/>
        <v>-9.1737526118317037E-2</v>
      </c>
      <c r="M350" s="100">
        <f t="shared" si="974"/>
        <v>-0.18596766491575142</v>
      </c>
      <c r="N350" s="100">
        <f t="shared" si="974"/>
        <v>0.16134922630020671</v>
      </c>
      <c r="O350" s="100">
        <f t="shared" si="974"/>
        <v>0.33436365076609426</v>
      </c>
      <c r="P350" s="100">
        <f t="shared" si="974"/>
        <v>0.32723406553377943</v>
      </c>
      <c r="Q350" s="100">
        <f t="shared" si="974"/>
        <v>0.27381890021064603</v>
      </c>
      <c r="R350" s="100"/>
      <c r="S350" s="4"/>
      <c r="T350" s="100">
        <f>(4*T31)/AVERAGE(T280:T280)</f>
        <v>0.19328895701656765</v>
      </c>
      <c r="U350" s="100">
        <f t="shared" ref="U350:AZ350" si="975">(4*U31)/AVERAGE(T280:U280)</f>
        <v>0.24190955406000378</v>
      </c>
      <c r="V350" s="100">
        <f t="shared" si="975"/>
        <v>0.15208953894568089</v>
      </c>
      <c r="W350" s="100">
        <f t="shared" si="975"/>
        <v>0.32337793775427998</v>
      </c>
      <c r="X350" s="100">
        <f t="shared" si="975"/>
        <v>0.40870005888399452</v>
      </c>
      <c r="Y350" s="100">
        <f t="shared" si="975"/>
        <v>0.41281700063348736</v>
      </c>
      <c r="Z350" s="100">
        <f t="shared" si="975"/>
        <v>0.39243502042653622</v>
      </c>
      <c r="AA350" s="100">
        <f t="shared" si="975"/>
        <v>0.3679872308056813</v>
      </c>
      <c r="AB350" s="100">
        <f t="shared" si="975"/>
        <v>0.32303488074086661</v>
      </c>
      <c r="AC350" s="100">
        <f t="shared" si="975"/>
        <v>0.25797156788272935</v>
      </c>
      <c r="AD350" s="100">
        <f t="shared" si="975"/>
        <v>0.15479579308418376</v>
      </c>
      <c r="AE350" s="100">
        <f t="shared" si="975"/>
        <v>0.20304197819869779</v>
      </c>
      <c r="AF350" s="100">
        <f t="shared" si="975"/>
        <v>0.14332611377123378</v>
      </c>
      <c r="AG350" s="100">
        <f t="shared" si="975"/>
        <v>0.21217893681422173</v>
      </c>
      <c r="AH350" s="100">
        <f t="shared" si="975"/>
        <v>0.2351942998681707</v>
      </c>
      <c r="AI350" s="100">
        <f t="shared" si="975"/>
        <v>0.18269651479630947</v>
      </c>
      <c r="AJ350" s="100">
        <f t="shared" si="975"/>
        <v>3.9910812827581896E-2</v>
      </c>
      <c r="AK350" s="100">
        <f t="shared" si="975"/>
        <v>-0.10609300022589484</v>
      </c>
      <c r="AL350" s="100">
        <f t="shared" si="975"/>
        <v>-9.7992729571676929E-2</v>
      </c>
      <c r="AM350" s="100">
        <f t="shared" si="975"/>
        <v>-5.0313187988959535E-2</v>
      </c>
      <c r="AN350" s="100">
        <f t="shared" si="975"/>
        <v>0.12932974137671024</v>
      </c>
      <c r="AO350" s="100">
        <f t="shared" si="975"/>
        <v>0.29145305746956834</v>
      </c>
      <c r="AP350" s="100">
        <f t="shared" si="975"/>
        <v>0.39440515627480671</v>
      </c>
      <c r="AQ350" s="100">
        <f t="shared" si="975"/>
        <v>0.43120484678880805</v>
      </c>
      <c r="AR350" s="100">
        <f t="shared" si="975"/>
        <v>0.46777505405552527</v>
      </c>
      <c r="AS350" s="100">
        <f t="shared" si="975"/>
        <v>0.4766542668586356</v>
      </c>
      <c r="AT350" s="100">
        <f t="shared" si="975"/>
        <v>0.50298353517565098</v>
      </c>
      <c r="AU350" s="100">
        <f t="shared" si="975"/>
        <v>0.40675919050640591</v>
      </c>
      <c r="AV350" s="100">
        <f t="shared" si="975"/>
        <v>0.42052220423675141</v>
      </c>
      <c r="AW350" s="100">
        <f t="shared" si="975"/>
        <v>0.35307513647930161</v>
      </c>
      <c r="AX350" s="100">
        <f t="shared" si="975"/>
        <v>0.29937113475667593</v>
      </c>
      <c r="AY350" s="100">
        <f t="shared" si="975"/>
        <v>0.24515918403483872</v>
      </c>
      <c r="AZ350" s="100">
        <f t="shared" si="975"/>
        <v>0.15488477530480688</v>
      </c>
      <c r="BA350" s="100">
        <f t="shared" ref="BA350:CE350" si="976">(4*BA31)/AVERAGE(AZ280:BA280)</f>
        <v>0.17671711750315369</v>
      </c>
      <c r="BB350" s="100">
        <f t="shared" si="976"/>
        <v>0.23071748373744302</v>
      </c>
      <c r="BC350" s="100">
        <f t="shared" si="976"/>
        <v>0.15720174791572372</v>
      </c>
      <c r="BD350" s="100">
        <f t="shared" si="976"/>
        <v>0.16183961697245114</v>
      </c>
      <c r="BE350" s="100">
        <f t="shared" si="976"/>
        <v>0.2531374424550128</v>
      </c>
      <c r="BF350" s="100">
        <f t="shared" si="976"/>
        <v>0.24924733144786065</v>
      </c>
      <c r="BG350" s="100">
        <f t="shared" si="976"/>
        <v>0.29032307823909109</v>
      </c>
      <c r="BH350" s="100">
        <f t="shared" si="976"/>
        <v>2.8210534380888004E-2</v>
      </c>
      <c r="BI350" s="100">
        <f t="shared" si="976"/>
        <v>-0.13084929085678329</v>
      </c>
      <c r="BJ350" s="100">
        <f t="shared" si="976"/>
        <v>-0.14020800197717481</v>
      </c>
      <c r="BK350" s="100">
        <f t="shared" si="976"/>
        <v>-0.15627555835168291</v>
      </c>
      <c r="BL350" s="100">
        <f t="shared" si="976"/>
        <v>-0.20046322212868525</v>
      </c>
      <c r="BM350" s="100">
        <f t="shared" si="976"/>
        <v>-0.21712624147634782</v>
      </c>
      <c r="BN350" s="100">
        <f t="shared" si="976"/>
        <v>-0.18199120350924955</v>
      </c>
      <c r="BO350" s="100">
        <f t="shared" si="976"/>
        <v>-0.10267242852252423</v>
      </c>
      <c r="BP350" s="100">
        <f t="shared" si="976"/>
        <v>1.8007850560608319E-2</v>
      </c>
      <c r="BQ350" s="100">
        <f t="shared" si="976"/>
        <v>0.21179779928849177</v>
      </c>
      <c r="BR350" s="100">
        <f t="shared" si="976"/>
        <v>0.26510319252972547</v>
      </c>
      <c r="BS350" s="100">
        <f t="shared" si="976"/>
        <v>0.17110646483231581</v>
      </c>
      <c r="BT350" s="100">
        <f t="shared" si="976"/>
        <v>0.25612414732874911</v>
      </c>
      <c r="BU350" s="100">
        <f t="shared" si="976"/>
        <v>0.34731421698731801</v>
      </c>
      <c r="BV350" s="100">
        <f t="shared" si="976"/>
        <v>0.35952565611496912</v>
      </c>
      <c r="BW350" s="100">
        <f t="shared" si="976"/>
        <v>0.36138057369844906</v>
      </c>
      <c r="BX350" s="100">
        <f t="shared" si="976"/>
        <v>0.3425476398368999</v>
      </c>
      <c r="BY350" s="100">
        <f t="shared" si="976"/>
        <v>0.32458982183452151</v>
      </c>
      <c r="BZ350" s="100">
        <f t="shared" si="976"/>
        <v>0.32205359967385666</v>
      </c>
      <c r="CA350" s="100">
        <f t="shared" si="976"/>
        <v>0.31131041331269393</v>
      </c>
      <c r="CB350" s="100">
        <f t="shared" si="976"/>
        <v>0.28985300343269155</v>
      </c>
      <c r="CC350" s="100">
        <f t="shared" si="976"/>
        <v>0.27640137457718456</v>
      </c>
      <c r="CD350" s="100">
        <f t="shared" si="976"/>
        <v>0.26516304727610895</v>
      </c>
      <c r="CE350" s="100">
        <f t="shared" si="976"/>
        <v>0.25526970565817025</v>
      </c>
      <c r="CF350" s="4"/>
      <c r="CG350" s="4"/>
      <c r="CH350" s="4"/>
      <c r="CI350" s="4"/>
      <c r="CJ350" s="4"/>
      <c r="CK350" s="4"/>
      <c r="CL350" s="4"/>
      <c r="CM350" s="4"/>
      <c r="CN350" s="240">
        <f t="shared" si="931"/>
        <v>343</v>
      </c>
    </row>
    <row r="351" spans="1:92" hidden="1" outlineLevel="2">
      <c r="A351" s="146"/>
      <c r="B351" s="84" t="s">
        <v>221</v>
      </c>
      <c r="C351" s="100">
        <f t="shared" ref="C351:Q351" si="977">(C33)/AVERAGE(B280:C280)</f>
        <v>0.31264260171136976</v>
      </c>
      <c r="D351" s="100">
        <f t="shared" si="977"/>
        <v>0.21692303766390575</v>
      </c>
      <c r="E351" s="100">
        <f t="shared" si="977"/>
        <v>0.17949661911840775</v>
      </c>
      <c r="F351" s="100">
        <f t="shared" si="977"/>
        <v>-5.5630659740779929E-2</v>
      </c>
      <c r="G351" s="100">
        <f t="shared" si="977"/>
        <v>0.3014574886835375</v>
      </c>
      <c r="H351" s="100">
        <f t="shared" si="977"/>
        <v>0.45703875643782815</v>
      </c>
      <c r="I351" s="100">
        <f t="shared" si="977"/>
        <v>0.33879881383347438</v>
      </c>
      <c r="J351" s="100">
        <f t="shared" si="977"/>
        <v>0.18872829553934978</v>
      </c>
      <c r="K351" s="100">
        <f t="shared" si="977"/>
        <v>0.25466956900645016</v>
      </c>
      <c r="L351" s="100">
        <f t="shared" si="977"/>
        <v>-9.1737526118317037E-2</v>
      </c>
      <c r="M351" s="100">
        <f t="shared" si="977"/>
        <v>-0.16959547035950612</v>
      </c>
      <c r="N351" s="100">
        <f t="shared" si="977"/>
        <v>0.18385960747071856</v>
      </c>
      <c r="O351" s="100">
        <f t="shared" si="977"/>
        <v>0.33436365076609426</v>
      </c>
      <c r="P351" s="100">
        <f t="shared" si="977"/>
        <v>0.32723406553377943</v>
      </c>
      <c r="Q351" s="100">
        <f t="shared" si="977"/>
        <v>0.27381890021064603</v>
      </c>
      <c r="R351" s="100"/>
      <c r="S351" s="4"/>
      <c r="T351" s="100">
        <f>(4*T33)/AVERAGE(T280:T280)</f>
        <v>0.20844969867500998</v>
      </c>
      <c r="U351" s="100">
        <f t="shared" ref="U351:AZ351" si="978">(4*U33)/AVERAGE(T280:U280)</f>
        <v>0.24970123907163971</v>
      </c>
      <c r="V351" s="100">
        <f t="shared" si="978"/>
        <v>0.23572255593710106</v>
      </c>
      <c r="W351" s="100">
        <f t="shared" si="978"/>
        <v>0.38621160133835702</v>
      </c>
      <c r="X351" s="100">
        <f t="shared" si="978"/>
        <v>0.40870005888399452</v>
      </c>
      <c r="Y351" s="100">
        <f t="shared" si="978"/>
        <v>0.41281700063348736</v>
      </c>
      <c r="Z351" s="100">
        <f t="shared" si="978"/>
        <v>0.39243502042653622</v>
      </c>
      <c r="AA351" s="100">
        <f t="shared" si="978"/>
        <v>0.3679872308056813</v>
      </c>
      <c r="AB351" s="100">
        <f t="shared" si="978"/>
        <v>0.32303488074086661</v>
      </c>
      <c r="AC351" s="100">
        <f t="shared" si="978"/>
        <v>0.25797156788272935</v>
      </c>
      <c r="AD351" s="100">
        <f t="shared" si="978"/>
        <v>0.15479579308418376</v>
      </c>
      <c r="AE351" s="100">
        <f t="shared" si="978"/>
        <v>0.20304197819869779</v>
      </c>
      <c r="AF351" s="100">
        <f t="shared" si="978"/>
        <v>0.14332611377123378</v>
      </c>
      <c r="AG351" s="100">
        <f t="shared" si="978"/>
        <v>0.21217893681422173</v>
      </c>
      <c r="AH351" s="100">
        <f t="shared" si="978"/>
        <v>0.2351942998681707</v>
      </c>
      <c r="AI351" s="100">
        <f t="shared" si="978"/>
        <v>0.18269651479630947</v>
      </c>
      <c r="AJ351" s="100">
        <f t="shared" si="978"/>
        <v>3.9910812827581896E-2</v>
      </c>
      <c r="AK351" s="100">
        <f t="shared" si="978"/>
        <v>-0.10609300022589484</v>
      </c>
      <c r="AL351" s="100">
        <f t="shared" si="978"/>
        <v>-9.7992729571676929E-2</v>
      </c>
      <c r="AM351" s="100">
        <f t="shared" si="978"/>
        <v>-5.0313187988959535E-2</v>
      </c>
      <c r="AN351" s="100">
        <f t="shared" si="978"/>
        <v>0.12932974137671024</v>
      </c>
      <c r="AO351" s="100">
        <f t="shared" si="978"/>
        <v>0.29145305746956834</v>
      </c>
      <c r="AP351" s="100">
        <f t="shared" si="978"/>
        <v>0.39440515627480671</v>
      </c>
      <c r="AQ351" s="100">
        <f t="shared" si="978"/>
        <v>0.43120484678880805</v>
      </c>
      <c r="AR351" s="100">
        <f t="shared" si="978"/>
        <v>0.46777505405552527</v>
      </c>
      <c r="AS351" s="100">
        <f t="shared" si="978"/>
        <v>0.4766542668586356</v>
      </c>
      <c r="AT351" s="100">
        <f t="shared" si="978"/>
        <v>0.48706460809967361</v>
      </c>
      <c r="AU351" s="100">
        <f t="shared" si="978"/>
        <v>0.40275411429574309</v>
      </c>
      <c r="AV351" s="100">
        <f t="shared" si="978"/>
        <v>0.42052220423675141</v>
      </c>
      <c r="AW351" s="100">
        <f t="shared" si="978"/>
        <v>0.35307513647930161</v>
      </c>
      <c r="AX351" s="100">
        <f t="shared" si="978"/>
        <v>0.29937113475667593</v>
      </c>
      <c r="AY351" s="100">
        <f t="shared" si="978"/>
        <v>0.24515918403483872</v>
      </c>
      <c r="AZ351" s="100">
        <f t="shared" si="978"/>
        <v>0.15488477530480688</v>
      </c>
      <c r="BA351" s="100">
        <f t="shared" ref="BA351:CE351" si="979">(4*BA33)/AVERAGE(AZ280:BA280)</f>
        <v>0.17671711750315369</v>
      </c>
      <c r="BB351" s="100">
        <f t="shared" si="979"/>
        <v>0.23071748373744302</v>
      </c>
      <c r="BC351" s="100">
        <f t="shared" si="979"/>
        <v>0.15720174791572372</v>
      </c>
      <c r="BD351" s="100">
        <f t="shared" si="979"/>
        <v>0.16183961697245114</v>
      </c>
      <c r="BE351" s="100">
        <f t="shared" si="979"/>
        <v>0.2531374424550128</v>
      </c>
      <c r="BF351" s="100">
        <f t="shared" si="979"/>
        <v>0.24924733144786065</v>
      </c>
      <c r="BG351" s="100">
        <f t="shared" si="979"/>
        <v>0.29032307823909109</v>
      </c>
      <c r="BH351" s="100">
        <f t="shared" si="979"/>
        <v>2.8210534380888004E-2</v>
      </c>
      <c r="BI351" s="100">
        <f t="shared" si="979"/>
        <v>-0.13084929085678329</v>
      </c>
      <c r="BJ351" s="100">
        <f t="shared" si="979"/>
        <v>-0.14020800197717481</v>
      </c>
      <c r="BK351" s="100">
        <f t="shared" si="979"/>
        <v>-0.15627555835168291</v>
      </c>
      <c r="BL351" s="100">
        <f t="shared" si="979"/>
        <v>-0.13892817920371953</v>
      </c>
      <c r="BM351" s="100">
        <f t="shared" si="979"/>
        <v>-0.21712624147634782</v>
      </c>
      <c r="BN351" s="100">
        <f t="shared" si="979"/>
        <v>-0.18199120350924955</v>
      </c>
      <c r="BO351" s="100">
        <f t="shared" si="979"/>
        <v>-0.10267242852252423</v>
      </c>
      <c r="BP351" s="100">
        <f t="shared" si="979"/>
        <v>1.8007850560608319E-2</v>
      </c>
      <c r="BQ351" s="100">
        <f t="shared" si="979"/>
        <v>0.21179779928849177</v>
      </c>
      <c r="BR351" s="100">
        <f t="shared" si="979"/>
        <v>0.26510319252972547</v>
      </c>
      <c r="BS351" s="100">
        <f t="shared" si="979"/>
        <v>0.25738005631289901</v>
      </c>
      <c r="BT351" s="100">
        <f t="shared" si="979"/>
        <v>0.25612414732874911</v>
      </c>
      <c r="BU351" s="100">
        <f t="shared" si="979"/>
        <v>0.34731421698731801</v>
      </c>
      <c r="BV351" s="100">
        <f t="shared" si="979"/>
        <v>0.35952565611496912</v>
      </c>
      <c r="BW351" s="100">
        <f t="shared" si="979"/>
        <v>0.36138057369844906</v>
      </c>
      <c r="BX351" s="100">
        <f t="shared" si="979"/>
        <v>0.3425476398368999</v>
      </c>
      <c r="BY351" s="100">
        <f t="shared" si="979"/>
        <v>0.32458982183452151</v>
      </c>
      <c r="BZ351" s="100">
        <f t="shared" si="979"/>
        <v>0.32205359967385666</v>
      </c>
      <c r="CA351" s="100">
        <f t="shared" si="979"/>
        <v>0.31131041331269393</v>
      </c>
      <c r="CB351" s="100">
        <f t="shared" si="979"/>
        <v>0.28985300343269155</v>
      </c>
      <c r="CC351" s="100">
        <f t="shared" si="979"/>
        <v>0.27640137457718456</v>
      </c>
      <c r="CD351" s="100">
        <f t="shared" si="979"/>
        <v>0.26516304727610895</v>
      </c>
      <c r="CE351" s="100">
        <f t="shared" si="979"/>
        <v>0.25526970565817025</v>
      </c>
      <c r="CF351" s="4"/>
      <c r="CG351" s="4"/>
      <c r="CH351" s="4"/>
      <c r="CI351" s="4"/>
      <c r="CJ351" s="4"/>
      <c r="CK351" s="4"/>
      <c r="CL351" s="4"/>
      <c r="CM351" s="4"/>
      <c r="CN351" s="240">
        <f t="shared" si="931"/>
        <v>344</v>
      </c>
    </row>
    <row r="352" spans="1:92" hidden="1" outlineLevel="2">
      <c r="A352" s="146"/>
      <c r="B352" s="84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4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100"/>
      <c r="AE352" s="100"/>
      <c r="AF352" s="100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  <c r="BC352" s="100"/>
      <c r="BD352" s="100"/>
      <c r="BE352" s="100"/>
      <c r="BF352" s="100"/>
      <c r="BG352" s="100"/>
      <c r="BH352" s="100"/>
      <c r="BI352" s="100"/>
      <c r="BJ352" s="100"/>
      <c r="BK352" s="100"/>
      <c r="BL352" s="100"/>
      <c r="BM352" s="100"/>
      <c r="BN352" s="100"/>
      <c r="BO352" s="100"/>
      <c r="BP352" s="100"/>
      <c r="BQ352" s="100"/>
      <c r="BR352" s="100"/>
      <c r="BS352" s="100"/>
      <c r="BT352" s="100"/>
      <c r="BU352" s="100"/>
      <c r="BV352" s="100"/>
      <c r="BW352" s="100"/>
      <c r="BX352" s="100"/>
      <c r="BY352" s="100"/>
      <c r="BZ352" s="100"/>
      <c r="CA352" s="100"/>
      <c r="CB352" s="100"/>
      <c r="CC352" s="100"/>
      <c r="CD352" s="100"/>
      <c r="CE352" s="100"/>
      <c r="CF352" s="4"/>
      <c r="CG352" s="4"/>
      <c r="CH352" s="4"/>
      <c r="CI352" s="4"/>
      <c r="CJ352" s="4"/>
      <c r="CK352" s="4"/>
      <c r="CL352" s="4"/>
      <c r="CM352" s="4"/>
      <c r="CN352" s="240">
        <f t="shared" si="931"/>
        <v>345</v>
      </c>
    </row>
    <row r="353" spans="1:92" hidden="1" outlineLevel="2">
      <c r="A353" s="146"/>
      <c r="B353" s="84" t="s">
        <v>308</v>
      </c>
      <c r="C353" s="100">
        <f t="shared" ref="C353:Q353" si="980">+C243/C18</f>
        <v>-0.19036615387431244</v>
      </c>
      <c r="D353" s="100">
        <f t="shared" si="980"/>
        <v>-0.49882147574573754</v>
      </c>
      <c r="E353" s="100">
        <f t="shared" si="980"/>
        <v>2.732957073604815E-2</v>
      </c>
      <c r="F353" s="100">
        <f t="shared" si="980"/>
        <v>1.0441354982621771</v>
      </c>
      <c r="G353" s="100">
        <f t="shared" si="980"/>
        <v>-5.0867560327536906E-2</v>
      </c>
      <c r="H353" s="100">
        <f t="shared" si="980"/>
        <v>-5.3894688780851227E-2</v>
      </c>
      <c r="I353" s="100">
        <f t="shared" si="980"/>
        <v>0.34825923893709243</v>
      </c>
      <c r="J353" s="100">
        <f t="shared" si="980"/>
        <v>0.32926099391057051</v>
      </c>
      <c r="K353" s="100">
        <f t="shared" si="980"/>
        <v>-7.5426882577310728E-2</v>
      </c>
      <c r="L353" s="100">
        <f t="shared" si="980"/>
        <v>2.5081745765348318</v>
      </c>
      <c r="M353" s="100">
        <f t="shared" si="980"/>
        <v>-2.4549340675264455</v>
      </c>
      <c r="N353" s="100">
        <f t="shared" si="980"/>
        <v>4.2040475152119269E-2</v>
      </c>
      <c r="O353" s="100">
        <f t="shared" si="980"/>
        <v>0.30397660242861907</v>
      </c>
      <c r="P353" s="100">
        <f t="shared" si="980"/>
        <v>0.26166810934989509</v>
      </c>
      <c r="Q353" s="100">
        <f t="shared" si="980"/>
        <v>0.55241110030952456</v>
      </c>
      <c r="R353" s="100"/>
      <c r="S353" s="4"/>
      <c r="T353" s="100">
        <f t="shared" ref="T353:AY353" si="981">+T243/T18</f>
        <v>0</v>
      </c>
      <c r="U353" s="100">
        <f t="shared" si="981"/>
        <v>0</v>
      </c>
      <c r="V353" s="100">
        <f t="shared" si="981"/>
        <v>0</v>
      </c>
      <c r="W353" s="100">
        <f t="shared" si="981"/>
        <v>-0.16770433169956311</v>
      </c>
      <c r="X353" s="100">
        <f t="shared" si="981"/>
        <v>-7.4913600325269197E-2</v>
      </c>
      <c r="Y353" s="100">
        <f t="shared" si="981"/>
        <v>-0.11261995627848377</v>
      </c>
      <c r="Z353" s="100">
        <f t="shared" si="981"/>
        <v>1.7507669522902818E-2</v>
      </c>
      <c r="AA353" s="100">
        <f t="shared" si="981"/>
        <v>-0.55973813420621943</v>
      </c>
      <c r="AB353" s="100">
        <f t="shared" si="981"/>
        <v>-0.6824555018284546</v>
      </c>
      <c r="AC353" s="100">
        <f t="shared" si="981"/>
        <v>-0.75853164284561447</v>
      </c>
      <c r="AD353" s="100">
        <f t="shared" si="981"/>
        <v>-0.36832341696264992</v>
      </c>
      <c r="AE353" s="100">
        <f t="shared" si="981"/>
        <v>-0.15758314777506793</v>
      </c>
      <c r="AF353" s="100">
        <f t="shared" si="981"/>
        <v>7.630757220921121E-3</v>
      </c>
      <c r="AG353" s="100">
        <f t="shared" si="981"/>
        <v>-0.19087383976551076</v>
      </c>
      <c r="AH353" s="100">
        <f t="shared" si="981"/>
        <v>2.8371331471264017E-2</v>
      </c>
      <c r="AI353" s="100">
        <f t="shared" si="981"/>
        <v>0.25533444139975747</v>
      </c>
      <c r="AJ353" s="100">
        <f t="shared" si="981"/>
        <v>1.3173019769996126</v>
      </c>
      <c r="AK353" s="100">
        <f t="shared" si="981"/>
        <v>0.43307337259270906</v>
      </c>
      <c r="AL353" s="100">
        <f t="shared" si="981"/>
        <v>1.0645862032425557</v>
      </c>
      <c r="AM353" s="100">
        <f t="shared" si="981"/>
        <v>0.91927619047619036</v>
      </c>
      <c r="AN353" s="100">
        <f t="shared" si="981"/>
        <v>-0.39166502073869264</v>
      </c>
      <c r="AO353" s="100">
        <f t="shared" si="981"/>
        <v>0.19696211579699796</v>
      </c>
      <c r="AP353" s="100">
        <f t="shared" si="981"/>
        <v>-8.2532652754841215E-2</v>
      </c>
      <c r="AQ353" s="100">
        <f t="shared" si="981"/>
        <v>-3.8171436050982721E-2</v>
      </c>
      <c r="AR353" s="100">
        <f t="shared" si="981"/>
        <v>-4.6285271231966081E-2</v>
      </c>
      <c r="AS353" s="100">
        <f t="shared" si="981"/>
        <v>-0.15832937189941648</v>
      </c>
      <c r="AT353" s="100">
        <f t="shared" si="981"/>
        <v>0.23636343991918243</v>
      </c>
      <c r="AU353" s="100">
        <f t="shared" si="981"/>
        <v>-0.2728170339307911</v>
      </c>
      <c r="AV353" s="100">
        <f t="shared" si="981"/>
        <v>0.34605697624448539</v>
      </c>
      <c r="AW353" s="100">
        <f t="shared" si="981"/>
        <v>0.21942995356037162</v>
      </c>
      <c r="AX353" s="100">
        <f t="shared" si="981"/>
        <v>0.56515796735463675</v>
      </c>
      <c r="AY353" s="100">
        <f t="shared" si="981"/>
        <v>0.27126930144538008</v>
      </c>
      <c r="AZ353" s="100">
        <f t="shared" ref="AZ353:CE353" si="982">+AZ243/AZ18</f>
        <v>0.32187610933617322</v>
      </c>
      <c r="BA353" s="100">
        <f t="shared" si="982"/>
        <v>0.45669529405035264</v>
      </c>
      <c r="BB353" s="100">
        <f t="shared" si="982"/>
        <v>0.36720164198463456</v>
      </c>
      <c r="BC353" s="100">
        <f t="shared" si="982"/>
        <v>0.16533781633302616</v>
      </c>
      <c r="BD353" s="100">
        <f t="shared" si="982"/>
        <v>0.30554855288731297</v>
      </c>
      <c r="BE353" s="100">
        <f t="shared" si="982"/>
        <v>-0.36587699514765176</v>
      </c>
      <c r="BF353" s="100">
        <f t="shared" si="982"/>
        <v>-5.7605325126483378E-2</v>
      </c>
      <c r="BG353" s="100">
        <f t="shared" si="982"/>
        <v>-9.1975111260215209E-2</v>
      </c>
      <c r="BH353" s="100">
        <f t="shared" si="982"/>
        <v>1.3639939315614993</v>
      </c>
      <c r="BI353" s="100">
        <f t="shared" si="982"/>
        <v>6.8126935963082333</v>
      </c>
      <c r="BJ353" s="100">
        <f t="shared" si="982"/>
        <v>1.2429113323850201</v>
      </c>
      <c r="BK353" s="100">
        <f t="shared" si="982"/>
        <v>5.3582206405693835</v>
      </c>
      <c r="BL353" s="100">
        <f t="shared" si="982"/>
        <v>-3.2020865251331441</v>
      </c>
      <c r="BM353" s="100">
        <f t="shared" si="982"/>
        <v>-1.4704502126411498</v>
      </c>
      <c r="BN353" s="100">
        <f t="shared" si="982"/>
        <v>0.77441860465115897</v>
      </c>
      <c r="BO353" s="100">
        <f t="shared" si="982"/>
        <v>-0.15448559670781956</v>
      </c>
      <c r="BP353" s="100">
        <f t="shared" si="982"/>
        <v>-0.5401610017889088</v>
      </c>
      <c r="BQ353" s="100">
        <f t="shared" si="982"/>
        <v>0.2122366179932253</v>
      </c>
      <c r="BR353" s="100">
        <f t="shared" si="982"/>
        <v>0.26568993191196194</v>
      </c>
      <c r="BS353" s="100">
        <f t="shared" si="982"/>
        <v>-0.18160450797030844</v>
      </c>
      <c r="BT353" s="100">
        <f t="shared" si="982"/>
        <v>0.47587324237855305</v>
      </c>
      <c r="BU353" s="100">
        <f t="shared" si="982"/>
        <v>-0.11895876512291272</v>
      </c>
      <c r="BV353" s="100">
        <f t="shared" si="982"/>
        <v>0.37376533475570534</v>
      </c>
      <c r="BW353" s="100">
        <f t="shared" si="982"/>
        <v>0.49062289799480968</v>
      </c>
      <c r="BX353" s="100">
        <f t="shared" si="982"/>
        <v>0.55567527633667357</v>
      </c>
      <c r="BY353" s="100">
        <f t="shared" si="982"/>
        <v>0.56608683111410107</v>
      </c>
      <c r="BZ353" s="100">
        <f t="shared" si="982"/>
        <v>-3.1954259676663537E-3</v>
      </c>
      <c r="CA353" s="100">
        <f t="shared" si="982"/>
        <v>-3.0456018890102882E-2</v>
      </c>
      <c r="CB353" s="100">
        <f t="shared" si="982"/>
        <v>0.50353128383604551</v>
      </c>
      <c r="CC353" s="100">
        <f t="shared" si="982"/>
        <v>0.57215437276093251</v>
      </c>
      <c r="CD353" s="100">
        <f t="shared" si="982"/>
        <v>0.56802969894444966</v>
      </c>
      <c r="CE353" s="100">
        <f t="shared" si="982"/>
        <v>0.5658087172587416</v>
      </c>
      <c r="CF353" s="4"/>
      <c r="CG353" s="4"/>
      <c r="CH353" s="4"/>
      <c r="CI353" s="4"/>
      <c r="CJ353" s="4"/>
      <c r="CK353" s="4"/>
      <c r="CL353" s="4"/>
      <c r="CM353" s="4"/>
      <c r="CN353" s="240">
        <f t="shared" si="931"/>
        <v>346</v>
      </c>
    </row>
    <row r="354" spans="1:92" ht="12.75" hidden="1" customHeight="1" outlineLevel="2">
      <c r="A354" s="143"/>
      <c r="B354" s="10" t="s">
        <v>309</v>
      </c>
      <c r="C354" s="174">
        <f t="shared" ref="C354:Q354" si="983">C241/C18</f>
        <v>0.54098525683850229</v>
      </c>
      <c r="D354" s="174">
        <f t="shared" si="983"/>
        <v>0.66223728243975521</v>
      </c>
      <c r="E354" s="174">
        <f t="shared" si="983"/>
        <v>0.69209932632334903</v>
      </c>
      <c r="F354" s="174">
        <f t="shared" si="983"/>
        <v>1.7478757068008501</v>
      </c>
      <c r="G354" s="174">
        <f t="shared" si="983"/>
        <v>0.45804145508037791</v>
      </c>
      <c r="H354" s="174">
        <f t="shared" si="983"/>
        <v>0.57150237978303353</v>
      </c>
      <c r="I354" s="174">
        <f t="shared" si="983"/>
        <v>0.84405054055846651</v>
      </c>
      <c r="J354" s="174">
        <f t="shared" si="983"/>
        <v>0.7343144973408956</v>
      </c>
      <c r="K354" s="174">
        <f t="shared" si="983"/>
        <v>0.49942669689209379</v>
      </c>
      <c r="L354" s="174">
        <f t="shared" si="983"/>
        <v>3.8788672664903774</v>
      </c>
      <c r="M354" s="174">
        <f t="shared" si="983"/>
        <v>-3.6843935661498333</v>
      </c>
      <c r="N354" s="174">
        <f t="shared" si="983"/>
        <v>0.34708117874275751</v>
      </c>
      <c r="O354" s="174">
        <f t="shared" si="983"/>
        <v>0.73431399824172516</v>
      </c>
      <c r="P354" s="174">
        <f t="shared" si="983"/>
        <v>0.77097741279892029</v>
      </c>
      <c r="Q354" s="174">
        <f t="shared" si="983"/>
        <v>0.82742711545310776</v>
      </c>
      <c r="R354" s="6"/>
      <c r="S354" s="4"/>
      <c r="T354" s="174">
        <f t="shared" ref="T354:AY354" si="984">T241/T18</f>
        <v>0</v>
      </c>
      <c r="U354" s="174">
        <f t="shared" si="984"/>
        <v>0</v>
      </c>
      <c r="V354" s="174">
        <f t="shared" si="984"/>
        <v>0</v>
      </c>
      <c r="W354" s="174">
        <f t="shared" si="984"/>
        <v>0.29246257782487745</v>
      </c>
      <c r="X354" s="174">
        <f t="shared" si="984"/>
        <v>0.45303923561699549</v>
      </c>
      <c r="Y354" s="174">
        <f t="shared" si="984"/>
        <v>0.40205268813220202</v>
      </c>
      <c r="Z354" s="174">
        <f t="shared" si="984"/>
        <v>0.78569413590041959</v>
      </c>
      <c r="AA354" s="174">
        <f t="shared" si="984"/>
        <v>0.50596699399890877</v>
      </c>
      <c r="AB354" s="174">
        <f t="shared" si="984"/>
        <v>0.42089117662351155</v>
      </c>
      <c r="AC354" s="174">
        <f t="shared" si="984"/>
        <v>0.50368523931639264</v>
      </c>
      <c r="AD354" s="174">
        <f t="shared" si="984"/>
        <v>1.0682985317738616</v>
      </c>
      <c r="AE354" s="174">
        <f t="shared" si="984"/>
        <v>0.74737567596225218</v>
      </c>
      <c r="AF354" s="174">
        <f t="shared" si="984"/>
        <v>0.91190476190476188</v>
      </c>
      <c r="AG354" s="174">
        <f t="shared" si="984"/>
        <v>0.64767037127503657</v>
      </c>
      <c r="AH354" s="174">
        <f t="shared" si="984"/>
        <v>0.51926966524030316</v>
      </c>
      <c r="AI354" s="174">
        <f t="shared" si="984"/>
        <v>0.75511732027611844</v>
      </c>
      <c r="AJ354" s="174">
        <f t="shared" si="984"/>
        <v>1.821243054658225</v>
      </c>
      <c r="AK354" s="174">
        <f t="shared" si="984"/>
        <v>2.3191150724176333</v>
      </c>
      <c r="AL354" s="174">
        <f t="shared" si="984"/>
        <v>1.8858217653915439</v>
      </c>
      <c r="AM354" s="174">
        <f t="shared" si="984"/>
        <v>1.2670857142857141</v>
      </c>
      <c r="AN354" s="174">
        <f t="shared" si="984"/>
        <v>-0.20550158906864432</v>
      </c>
      <c r="AO354" s="174">
        <f t="shared" si="984"/>
        <v>0.75092923516797727</v>
      </c>
      <c r="AP354" s="174">
        <f t="shared" si="984"/>
        <v>0.37946629635189949</v>
      </c>
      <c r="AQ354" s="174">
        <f t="shared" si="984"/>
        <v>0.62774260050066255</v>
      </c>
      <c r="AR354" s="174">
        <f t="shared" si="984"/>
        <v>0.59280591476753552</v>
      </c>
      <c r="AS354" s="174">
        <f t="shared" si="984"/>
        <v>0.52087370948671974</v>
      </c>
      <c r="AT354" s="174">
        <f t="shared" si="984"/>
        <v>0.78720645673630096</v>
      </c>
      <c r="AU354" s="174">
        <f t="shared" si="984"/>
        <v>0.36996875254103384</v>
      </c>
      <c r="AV354" s="174">
        <f t="shared" si="984"/>
        <v>1.0064896562603696</v>
      </c>
      <c r="AW354" s="174">
        <f t="shared" si="984"/>
        <v>0.69062144873429265</v>
      </c>
      <c r="AX354" s="174">
        <f t="shared" si="984"/>
        <v>1.0056615084714651</v>
      </c>
      <c r="AY354" s="174">
        <f t="shared" si="984"/>
        <v>0.64907023943391584</v>
      </c>
      <c r="AZ354" s="174">
        <f t="shared" ref="AZ354:CE354" si="985">AZ241/AZ18</f>
        <v>0.79258963436279728</v>
      </c>
      <c r="BA354" s="174">
        <f t="shared" si="985"/>
        <v>0.9098033127139904</v>
      </c>
      <c r="BB354" s="174">
        <f t="shared" si="985"/>
        <v>0.73325589019227733</v>
      </c>
      <c r="BC354" s="174">
        <f t="shared" si="985"/>
        <v>0.50667961513665272</v>
      </c>
      <c r="BD354" s="174">
        <f t="shared" si="985"/>
        <v>0.63323276598167011</v>
      </c>
      <c r="BE354" s="174">
        <f t="shared" si="985"/>
        <v>8.4620976309854462E-2</v>
      </c>
      <c r="BF354" s="174">
        <f t="shared" si="985"/>
        <v>0.66905644540812748</v>
      </c>
      <c r="BG354" s="174">
        <f t="shared" si="985"/>
        <v>0.61059710959327784</v>
      </c>
      <c r="BH354" s="174">
        <f t="shared" si="985"/>
        <v>2.8177782772377369</v>
      </c>
      <c r="BI354" s="174">
        <f t="shared" si="985"/>
        <v>9.0792717618054208</v>
      </c>
      <c r="BJ354" s="174">
        <f t="shared" si="985"/>
        <v>1.9946894262683772</v>
      </c>
      <c r="BK354" s="174">
        <f t="shared" si="985"/>
        <v>6.2282562277579938</v>
      </c>
      <c r="BL354" s="174">
        <f t="shared" si="985"/>
        <v>-3.9010724447362661</v>
      </c>
      <c r="BM354" s="174">
        <f t="shared" si="985"/>
        <v>-1.8961235762819575</v>
      </c>
      <c r="BN354" s="174">
        <f t="shared" si="985"/>
        <v>-0.41127012522361334</v>
      </c>
      <c r="BO354" s="174">
        <f t="shared" si="985"/>
        <v>0.58798353909464884</v>
      </c>
      <c r="BP354" s="174">
        <f t="shared" si="985"/>
        <v>-0.27837656529516996</v>
      </c>
      <c r="BQ354" s="174">
        <f t="shared" si="985"/>
        <v>0.39345109371710718</v>
      </c>
      <c r="BR354" s="174">
        <f t="shared" si="985"/>
        <v>0.5908927668369478</v>
      </c>
      <c r="BS354" s="174">
        <f t="shared" si="985"/>
        <v>0.24521630824552773</v>
      </c>
      <c r="BT354" s="174">
        <f t="shared" si="985"/>
        <v>1.209560849351051</v>
      </c>
      <c r="BU354" s="174">
        <f t="shared" si="985"/>
        <v>0.43990668564304614</v>
      </c>
      <c r="BV354" s="174">
        <f t="shared" si="985"/>
        <v>0.65089872732359866</v>
      </c>
      <c r="BW354" s="174">
        <f t="shared" si="985"/>
        <v>0.75722917721441274</v>
      </c>
      <c r="BX354" s="174">
        <f t="shared" si="985"/>
        <v>0.82042057185977757</v>
      </c>
      <c r="BY354" s="174">
        <f t="shared" si="985"/>
        <v>0.82972846276020518</v>
      </c>
      <c r="BZ354" s="174">
        <f t="shared" si="985"/>
        <v>0.74578911668152281</v>
      </c>
      <c r="CA354" s="174">
        <f t="shared" si="985"/>
        <v>0.69678062709047173</v>
      </c>
      <c r="CB354" s="174">
        <f t="shared" si="985"/>
        <v>0.77914213579895641</v>
      </c>
      <c r="CC354" s="174">
        <f t="shared" si="985"/>
        <v>0.84780502528235857</v>
      </c>
      <c r="CD354" s="174">
        <f t="shared" si="985"/>
        <v>0.84298034975448322</v>
      </c>
      <c r="CE354" s="174">
        <f t="shared" si="985"/>
        <v>0.83966826659843152</v>
      </c>
      <c r="CF354" s="4"/>
      <c r="CG354" s="4"/>
      <c r="CH354" s="4"/>
      <c r="CI354" s="4"/>
      <c r="CJ354" s="4"/>
      <c r="CK354" s="4"/>
      <c r="CL354" s="4"/>
      <c r="CM354" s="4"/>
      <c r="CN354" s="240">
        <f t="shared" si="931"/>
        <v>347</v>
      </c>
    </row>
    <row r="355" spans="1:92" ht="12.75" hidden="1" customHeight="1" outlineLevel="2">
      <c r="A355" s="143"/>
      <c r="B355" s="10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4"/>
      <c r="T355" s="4"/>
      <c r="U355" s="4"/>
      <c r="V355" s="4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240">
        <f t="shared" si="931"/>
        <v>348</v>
      </c>
    </row>
    <row r="356" spans="1:92" outlineLevel="1" collapsed="1">
      <c r="A356" s="146" t="s">
        <v>33</v>
      </c>
      <c r="B356" s="99" t="s">
        <v>252</v>
      </c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83"/>
      <c r="BG356" s="83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240">
        <f t="shared" si="931"/>
        <v>349</v>
      </c>
    </row>
    <row r="357" spans="1:92" ht="12.75" hidden="1" customHeight="1" outlineLevel="2">
      <c r="A357" s="143"/>
      <c r="B357" s="10" t="s">
        <v>253</v>
      </c>
      <c r="C357" s="56">
        <f>C342</f>
        <v>377.34299999999996</v>
      </c>
      <c r="D357" s="56">
        <f t="shared" ref="D357:O357" si="986">D342</f>
        <v>563.86099999999988</v>
      </c>
      <c r="E357" s="56">
        <f t="shared" si="986"/>
        <v>631.67399999999998</v>
      </c>
      <c r="F357" s="56">
        <f t="shared" si="986"/>
        <v>510.18099999999998</v>
      </c>
      <c r="G357" s="56">
        <f t="shared" si="986"/>
        <v>669.50700000000006</v>
      </c>
      <c r="H357" s="56">
        <f t="shared" si="986"/>
        <v>982.94399999999996</v>
      </c>
      <c r="I357" s="56">
        <f t="shared" si="986"/>
        <v>1018.612</v>
      </c>
      <c r="J357" s="56">
        <f t="shared" si="986"/>
        <v>1035.268</v>
      </c>
      <c r="K357" s="56">
        <f t="shared" si="986"/>
        <v>1327.509</v>
      </c>
      <c r="L357" s="56">
        <f t="shared" si="986"/>
        <v>920.09400000000039</v>
      </c>
      <c r="M357" s="56">
        <f t="shared" si="986"/>
        <v>707.82799999999997</v>
      </c>
      <c r="N357" s="56">
        <f t="shared" si="986"/>
        <v>856.28199999999993</v>
      </c>
      <c r="O357" s="56">
        <f t="shared" si="986"/>
        <v>1018.3772078070514</v>
      </c>
      <c r="P357" s="56">
        <f>P342</f>
        <v>1257.0441501854525</v>
      </c>
      <c r="Q357" s="56">
        <f>Q342</f>
        <v>1257.0465303673695</v>
      </c>
      <c r="R357" s="56"/>
      <c r="S357" s="4"/>
      <c r="T357" s="56"/>
      <c r="U357" s="56"/>
      <c r="V357" s="56"/>
      <c r="W357" s="56">
        <f t="shared" ref="W357:BW357" si="987">W342</f>
        <v>233.30599999999993</v>
      </c>
      <c r="X357" s="56">
        <f t="shared" si="987"/>
        <v>259.31</v>
      </c>
      <c r="Y357" s="56">
        <f t="shared" si="987"/>
        <v>289.34500000000003</v>
      </c>
      <c r="Z357" s="56">
        <f t="shared" si="987"/>
        <v>318.20699999999999</v>
      </c>
      <c r="AA357" s="56">
        <f t="shared" si="987"/>
        <v>377.34299999999996</v>
      </c>
      <c r="AB357" s="56">
        <f t="shared" si="987"/>
        <v>439.95599999999996</v>
      </c>
      <c r="AC357" s="56">
        <f t="shared" si="987"/>
        <v>505.21199999999999</v>
      </c>
      <c r="AD357" s="56">
        <f t="shared" si="987"/>
        <v>535.42099999999994</v>
      </c>
      <c r="AE357" s="56">
        <f t="shared" si="987"/>
        <v>563.86099999999988</v>
      </c>
      <c r="AF357" s="56">
        <f t="shared" si="987"/>
        <v>577.04599999999994</v>
      </c>
      <c r="AG357" s="56">
        <f t="shared" si="987"/>
        <v>611.18899999999996</v>
      </c>
      <c r="AH357" s="56">
        <f t="shared" si="987"/>
        <v>632.03199999999993</v>
      </c>
      <c r="AI357" s="56">
        <f t="shared" si="987"/>
        <v>631.67399999999998</v>
      </c>
      <c r="AJ357" s="56">
        <f t="shared" si="987"/>
        <v>588.33399999999995</v>
      </c>
      <c r="AK357" s="56">
        <f t="shared" si="987"/>
        <v>564.01199999999994</v>
      </c>
      <c r="AL357" s="56">
        <f t="shared" si="987"/>
        <v>529.75900000000001</v>
      </c>
      <c r="AM357" s="56">
        <f t="shared" si="987"/>
        <v>510.18099999999998</v>
      </c>
      <c r="AN357" s="56">
        <f t="shared" si="987"/>
        <v>545.11299999999994</v>
      </c>
      <c r="AO357" s="56">
        <f t="shared" si="987"/>
        <v>560.36400000000003</v>
      </c>
      <c r="AP357" s="56">
        <f t="shared" si="987"/>
        <v>610.60899999999992</v>
      </c>
      <c r="AQ357" s="56">
        <f t="shared" si="987"/>
        <v>669.50700000000006</v>
      </c>
      <c r="AR357" s="56">
        <f t="shared" si="987"/>
        <v>738.53200000000004</v>
      </c>
      <c r="AS357" s="56">
        <f t="shared" si="987"/>
        <v>831.10900000000015</v>
      </c>
      <c r="AT357" s="56">
        <f t="shared" si="987"/>
        <v>871.08900000000017</v>
      </c>
      <c r="AU357" s="56">
        <f t="shared" si="987"/>
        <v>982.94399999999996</v>
      </c>
      <c r="AV357" s="56">
        <f t="shared" si="987"/>
        <v>997.88200000000018</v>
      </c>
      <c r="AW357" s="56">
        <f t="shared" si="987"/>
        <v>1031.5200000000002</v>
      </c>
      <c r="AX357" s="56">
        <f t="shared" si="987"/>
        <v>1003.0840000000002</v>
      </c>
      <c r="AY357" s="56">
        <f t="shared" si="987"/>
        <v>1018.612</v>
      </c>
      <c r="AZ357" s="56">
        <f t="shared" si="987"/>
        <v>1017.6040000000002</v>
      </c>
      <c r="BA357" s="56">
        <f t="shared" si="987"/>
        <v>1001.1540000000002</v>
      </c>
      <c r="BB357" s="56">
        <f t="shared" si="987"/>
        <v>1003.49</v>
      </c>
      <c r="BC357" s="56">
        <f t="shared" si="987"/>
        <v>1035.268</v>
      </c>
      <c r="BD357" s="56">
        <f t="shared" si="987"/>
        <v>1037.048</v>
      </c>
      <c r="BE357" s="56">
        <f t="shared" si="987"/>
        <v>1153.748</v>
      </c>
      <c r="BF357" s="56">
        <f t="shared" si="987"/>
        <v>1227.2090000000003</v>
      </c>
      <c r="BG357" s="56">
        <f t="shared" si="987"/>
        <v>1327.509</v>
      </c>
      <c r="BH357" s="56">
        <f t="shared" si="987"/>
        <v>1236.7800000000002</v>
      </c>
      <c r="BI357" s="56">
        <f t="shared" si="987"/>
        <v>1095.0650000000001</v>
      </c>
      <c r="BJ357" s="56">
        <f t="shared" si="987"/>
        <v>1032.5619999999999</v>
      </c>
      <c r="BK357" s="56">
        <f t="shared" si="987"/>
        <v>920.09400000000039</v>
      </c>
      <c r="BL357" s="56">
        <f t="shared" si="987"/>
        <v>843.59099999999989</v>
      </c>
      <c r="BM357" s="56">
        <f t="shared" ref="BM357:BR357" si="988">BM342</f>
        <v>765.17499999999995</v>
      </c>
      <c r="BN357" s="56">
        <f t="shared" si="988"/>
        <v>729.01200000000006</v>
      </c>
      <c r="BO357" s="56">
        <f t="shared" si="988"/>
        <v>707.82799999999997</v>
      </c>
      <c r="BP357" s="56">
        <f t="shared" si="988"/>
        <v>736.74699999999996</v>
      </c>
      <c r="BQ357" s="56">
        <f t="shared" si="988"/>
        <v>757.41700000000003</v>
      </c>
      <c r="BR357" s="56">
        <f t="shared" si="988"/>
        <v>779.89599999999996</v>
      </c>
      <c r="BS357" s="56">
        <f>BS342</f>
        <v>856.28199999999993</v>
      </c>
      <c r="BT357" s="56">
        <f t="shared" si="987"/>
        <v>862.82077044202822</v>
      </c>
      <c r="BU357" s="56">
        <f t="shared" si="987"/>
        <v>968.62434245919326</v>
      </c>
      <c r="BV357" s="56">
        <f t="shared" si="987"/>
        <v>1002.1059853621483</v>
      </c>
      <c r="BW357" s="56">
        <f t="shared" si="987"/>
        <v>1018.3772078070514</v>
      </c>
      <c r="BX357" s="56">
        <f t="shared" ref="BX357:CE357" si="989">BX342</f>
        <v>1023.4354053077541</v>
      </c>
      <c r="BY357" s="56">
        <f t="shared" si="989"/>
        <v>1026.8825410096097</v>
      </c>
      <c r="BZ357" s="56">
        <f t="shared" si="989"/>
        <v>1137.8856000816336</v>
      </c>
      <c r="CA357" s="56">
        <f t="shared" si="989"/>
        <v>1257.0441501854525</v>
      </c>
      <c r="CB357" s="56">
        <f t="shared" si="989"/>
        <v>1266.0373386614588</v>
      </c>
      <c r="CC357" s="56">
        <f t="shared" si="989"/>
        <v>1261.6370660734592</v>
      </c>
      <c r="CD357" s="56">
        <f t="shared" si="989"/>
        <v>1258.7582920654827</v>
      </c>
      <c r="CE357" s="56">
        <f t="shared" si="989"/>
        <v>1257.0465303673695</v>
      </c>
      <c r="CF357" s="4"/>
      <c r="CG357" s="4"/>
      <c r="CH357" s="4"/>
      <c r="CI357" s="4"/>
      <c r="CJ357" s="4"/>
      <c r="CK357" s="4"/>
      <c r="CL357" s="4"/>
      <c r="CM357" s="4"/>
      <c r="CN357" s="240">
        <f t="shared" si="931"/>
        <v>350</v>
      </c>
    </row>
    <row r="358" spans="1:92" hidden="1" outlineLevel="2">
      <c r="A358" s="146"/>
      <c r="B358" s="84" t="s">
        <v>254</v>
      </c>
      <c r="C358" s="23">
        <f>C256</f>
        <v>2.7290000000000001</v>
      </c>
      <c r="D358" s="23">
        <f t="shared" ref="D358:O358" si="990">D256</f>
        <v>6.3380000000000001</v>
      </c>
      <c r="E358" s="23">
        <f t="shared" si="990"/>
        <v>3.0369999999999999</v>
      </c>
      <c r="F358" s="23">
        <f t="shared" si="990"/>
        <v>4.4889999999999999</v>
      </c>
      <c r="G358" s="23">
        <f t="shared" si="990"/>
        <v>9.0350000000000001</v>
      </c>
      <c r="H358" s="23">
        <f t="shared" si="990"/>
        <v>7.3929999999999998</v>
      </c>
      <c r="I358" s="23">
        <f t="shared" si="990"/>
        <v>14.163</v>
      </c>
      <c r="J358" s="23">
        <f t="shared" si="990"/>
        <v>8.6999999999999993</v>
      </c>
      <c r="K358" s="23">
        <f t="shared" si="990"/>
        <v>9.7720000000000002</v>
      </c>
      <c r="L358" s="23">
        <f t="shared" si="990"/>
        <v>65.195999999999998</v>
      </c>
      <c r="M358" s="23">
        <f t="shared" si="990"/>
        <v>131.83500000000001</v>
      </c>
      <c r="N358" s="23">
        <f t="shared" si="990"/>
        <v>91.05</v>
      </c>
      <c r="O358" s="23">
        <f t="shared" si="990"/>
        <v>174.12887529507259</v>
      </c>
      <c r="P358" s="23">
        <f>P256</f>
        <v>247.03121267382912</v>
      </c>
      <c r="Q358" s="23">
        <f>Q256</f>
        <v>576.20673404316972</v>
      </c>
      <c r="R358" s="4"/>
      <c r="S358" s="4"/>
      <c r="T358" s="4"/>
      <c r="U358" s="4"/>
      <c r="V358" s="4"/>
      <c r="W358" s="23">
        <f t="shared" ref="W358:BL358" si="991">W256</f>
        <v>12.808999999999999</v>
      </c>
      <c r="X358" s="23">
        <f t="shared" si="991"/>
        <v>7.3860000000000001</v>
      </c>
      <c r="Y358" s="23">
        <f t="shared" si="991"/>
        <v>2.9359999999999999</v>
      </c>
      <c r="Z358" s="23">
        <f t="shared" si="991"/>
        <v>7.0149999999999997</v>
      </c>
      <c r="AA358" s="23">
        <f t="shared" si="991"/>
        <v>2.7290000000000001</v>
      </c>
      <c r="AB358" s="23">
        <f t="shared" si="991"/>
        <v>3.9870000000000001</v>
      </c>
      <c r="AC358" s="23">
        <f t="shared" si="991"/>
        <v>4.7229999999999999</v>
      </c>
      <c r="AD358" s="23">
        <f t="shared" si="991"/>
        <v>9.657</v>
      </c>
      <c r="AE358" s="23">
        <f t="shared" si="991"/>
        <v>6.3380000000000001</v>
      </c>
      <c r="AF358" s="23">
        <f t="shared" si="991"/>
        <v>11.49</v>
      </c>
      <c r="AG358" s="23">
        <f t="shared" si="991"/>
        <v>9.0280000000000005</v>
      </c>
      <c r="AH358" s="23">
        <f t="shared" si="991"/>
        <v>3.2930000000000001</v>
      </c>
      <c r="AI358" s="23">
        <f t="shared" si="991"/>
        <v>3.0369999999999999</v>
      </c>
      <c r="AJ358" s="23">
        <f t="shared" si="991"/>
        <v>2.3119999999999998</v>
      </c>
      <c r="AK358" s="23">
        <f t="shared" si="991"/>
        <v>2.8119999999999998</v>
      </c>
      <c r="AL358" s="23">
        <f t="shared" si="991"/>
        <v>3.3250000000000002</v>
      </c>
      <c r="AM358" s="23">
        <f t="shared" si="991"/>
        <v>4.4889999999999999</v>
      </c>
      <c r="AN358" s="23">
        <f t="shared" si="991"/>
        <v>3.8210000000000002</v>
      </c>
      <c r="AO358" s="23">
        <f t="shared" si="991"/>
        <v>3.6829999999999998</v>
      </c>
      <c r="AP358" s="23">
        <f t="shared" si="991"/>
        <v>3.234</v>
      </c>
      <c r="AQ358" s="23">
        <f t="shared" si="991"/>
        <v>9.0350000000000001</v>
      </c>
      <c r="AR358" s="23">
        <f t="shared" si="991"/>
        <v>11.678000000000001</v>
      </c>
      <c r="AS358" s="23">
        <f t="shared" si="991"/>
        <v>7.19</v>
      </c>
      <c r="AT358" s="23">
        <f t="shared" si="991"/>
        <v>6.97</v>
      </c>
      <c r="AU358" s="23">
        <f t="shared" si="991"/>
        <v>7.3929999999999998</v>
      </c>
      <c r="AV358" s="23">
        <f t="shared" si="991"/>
        <v>5.734</v>
      </c>
      <c r="AW358" s="23">
        <f t="shared" si="991"/>
        <v>9.2560000000000002</v>
      </c>
      <c r="AX358" s="23">
        <f t="shared" si="991"/>
        <v>11.141999999999999</v>
      </c>
      <c r="AY358" s="23">
        <f t="shared" si="991"/>
        <v>14.163</v>
      </c>
      <c r="AZ358" s="23">
        <f t="shared" si="991"/>
        <v>10.282999999999999</v>
      </c>
      <c r="BA358" s="23">
        <f t="shared" si="991"/>
        <v>10.259</v>
      </c>
      <c r="BB358" s="23">
        <f t="shared" si="991"/>
        <v>22.937000000000001</v>
      </c>
      <c r="BC358" s="23">
        <f t="shared" si="991"/>
        <v>8.6999999999999993</v>
      </c>
      <c r="BD358" s="23">
        <f t="shared" si="991"/>
        <v>44.292999999999999</v>
      </c>
      <c r="BE358" s="23">
        <f t="shared" si="991"/>
        <v>22.164000000000001</v>
      </c>
      <c r="BF358" s="23">
        <f t="shared" si="991"/>
        <v>8.5220000000000002</v>
      </c>
      <c r="BG358" s="23">
        <f t="shared" si="991"/>
        <v>9.7720000000000002</v>
      </c>
      <c r="BH358" s="23">
        <f t="shared" si="991"/>
        <v>15.476000000000001</v>
      </c>
      <c r="BI358" s="23">
        <f t="shared" si="991"/>
        <v>14.843999999999999</v>
      </c>
      <c r="BJ358" s="23">
        <f t="shared" si="991"/>
        <v>7.508</v>
      </c>
      <c r="BK358" s="23">
        <f t="shared" si="991"/>
        <v>65.195999999999998</v>
      </c>
      <c r="BL358" s="23">
        <f t="shared" si="991"/>
        <v>108.309</v>
      </c>
      <c r="BM358" s="23">
        <f t="shared" ref="BM358:BR358" si="992">BM256</f>
        <v>141.35400000000001</v>
      </c>
      <c r="BN358" s="23">
        <f t="shared" si="992"/>
        <v>139.08699999999999</v>
      </c>
      <c r="BO358" s="23">
        <f t="shared" si="992"/>
        <v>131.83500000000001</v>
      </c>
      <c r="BP358" s="23">
        <f t="shared" si="992"/>
        <v>104.498</v>
      </c>
      <c r="BQ358" s="23">
        <f t="shared" si="992"/>
        <v>125.812</v>
      </c>
      <c r="BR358" s="23">
        <f t="shared" si="992"/>
        <v>136.89099999999999</v>
      </c>
      <c r="BS358" s="23">
        <f>BS256</f>
        <v>91.05</v>
      </c>
      <c r="BT358" s="111">
        <v>10</v>
      </c>
      <c r="BU358" s="111">
        <v>10</v>
      </c>
      <c r="BV358" s="111">
        <v>10</v>
      </c>
      <c r="BW358" s="111">
        <v>10</v>
      </c>
      <c r="BX358" s="111">
        <v>10</v>
      </c>
      <c r="BY358" s="111">
        <v>10</v>
      </c>
      <c r="BZ358" s="111">
        <v>10</v>
      </c>
      <c r="CA358" s="111">
        <v>10</v>
      </c>
      <c r="CB358" s="111">
        <v>10</v>
      </c>
      <c r="CC358" s="111">
        <v>10</v>
      </c>
      <c r="CD358" s="111">
        <v>10</v>
      </c>
      <c r="CE358" s="111">
        <v>10</v>
      </c>
      <c r="CF358" s="4"/>
      <c r="CG358" s="4"/>
      <c r="CH358" s="4"/>
      <c r="CI358" s="4"/>
      <c r="CJ358" s="4"/>
      <c r="CK358" s="4"/>
      <c r="CL358" s="4"/>
      <c r="CM358" s="4"/>
      <c r="CN358" s="240">
        <f t="shared" si="931"/>
        <v>351</v>
      </c>
    </row>
    <row r="359" spans="1:92" hidden="1" outlineLevel="2">
      <c r="A359" s="146"/>
      <c r="B359" s="84" t="s">
        <v>255</v>
      </c>
      <c r="C359" s="56">
        <f>+C357+C358</f>
        <v>380.07199999999995</v>
      </c>
      <c r="D359" s="56">
        <f t="shared" ref="D359:O359" si="993">+D357+D358</f>
        <v>570.19899999999984</v>
      </c>
      <c r="E359" s="56">
        <f t="shared" si="993"/>
        <v>634.71100000000001</v>
      </c>
      <c r="F359" s="56">
        <f t="shared" si="993"/>
        <v>514.66999999999996</v>
      </c>
      <c r="G359" s="56">
        <f t="shared" si="993"/>
        <v>678.54200000000003</v>
      </c>
      <c r="H359" s="56">
        <f t="shared" si="993"/>
        <v>990.33699999999999</v>
      </c>
      <c r="I359" s="56">
        <f t="shared" si="993"/>
        <v>1032.7749999999999</v>
      </c>
      <c r="J359" s="56">
        <f t="shared" si="993"/>
        <v>1043.9680000000001</v>
      </c>
      <c r="K359" s="56">
        <f t="shared" si="993"/>
        <v>1337.2809999999999</v>
      </c>
      <c r="L359" s="56">
        <f t="shared" si="993"/>
        <v>985.29000000000042</v>
      </c>
      <c r="M359" s="56">
        <f t="shared" si="993"/>
        <v>839.66300000000001</v>
      </c>
      <c r="N359" s="56">
        <f t="shared" si="993"/>
        <v>947.33199999999988</v>
      </c>
      <c r="O359" s="56">
        <f t="shared" si="993"/>
        <v>1192.506083102124</v>
      </c>
      <c r="P359" s="56">
        <f>+P357+P358</f>
        <v>1504.0753628592815</v>
      </c>
      <c r="Q359" s="56">
        <f>+Q357+Q358</f>
        <v>1833.2532644105393</v>
      </c>
      <c r="R359" s="4"/>
      <c r="S359" s="4"/>
      <c r="T359" s="4"/>
      <c r="U359" s="4"/>
      <c r="V359" s="4"/>
      <c r="W359" s="56">
        <f t="shared" ref="W359:BB359" si="994">+W357+W358</f>
        <v>246.11499999999992</v>
      </c>
      <c r="X359" s="56">
        <f t="shared" si="994"/>
        <v>266.69600000000003</v>
      </c>
      <c r="Y359" s="56">
        <f t="shared" si="994"/>
        <v>292.28100000000001</v>
      </c>
      <c r="Z359" s="56">
        <f t="shared" si="994"/>
        <v>325.22199999999998</v>
      </c>
      <c r="AA359" s="56">
        <f t="shared" si="994"/>
        <v>380.07199999999995</v>
      </c>
      <c r="AB359" s="56">
        <f t="shared" si="994"/>
        <v>443.94299999999998</v>
      </c>
      <c r="AC359" s="56">
        <f t="shared" si="994"/>
        <v>509.935</v>
      </c>
      <c r="AD359" s="56">
        <f t="shared" si="994"/>
        <v>545.07799999999997</v>
      </c>
      <c r="AE359" s="56">
        <f t="shared" si="994"/>
        <v>570.19899999999984</v>
      </c>
      <c r="AF359" s="56">
        <f t="shared" si="994"/>
        <v>588.53599999999994</v>
      </c>
      <c r="AG359" s="56">
        <f t="shared" si="994"/>
        <v>620.21699999999998</v>
      </c>
      <c r="AH359" s="56">
        <f t="shared" si="994"/>
        <v>635.32499999999993</v>
      </c>
      <c r="AI359" s="56">
        <f t="shared" si="994"/>
        <v>634.71100000000001</v>
      </c>
      <c r="AJ359" s="56">
        <f t="shared" si="994"/>
        <v>590.64599999999996</v>
      </c>
      <c r="AK359" s="56">
        <f t="shared" si="994"/>
        <v>566.82399999999996</v>
      </c>
      <c r="AL359" s="56">
        <f t="shared" si="994"/>
        <v>533.08400000000006</v>
      </c>
      <c r="AM359" s="56">
        <f t="shared" si="994"/>
        <v>514.66999999999996</v>
      </c>
      <c r="AN359" s="56">
        <f t="shared" si="994"/>
        <v>548.93399999999997</v>
      </c>
      <c r="AO359" s="56">
        <f t="shared" si="994"/>
        <v>564.04700000000003</v>
      </c>
      <c r="AP359" s="56">
        <f t="shared" si="994"/>
        <v>613.84299999999996</v>
      </c>
      <c r="AQ359" s="56">
        <f t="shared" si="994"/>
        <v>678.54200000000003</v>
      </c>
      <c r="AR359" s="56">
        <f t="shared" si="994"/>
        <v>750.21</v>
      </c>
      <c r="AS359" s="56">
        <f t="shared" si="994"/>
        <v>838.29900000000021</v>
      </c>
      <c r="AT359" s="56">
        <f t="shared" si="994"/>
        <v>878.0590000000002</v>
      </c>
      <c r="AU359" s="56">
        <f t="shared" si="994"/>
        <v>990.33699999999999</v>
      </c>
      <c r="AV359" s="56">
        <f t="shared" si="994"/>
        <v>1003.6160000000002</v>
      </c>
      <c r="AW359" s="56">
        <f t="shared" si="994"/>
        <v>1040.7760000000003</v>
      </c>
      <c r="AX359" s="56">
        <f t="shared" si="994"/>
        <v>1014.2260000000002</v>
      </c>
      <c r="AY359" s="56">
        <f t="shared" si="994"/>
        <v>1032.7749999999999</v>
      </c>
      <c r="AZ359" s="56">
        <f t="shared" si="994"/>
        <v>1027.8870000000002</v>
      </c>
      <c r="BA359" s="56">
        <f t="shared" si="994"/>
        <v>1011.4130000000002</v>
      </c>
      <c r="BB359" s="56">
        <f t="shared" si="994"/>
        <v>1026.4269999999999</v>
      </c>
      <c r="BC359" s="56">
        <f t="shared" ref="BC359:BW359" si="995">+BC357+BC358</f>
        <v>1043.9680000000001</v>
      </c>
      <c r="BD359" s="56">
        <f t="shared" si="995"/>
        <v>1081.3409999999999</v>
      </c>
      <c r="BE359" s="56">
        <f t="shared" si="995"/>
        <v>1175.912</v>
      </c>
      <c r="BF359" s="56">
        <f t="shared" si="995"/>
        <v>1235.7310000000002</v>
      </c>
      <c r="BG359" s="56">
        <f t="shared" si="995"/>
        <v>1337.2809999999999</v>
      </c>
      <c r="BH359" s="56">
        <f t="shared" si="995"/>
        <v>1252.2560000000003</v>
      </c>
      <c r="BI359" s="56">
        <f t="shared" si="995"/>
        <v>1109.9090000000001</v>
      </c>
      <c r="BJ359" s="56">
        <f t="shared" si="995"/>
        <v>1040.07</v>
      </c>
      <c r="BK359" s="56">
        <f t="shared" si="995"/>
        <v>985.29000000000042</v>
      </c>
      <c r="BL359" s="56">
        <f t="shared" si="995"/>
        <v>951.89999999999986</v>
      </c>
      <c r="BM359" s="56">
        <f t="shared" ref="BM359:BR359" si="996">+BM357+BM358</f>
        <v>906.529</v>
      </c>
      <c r="BN359" s="56">
        <f t="shared" si="996"/>
        <v>868.09900000000005</v>
      </c>
      <c r="BO359" s="56">
        <f t="shared" si="996"/>
        <v>839.66300000000001</v>
      </c>
      <c r="BP359" s="56">
        <f t="shared" si="996"/>
        <v>841.245</v>
      </c>
      <c r="BQ359" s="56">
        <f t="shared" si="996"/>
        <v>883.22900000000004</v>
      </c>
      <c r="BR359" s="56">
        <f t="shared" si="996"/>
        <v>916.78699999999992</v>
      </c>
      <c r="BS359" s="56">
        <f>+BS357+BS358</f>
        <v>947.33199999999988</v>
      </c>
      <c r="BT359" s="56">
        <f t="shared" si="995"/>
        <v>872.82077044202822</v>
      </c>
      <c r="BU359" s="56">
        <f t="shared" si="995"/>
        <v>978.62434245919326</v>
      </c>
      <c r="BV359" s="56">
        <f t="shared" si="995"/>
        <v>1012.1059853621483</v>
      </c>
      <c r="BW359" s="56">
        <f t="shared" si="995"/>
        <v>1028.3772078070515</v>
      </c>
      <c r="BX359" s="56">
        <f t="shared" ref="BX359:CE359" si="997">+BX357+BX358</f>
        <v>1033.4354053077541</v>
      </c>
      <c r="BY359" s="56">
        <f t="shared" si="997"/>
        <v>1036.8825410096097</v>
      </c>
      <c r="BZ359" s="56">
        <f t="shared" si="997"/>
        <v>1147.8856000816336</v>
      </c>
      <c r="CA359" s="56">
        <f t="shared" si="997"/>
        <v>1267.0441501854525</v>
      </c>
      <c r="CB359" s="56">
        <f t="shared" si="997"/>
        <v>1276.0373386614588</v>
      </c>
      <c r="CC359" s="56">
        <f t="shared" si="997"/>
        <v>1271.6370660734592</v>
      </c>
      <c r="CD359" s="56">
        <f t="shared" si="997"/>
        <v>1268.7582920654827</v>
      </c>
      <c r="CE359" s="56">
        <f t="shared" si="997"/>
        <v>1267.0465303673695</v>
      </c>
      <c r="CF359" s="4"/>
      <c r="CG359" s="4"/>
      <c r="CH359" s="4"/>
      <c r="CI359" s="4"/>
      <c r="CJ359" s="4"/>
      <c r="CK359" s="4"/>
      <c r="CL359" s="4"/>
      <c r="CM359" s="4"/>
      <c r="CN359" s="240">
        <f t="shared" si="931"/>
        <v>352</v>
      </c>
    </row>
    <row r="360" spans="1:92" hidden="1" outlineLevel="2">
      <c r="A360" s="146"/>
      <c r="B360" s="8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83"/>
      <c r="BG360" s="83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240">
        <f t="shared" si="931"/>
        <v>353</v>
      </c>
    </row>
    <row r="361" spans="1:92" hidden="1" outlineLevel="2">
      <c r="A361" s="146"/>
      <c r="B361" s="84" t="s">
        <v>80</v>
      </c>
      <c r="C361" s="23">
        <f>C280</f>
        <v>335.28699999999998</v>
      </c>
      <c r="D361" s="23">
        <f t="shared" ref="D361:O361" si="998">D280</f>
        <v>409.27199999999999</v>
      </c>
      <c r="E361" s="23">
        <f t="shared" si="998"/>
        <v>449.084</v>
      </c>
      <c r="F361" s="23">
        <f t="shared" si="998"/>
        <v>409.72300000000001</v>
      </c>
      <c r="G361" s="23">
        <f t="shared" si="998"/>
        <v>538.89499999999998</v>
      </c>
      <c r="H361" s="23">
        <f t="shared" si="998"/>
        <v>762.59199999999998</v>
      </c>
      <c r="I361" s="23">
        <f t="shared" si="998"/>
        <v>899.23200000000008</v>
      </c>
      <c r="J361" s="23">
        <f t="shared" si="998"/>
        <v>968.702</v>
      </c>
      <c r="K361" s="23">
        <f t="shared" si="998"/>
        <v>1078.3819999999998</v>
      </c>
      <c r="L361" s="23">
        <f t="shared" si="998"/>
        <v>952.28099999999995</v>
      </c>
      <c r="M361" s="23">
        <f t="shared" si="998"/>
        <v>806.79900000000009</v>
      </c>
      <c r="N361" s="23">
        <f t="shared" si="998"/>
        <v>911.697</v>
      </c>
      <c r="O361" s="23">
        <f t="shared" si="998"/>
        <v>1156.8710831021237</v>
      </c>
      <c r="P361" s="23">
        <f>P280</f>
        <v>1468.4403628592825</v>
      </c>
      <c r="Q361" s="23">
        <f>Q280</f>
        <v>1797.6182644105409</v>
      </c>
      <c r="R361" s="4"/>
      <c r="S361" s="4"/>
      <c r="T361" s="4"/>
      <c r="U361" s="4"/>
      <c r="V361" s="4"/>
      <c r="W361" s="23">
        <f t="shared" ref="W361:BW361" si="999">W280</f>
        <v>232.501</v>
      </c>
      <c r="X361" s="23">
        <f t="shared" si="999"/>
        <v>254.89800000000002</v>
      </c>
      <c r="Y361" s="23">
        <f t="shared" si="999"/>
        <v>280.23500000000001</v>
      </c>
      <c r="Z361" s="23">
        <f t="shared" si="999"/>
        <v>306.25699999999995</v>
      </c>
      <c r="AA361" s="23">
        <f t="shared" si="999"/>
        <v>335.28699999999998</v>
      </c>
      <c r="AB361" s="23">
        <f t="shared" si="999"/>
        <v>359.25099999999998</v>
      </c>
      <c r="AC361" s="23">
        <f t="shared" si="999"/>
        <v>379.28000000000003</v>
      </c>
      <c r="AD361" s="23">
        <f t="shared" si="999"/>
        <v>390.40500000000003</v>
      </c>
      <c r="AE361" s="23">
        <f t="shared" si="999"/>
        <v>409.27199999999999</v>
      </c>
      <c r="AF361" s="23">
        <f t="shared" si="999"/>
        <v>414.416</v>
      </c>
      <c r="AG361" s="23">
        <f t="shared" si="999"/>
        <v>432.34100000000001</v>
      </c>
      <c r="AH361" s="23">
        <f t="shared" si="999"/>
        <v>444.55099999999999</v>
      </c>
      <c r="AI361" s="23">
        <f t="shared" si="999"/>
        <v>449.084</v>
      </c>
      <c r="AJ361" s="23">
        <f t="shared" si="999"/>
        <v>446.11199999999997</v>
      </c>
      <c r="AK361" s="23">
        <f t="shared" si="999"/>
        <v>430.40200000000004</v>
      </c>
      <c r="AL361" s="23">
        <f t="shared" si="999"/>
        <v>417.416</v>
      </c>
      <c r="AM361" s="23">
        <f t="shared" si="999"/>
        <v>409.72300000000001</v>
      </c>
      <c r="AN361" s="23">
        <f t="shared" si="999"/>
        <v>419.16600000000005</v>
      </c>
      <c r="AO361" s="23">
        <f t="shared" si="999"/>
        <v>448.267</v>
      </c>
      <c r="AP361" s="23">
        <f t="shared" si="999"/>
        <v>490.24</v>
      </c>
      <c r="AQ361" s="23">
        <f t="shared" si="999"/>
        <v>538.89499999999998</v>
      </c>
      <c r="AR361" s="23">
        <f t="shared" si="999"/>
        <v>581.71199999999999</v>
      </c>
      <c r="AS361" s="23">
        <f t="shared" si="999"/>
        <v>646.26400000000001</v>
      </c>
      <c r="AT361" s="23">
        <f t="shared" si="999"/>
        <v>718.82800000000009</v>
      </c>
      <c r="AU361" s="23">
        <f t="shared" si="999"/>
        <v>762.59199999999998</v>
      </c>
      <c r="AV361" s="23">
        <f t="shared" si="999"/>
        <v>800.39800000000002</v>
      </c>
      <c r="AW361" s="23">
        <f t="shared" si="999"/>
        <v>856.81299999999999</v>
      </c>
      <c r="AX361" s="23">
        <f t="shared" si="999"/>
        <v>907.95299999999997</v>
      </c>
      <c r="AY361" s="23">
        <f t="shared" si="999"/>
        <v>899.23200000000008</v>
      </c>
      <c r="AZ361" s="23">
        <f t="shared" si="999"/>
        <v>912.48900000000003</v>
      </c>
      <c r="BA361" s="23">
        <f t="shared" si="999"/>
        <v>917.14700000000005</v>
      </c>
      <c r="BB361" s="23">
        <f t="shared" si="999"/>
        <v>946.95100000000002</v>
      </c>
      <c r="BC361" s="23">
        <f t="shared" si="999"/>
        <v>968.702</v>
      </c>
      <c r="BD361" s="23">
        <f t="shared" si="999"/>
        <v>978.31200000000001</v>
      </c>
      <c r="BE361" s="23">
        <f t="shared" si="999"/>
        <v>1021.6450000000001</v>
      </c>
      <c r="BF361" s="23">
        <f t="shared" si="999"/>
        <v>1060.9449999999999</v>
      </c>
      <c r="BG361" s="23">
        <f t="shared" si="999"/>
        <v>1078.3819999999998</v>
      </c>
      <c r="BH361" s="23">
        <f t="shared" si="999"/>
        <v>1062.095</v>
      </c>
      <c r="BI361" s="23">
        <f t="shared" si="999"/>
        <v>1019.9950000000001</v>
      </c>
      <c r="BJ361" s="23">
        <f t="shared" si="999"/>
        <v>986.90899999999999</v>
      </c>
      <c r="BK361" s="23">
        <f t="shared" si="999"/>
        <v>952.28099999999995</v>
      </c>
      <c r="BL361" s="23">
        <f t="shared" si="999"/>
        <v>919.82299999999998</v>
      </c>
      <c r="BM361" s="23">
        <f t="shared" si="999"/>
        <v>874.0089999999999</v>
      </c>
      <c r="BN361" s="23">
        <f t="shared" si="999"/>
        <v>837.81</v>
      </c>
      <c r="BO361" s="23">
        <f>BO280</f>
        <v>806.79900000000009</v>
      </c>
      <c r="BP361" s="23">
        <f>BP280</f>
        <v>807.60799999999995</v>
      </c>
      <c r="BQ361" s="23">
        <f>BQ280</f>
        <v>848.31100000000004</v>
      </c>
      <c r="BR361" s="23">
        <f>BR280</f>
        <v>881.85300000000007</v>
      </c>
      <c r="BS361" s="23">
        <f>BS280</f>
        <v>911.697</v>
      </c>
      <c r="BT361" s="23">
        <f t="shared" si="999"/>
        <v>951.77362284349533</v>
      </c>
      <c r="BU361" s="23">
        <f t="shared" si="999"/>
        <v>1017.6932481669262</v>
      </c>
      <c r="BV361" s="23">
        <f t="shared" si="999"/>
        <v>1083.8950132061345</v>
      </c>
      <c r="BW361" s="23">
        <f t="shared" si="999"/>
        <v>1156.8710831021237</v>
      </c>
      <c r="BX361" s="23">
        <f t="shared" ref="BX361:CE361" si="1000">BX280</f>
        <v>1230.865162769152</v>
      </c>
      <c r="BY361" s="23">
        <f t="shared" si="1000"/>
        <v>1305.5311175817576</v>
      </c>
      <c r="BZ361" s="23">
        <f t="shared" si="1000"/>
        <v>1385.6230043316777</v>
      </c>
      <c r="CA361" s="23">
        <f t="shared" si="1000"/>
        <v>1468.4403628592825</v>
      </c>
      <c r="CB361" s="23">
        <f t="shared" si="1000"/>
        <v>1549.5416597750877</v>
      </c>
      <c r="CC361" s="23">
        <f t="shared" si="1000"/>
        <v>1631.1914375272779</v>
      </c>
      <c r="CD361" s="23">
        <f t="shared" si="1000"/>
        <v>1713.8179505613755</v>
      </c>
      <c r="CE361" s="23">
        <f t="shared" si="1000"/>
        <v>1797.6182644105409</v>
      </c>
      <c r="CF361" s="4"/>
      <c r="CG361" s="4"/>
      <c r="CH361" s="4"/>
      <c r="CI361" s="4"/>
      <c r="CJ361" s="4"/>
      <c r="CK361" s="4"/>
      <c r="CL361" s="4"/>
      <c r="CM361" s="4"/>
      <c r="CN361" s="240">
        <f t="shared" si="931"/>
        <v>354</v>
      </c>
    </row>
    <row r="362" spans="1:92" hidden="1" outlineLevel="2">
      <c r="A362" s="146"/>
      <c r="B362" s="84" t="s">
        <v>256</v>
      </c>
      <c r="C362" s="23">
        <f>C274</f>
        <v>9.1850000000000005</v>
      </c>
      <c r="D362" s="23">
        <f t="shared" ref="D362:O362" si="1001">D274</f>
        <v>4.5270000000000001</v>
      </c>
      <c r="E362" s="23">
        <f t="shared" si="1001"/>
        <v>11.177</v>
      </c>
      <c r="F362" s="23">
        <f t="shared" si="1001"/>
        <v>14.647</v>
      </c>
      <c r="G362" s="23">
        <f t="shared" si="1001"/>
        <v>18.396999999999998</v>
      </c>
      <c r="H362" s="23">
        <f t="shared" si="1001"/>
        <v>24.445</v>
      </c>
      <c r="I362" s="23">
        <f t="shared" si="1001"/>
        <v>26.542999999999999</v>
      </c>
      <c r="J362" s="23">
        <f t="shared" si="1001"/>
        <v>21.966000000000001</v>
      </c>
      <c r="K362" s="23">
        <f t="shared" si="1001"/>
        <v>34.399000000000001</v>
      </c>
      <c r="L362" s="23">
        <f t="shared" si="1001"/>
        <v>33.009</v>
      </c>
      <c r="M362" s="23">
        <f t="shared" si="1001"/>
        <v>32.863999999999997</v>
      </c>
      <c r="N362" s="23">
        <f t="shared" si="1001"/>
        <v>35.634999999999998</v>
      </c>
      <c r="O362" s="23">
        <f t="shared" si="1001"/>
        <v>35.634999999999998</v>
      </c>
      <c r="P362" s="23">
        <f>P274</f>
        <v>35.634999999999998</v>
      </c>
      <c r="Q362" s="23">
        <f>Q274</f>
        <v>35.634999999999998</v>
      </c>
      <c r="R362" s="4"/>
      <c r="S362" s="4"/>
      <c r="T362" s="4"/>
      <c r="U362" s="4"/>
      <c r="V362" s="4"/>
      <c r="W362" s="23">
        <f t="shared" ref="W362:BW362" si="1002">W274</f>
        <v>13.614000000000001</v>
      </c>
      <c r="X362" s="23">
        <f t="shared" si="1002"/>
        <v>11.798</v>
      </c>
      <c r="Y362" s="23">
        <f t="shared" si="1002"/>
        <v>12.045999999999999</v>
      </c>
      <c r="Z362" s="23">
        <f t="shared" si="1002"/>
        <v>12.315</v>
      </c>
      <c r="AA362" s="23">
        <f t="shared" si="1002"/>
        <v>9.1850000000000005</v>
      </c>
      <c r="AB362" s="23">
        <f t="shared" si="1002"/>
        <v>5.242</v>
      </c>
      <c r="AC362" s="23">
        <f t="shared" si="1002"/>
        <v>5.5049999999999999</v>
      </c>
      <c r="AD362" s="23">
        <f t="shared" si="1002"/>
        <v>5.8230000000000004</v>
      </c>
      <c r="AE362" s="23">
        <f t="shared" si="1002"/>
        <v>4.5270000000000001</v>
      </c>
      <c r="AF362" s="23">
        <f t="shared" si="1002"/>
        <v>5.07</v>
      </c>
      <c r="AG362" s="23">
        <f t="shared" si="1002"/>
        <v>5.3259999999999996</v>
      </c>
      <c r="AH362" s="23">
        <f t="shared" si="1002"/>
        <v>5.1740000000000004</v>
      </c>
      <c r="AI362" s="23">
        <f t="shared" si="1002"/>
        <v>11.177</v>
      </c>
      <c r="AJ362" s="23">
        <f t="shared" si="1002"/>
        <v>12.034000000000001</v>
      </c>
      <c r="AK362" s="23">
        <f t="shared" si="1002"/>
        <v>12.872</v>
      </c>
      <c r="AL362" s="23">
        <f t="shared" si="1002"/>
        <v>13.818</v>
      </c>
      <c r="AM362" s="23">
        <f t="shared" si="1002"/>
        <v>14.647</v>
      </c>
      <c r="AN362" s="23">
        <f t="shared" si="1002"/>
        <v>15.468</v>
      </c>
      <c r="AO362" s="23">
        <f t="shared" si="1002"/>
        <v>14.93</v>
      </c>
      <c r="AP362" s="23">
        <f t="shared" si="1002"/>
        <v>15.303000000000001</v>
      </c>
      <c r="AQ362" s="23">
        <f t="shared" si="1002"/>
        <v>18.396999999999998</v>
      </c>
      <c r="AR362" s="23">
        <f t="shared" si="1002"/>
        <v>18.698</v>
      </c>
      <c r="AS362" s="23">
        <f t="shared" si="1002"/>
        <v>18.934999999999999</v>
      </c>
      <c r="AT362" s="23">
        <f t="shared" si="1002"/>
        <v>18.431000000000001</v>
      </c>
      <c r="AU362" s="23">
        <f t="shared" si="1002"/>
        <v>24.445</v>
      </c>
      <c r="AV362" s="23">
        <f t="shared" si="1002"/>
        <v>22.417999999999999</v>
      </c>
      <c r="AW362" s="23">
        <f t="shared" si="1002"/>
        <v>21.963000000000001</v>
      </c>
      <c r="AX362" s="23">
        <f t="shared" si="1002"/>
        <v>22.573</v>
      </c>
      <c r="AY362" s="23">
        <f t="shared" si="1002"/>
        <v>26.542999999999999</v>
      </c>
      <c r="AZ362" s="23">
        <f t="shared" si="1002"/>
        <v>27.797999999999998</v>
      </c>
      <c r="BA362" s="23">
        <f t="shared" si="1002"/>
        <v>27.065999999999999</v>
      </c>
      <c r="BB362" s="23">
        <f t="shared" si="1002"/>
        <v>28.076000000000001</v>
      </c>
      <c r="BC362" s="23">
        <f t="shared" si="1002"/>
        <v>21.966000000000001</v>
      </c>
      <c r="BD362" s="23">
        <f t="shared" si="1002"/>
        <v>22.228999999999999</v>
      </c>
      <c r="BE362" s="23">
        <f t="shared" si="1002"/>
        <v>22.867000000000001</v>
      </c>
      <c r="BF362" s="23">
        <f t="shared" si="1002"/>
        <v>22.786000000000001</v>
      </c>
      <c r="BG362" s="23">
        <f t="shared" si="1002"/>
        <v>34.399000000000001</v>
      </c>
      <c r="BH362" s="23">
        <f t="shared" si="1002"/>
        <v>34.561</v>
      </c>
      <c r="BI362" s="23">
        <f t="shared" si="1002"/>
        <v>35.014000000000003</v>
      </c>
      <c r="BJ362" s="23">
        <f t="shared" si="1002"/>
        <v>33.661000000000001</v>
      </c>
      <c r="BK362" s="23">
        <f t="shared" si="1002"/>
        <v>33.009</v>
      </c>
      <c r="BL362" s="23">
        <f t="shared" si="1002"/>
        <v>32.076999999999998</v>
      </c>
      <c r="BM362" s="23">
        <f t="shared" si="1002"/>
        <v>32.520000000000003</v>
      </c>
      <c r="BN362" s="23">
        <f t="shared" si="1002"/>
        <v>30.289000000000001</v>
      </c>
      <c r="BO362" s="23">
        <f>BO274</f>
        <v>32.863999999999997</v>
      </c>
      <c r="BP362" s="23">
        <f>BP274</f>
        <v>33.637</v>
      </c>
      <c r="BQ362" s="23">
        <f>BQ274</f>
        <v>34.917999999999999</v>
      </c>
      <c r="BR362" s="23">
        <f>BR274</f>
        <v>34.933999999999997</v>
      </c>
      <c r="BS362" s="23">
        <f>BS274</f>
        <v>35.634999999999998</v>
      </c>
      <c r="BT362" s="23">
        <f t="shared" si="1002"/>
        <v>35.634999999999998</v>
      </c>
      <c r="BU362" s="23">
        <f t="shared" si="1002"/>
        <v>35.634999999999998</v>
      </c>
      <c r="BV362" s="23">
        <f t="shared" si="1002"/>
        <v>35.634999999999998</v>
      </c>
      <c r="BW362" s="23">
        <f t="shared" si="1002"/>
        <v>35.634999999999998</v>
      </c>
      <c r="BX362" s="23">
        <f t="shared" ref="BX362:CE362" si="1003">BX274</f>
        <v>35.634999999999998</v>
      </c>
      <c r="BY362" s="23">
        <f t="shared" si="1003"/>
        <v>35.634999999999998</v>
      </c>
      <c r="BZ362" s="23">
        <f t="shared" si="1003"/>
        <v>35.634999999999998</v>
      </c>
      <c r="CA362" s="23">
        <f t="shared" si="1003"/>
        <v>35.634999999999998</v>
      </c>
      <c r="CB362" s="23">
        <f t="shared" si="1003"/>
        <v>35.634999999999998</v>
      </c>
      <c r="CC362" s="23">
        <f t="shared" si="1003"/>
        <v>35.634999999999998</v>
      </c>
      <c r="CD362" s="23">
        <f t="shared" si="1003"/>
        <v>35.634999999999998</v>
      </c>
      <c r="CE362" s="23">
        <f t="shared" si="1003"/>
        <v>35.634999999999998</v>
      </c>
      <c r="CF362" s="4"/>
      <c r="CG362" s="4"/>
      <c r="CH362" s="4"/>
      <c r="CI362" s="4"/>
      <c r="CJ362" s="4"/>
      <c r="CK362" s="4"/>
      <c r="CL362" s="4"/>
      <c r="CM362" s="4"/>
      <c r="CN362" s="240">
        <f t="shared" si="931"/>
        <v>355</v>
      </c>
    </row>
    <row r="363" spans="1:92" hidden="1" outlineLevel="2">
      <c r="A363" s="146"/>
      <c r="B363" s="84" t="s">
        <v>257</v>
      </c>
      <c r="C363" s="23">
        <f>MAX(C359-C361-C362,0)</f>
        <v>35.599999999999966</v>
      </c>
      <c r="D363" s="23">
        <f t="shared" ref="D363:O363" si="1004">MAX(D359-D361-D362,0)</f>
        <v>156.39999999999986</v>
      </c>
      <c r="E363" s="23">
        <f t="shared" si="1004"/>
        <v>174.45000000000002</v>
      </c>
      <c r="F363" s="23">
        <f t="shared" si="1004"/>
        <v>90.29999999999994</v>
      </c>
      <c r="G363" s="23">
        <f t="shared" si="1004"/>
        <v>121.25000000000006</v>
      </c>
      <c r="H363" s="23">
        <f t="shared" si="1004"/>
        <v>203.3</v>
      </c>
      <c r="I363" s="23">
        <f t="shared" si="1004"/>
        <v>106.99999999999977</v>
      </c>
      <c r="J363" s="23">
        <f t="shared" si="1004"/>
        <v>53.300000000000075</v>
      </c>
      <c r="K363" s="23">
        <f t="shared" si="1004"/>
        <v>224.50000000000011</v>
      </c>
      <c r="L363" s="23">
        <f t="shared" si="1004"/>
        <v>4.6895820560166612E-13</v>
      </c>
      <c r="M363" s="23">
        <f t="shared" si="1004"/>
        <v>0</v>
      </c>
      <c r="N363" s="23">
        <f t="shared" si="1004"/>
        <v>0</v>
      </c>
      <c r="O363" s="23">
        <f t="shared" si="1004"/>
        <v>2.2026824808563106E-13</v>
      </c>
      <c r="P363" s="23">
        <f>MAX(P359-P361-P362,0)</f>
        <v>0</v>
      </c>
      <c r="Q363" s="23">
        <f>MAX(Q359-Q361-Q362,0)</f>
        <v>0</v>
      </c>
      <c r="R363" s="4"/>
      <c r="S363" s="4"/>
      <c r="T363" s="4"/>
      <c r="U363" s="4"/>
      <c r="V363" s="4"/>
      <c r="W363" s="23">
        <f t="shared" ref="W363:BB363" si="1005">MAX(W359-W361-W362,0)</f>
        <v>0</v>
      </c>
      <c r="X363" s="23">
        <f t="shared" si="1005"/>
        <v>1.7763568394002505E-15</v>
      </c>
      <c r="Y363" s="23">
        <f t="shared" si="1005"/>
        <v>0</v>
      </c>
      <c r="Z363" s="23">
        <f t="shared" si="1005"/>
        <v>6.6500000000000323</v>
      </c>
      <c r="AA363" s="23">
        <f t="shared" si="1005"/>
        <v>35.599999999999966</v>
      </c>
      <c r="AB363" s="23">
        <f t="shared" si="1005"/>
        <v>79.45</v>
      </c>
      <c r="AC363" s="23">
        <f t="shared" si="1005"/>
        <v>125.14999999999998</v>
      </c>
      <c r="AD363" s="23">
        <f t="shared" si="1005"/>
        <v>148.84999999999994</v>
      </c>
      <c r="AE363" s="23">
        <f t="shared" si="1005"/>
        <v>156.39999999999986</v>
      </c>
      <c r="AF363" s="23">
        <f t="shared" si="1005"/>
        <v>169.04999999999995</v>
      </c>
      <c r="AG363" s="23">
        <f t="shared" si="1005"/>
        <v>182.54999999999998</v>
      </c>
      <c r="AH363" s="23">
        <f t="shared" si="1005"/>
        <v>185.59999999999994</v>
      </c>
      <c r="AI363" s="23">
        <f t="shared" si="1005"/>
        <v>174.45000000000002</v>
      </c>
      <c r="AJ363" s="23">
        <f t="shared" si="1005"/>
        <v>132.5</v>
      </c>
      <c r="AK363" s="23">
        <f t="shared" si="1005"/>
        <v>123.54999999999991</v>
      </c>
      <c r="AL363" s="23">
        <f t="shared" si="1005"/>
        <v>101.85000000000007</v>
      </c>
      <c r="AM363" s="23">
        <f t="shared" si="1005"/>
        <v>90.29999999999994</v>
      </c>
      <c r="AN363" s="23">
        <f t="shared" si="1005"/>
        <v>114.29999999999991</v>
      </c>
      <c r="AO363" s="23">
        <f t="shared" si="1005"/>
        <v>100.85000000000002</v>
      </c>
      <c r="AP363" s="23">
        <f t="shared" si="1005"/>
        <v>108.29999999999995</v>
      </c>
      <c r="AQ363" s="23">
        <f t="shared" si="1005"/>
        <v>121.25000000000006</v>
      </c>
      <c r="AR363" s="23">
        <f t="shared" si="1005"/>
        <v>149.80000000000004</v>
      </c>
      <c r="AS363" s="23">
        <f t="shared" si="1005"/>
        <v>173.10000000000019</v>
      </c>
      <c r="AT363" s="23">
        <f t="shared" si="1005"/>
        <v>140.8000000000001</v>
      </c>
      <c r="AU363" s="23">
        <f t="shared" si="1005"/>
        <v>203.3</v>
      </c>
      <c r="AV363" s="23">
        <f t="shared" si="1005"/>
        <v>180.80000000000018</v>
      </c>
      <c r="AW363" s="23">
        <f t="shared" si="1005"/>
        <v>162.00000000000031</v>
      </c>
      <c r="AX363" s="23">
        <f t="shared" si="1005"/>
        <v>83.700000000000244</v>
      </c>
      <c r="AY363" s="23">
        <f t="shared" si="1005"/>
        <v>106.99999999999977</v>
      </c>
      <c r="AZ363" s="23">
        <f t="shared" si="1005"/>
        <v>87.600000000000136</v>
      </c>
      <c r="BA363" s="23">
        <f t="shared" si="1005"/>
        <v>67.200000000000188</v>
      </c>
      <c r="BB363" s="23">
        <f t="shared" si="1005"/>
        <v>51.399999999999885</v>
      </c>
      <c r="BC363" s="23">
        <f>MAX(BC359-BC361-BC362,0)</f>
        <v>53.300000000000075</v>
      </c>
      <c r="BD363" s="23">
        <f>MAX(BD359-BD361-BD362,0)</f>
        <v>80.799999999999883</v>
      </c>
      <c r="BE363" s="23">
        <f>MAX(BE359-BE361-BE362,0)</f>
        <v>131.39999999999995</v>
      </c>
      <c r="BF363" s="23">
        <f>MAX(BF359-BF361-BF362,0)</f>
        <v>152.00000000000028</v>
      </c>
      <c r="BG363" s="23">
        <f>MAX(BG359-BG361-BG362,0)</f>
        <v>224.50000000000011</v>
      </c>
      <c r="BH363" s="23">
        <f t="shared" ref="BH363:BM363" si="1006">ROUND(MAX(BH359-BH361-BH362,0),3)</f>
        <v>155.6</v>
      </c>
      <c r="BI363" s="23">
        <f t="shared" si="1006"/>
        <v>54.9</v>
      </c>
      <c r="BJ363" s="23">
        <f t="shared" si="1006"/>
        <v>19.5</v>
      </c>
      <c r="BK363" s="23">
        <f t="shared" si="1006"/>
        <v>0</v>
      </c>
      <c r="BL363" s="23">
        <f t="shared" si="1006"/>
        <v>0</v>
      </c>
      <c r="BM363" s="23">
        <f t="shared" si="1006"/>
        <v>0</v>
      </c>
      <c r="BN363" s="23">
        <f>ROUND(MAX(BN359-BN361-BN362,0),3)</f>
        <v>0</v>
      </c>
      <c r="BO363" s="23">
        <f t="shared" ref="BO363:CE363" si="1007">ROUND(MAX(BO359-BO361-BO362,0),3)</f>
        <v>0</v>
      </c>
      <c r="BP363" s="23">
        <f t="shared" si="1007"/>
        <v>0</v>
      </c>
      <c r="BQ363" s="23">
        <f>ROUND(MAX(BQ359-BQ361-BQ362,0),3)</f>
        <v>0</v>
      </c>
      <c r="BR363" s="23">
        <f>ROUND(MAX(BR359-BR361-BR362,0),3)</f>
        <v>0</v>
      </c>
      <c r="BS363" s="23">
        <f>ROUND(MAX(BS359-BS361-BS362,0),3)</f>
        <v>0</v>
      </c>
      <c r="BT363" s="23">
        <f t="shared" si="1007"/>
        <v>0</v>
      </c>
      <c r="BU363" s="23">
        <f t="shared" si="1007"/>
        <v>0</v>
      </c>
      <c r="BV363" s="23">
        <f t="shared" si="1007"/>
        <v>0</v>
      </c>
      <c r="BW363" s="23">
        <f t="shared" si="1007"/>
        <v>0</v>
      </c>
      <c r="BX363" s="23">
        <f t="shared" si="1007"/>
        <v>0</v>
      </c>
      <c r="BY363" s="23">
        <f t="shared" si="1007"/>
        <v>0</v>
      </c>
      <c r="BZ363" s="23">
        <f t="shared" si="1007"/>
        <v>0</v>
      </c>
      <c r="CA363" s="23">
        <f t="shared" si="1007"/>
        <v>0</v>
      </c>
      <c r="CB363" s="23">
        <f t="shared" si="1007"/>
        <v>0</v>
      </c>
      <c r="CC363" s="23">
        <f t="shared" si="1007"/>
        <v>0</v>
      </c>
      <c r="CD363" s="23">
        <f t="shared" si="1007"/>
        <v>0</v>
      </c>
      <c r="CE363" s="23">
        <f t="shared" si="1007"/>
        <v>0</v>
      </c>
      <c r="CF363" s="4"/>
      <c r="CG363" s="4"/>
      <c r="CH363" s="4"/>
      <c r="CI363" s="4"/>
      <c r="CJ363" s="4"/>
      <c r="CK363" s="4"/>
      <c r="CL363" s="4"/>
      <c r="CM363" s="4"/>
      <c r="CN363" s="240">
        <f t="shared" si="931"/>
        <v>356</v>
      </c>
    </row>
    <row r="364" spans="1:92" hidden="1" outlineLevel="2">
      <c r="A364" s="146"/>
      <c r="B364" s="84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4"/>
      <c r="S364" s="4"/>
      <c r="T364" s="4"/>
      <c r="U364" s="4"/>
      <c r="V364" s="4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23"/>
      <c r="BG364" s="23"/>
      <c r="BH364" s="23"/>
      <c r="BI364" s="23"/>
      <c r="BJ364" s="23"/>
      <c r="BK364" s="23"/>
      <c r="BL364" s="23"/>
      <c r="BM364" s="23"/>
      <c r="BN364" s="23"/>
      <c r="BO364" s="23"/>
      <c r="BP364" s="23"/>
      <c r="BQ364" s="23"/>
      <c r="BR364" s="23"/>
      <c r="BS364" s="23"/>
      <c r="BT364" s="23"/>
      <c r="BU364" s="23"/>
      <c r="BV364" s="23"/>
      <c r="BW364" s="23"/>
      <c r="BX364" s="23"/>
      <c r="BY364" s="23"/>
      <c r="BZ364" s="23"/>
      <c r="CA364" s="23"/>
      <c r="CB364" s="23"/>
      <c r="CC364" s="23"/>
      <c r="CD364" s="23"/>
      <c r="CE364" s="23"/>
      <c r="CF364" s="4"/>
      <c r="CG364" s="4"/>
      <c r="CH364" s="4"/>
      <c r="CI364" s="4"/>
      <c r="CJ364" s="4"/>
      <c r="CK364" s="4"/>
      <c r="CL364" s="4"/>
      <c r="CM364" s="4"/>
      <c r="CN364" s="240">
        <f t="shared" si="931"/>
        <v>357</v>
      </c>
    </row>
    <row r="365" spans="1:92" hidden="1" outlineLevel="2">
      <c r="A365" s="146"/>
      <c r="B365" s="84" t="s">
        <v>258</v>
      </c>
      <c r="C365" s="23">
        <f t="shared" ref="C365:O369" si="1008">INDEX($T365:$CF365,1,MATCH(C$4,$T$4:$CF$4,0))</f>
        <v>0</v>
      </c>
      <c r="D365" s="23">
        <f t="shared" si="1008"/>
        <v>0</v>
      </c>
      <c r="E365" s="23">
        <f t="shared" si="1008"/>
        <v>0</v>
      </c>
      <c r="F365" s="23">
        <f t="shared" si="1008"/>
        <v>0</v>
      </c>
      <c r="G365" s="23">
        <f t="shared" si="1008"/>
        <v>0</v>
      </c>
      <c r="H365" s="23">
        <f t="shared" si="1008"/>
        <v>0</v>
      </c>
      <c r="I365" s="23">
        <f t="shared" si="1008"/>
        <v>0</v>
      </c>
      <c r="J365" s="23">
        <f t="shared" si="1008"/>
        <v>0</v>
      </c>
      <c r="K365" s="23">
        <f t="shared" si="1008"/>
        <v>350</v>
      </c>
      <c r="L365" s="23">
        <f t="shared" si="1008"/>
        <v>125</v>
      </c>
      <c r="M365" s="23">
        <f t="shared" si="1008"/>
        <v>125</v>
      </c>
      <c r="N365" s="23">
        <f t="shared" si="1008"/>
        <v>125</v>
      </c>
      <c r="O365" s="23">
        <f t="shared" si="1008"/>
        <v>125</v>
      </c>
      <c r="P365" s="23">
        <f t="shared" ref="P365:Q369" si="1009">INDEX($T365:$CF365,1,MATCH(P$4,$T$4:$CF$4,0))</f>
        <v>125</v>
      </c>
      <c r="Q365" s="23">
        <f t="shared" si="1009"/>
        <v>125</v>
      </c>
      <c r="R365" s="4"/>
      <c r="S365" s="4"/>
      <c r="T365" s="4"/>
      <c r="U365" s="4"/>
      <c r="V365" s="4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111">
        <v>350</v>
      </c>
      <c r="BE365" s="111">
        <v>350</v>
      </c>
      <c r="BF365" s="111">
        <v>350</v>
      </c>
      <c r="BG365" s="111">
        <v>350</v>
      </c>
      <c r="BH365" s="111">
        <v>350</v>
      </c>
      <c r="BI365" s="111">
        <v>350</v>
      </c>
      <c r="BJ365" s="111">
        <v>350</v>
      </c>
      <c r="BK365" s="111">
        <v>125</v>
      </c>
      <c r="BL365" s="111">
        <v>125</v>
      </c>
      <c r="BM365" s="111">
        <f t="shared" ref="BM365:BS365" si="1010">BL365</f>
        <v>125</v>
      </c>
      <c r="BN365" s="111">
        <f t="shared" si="1010"/>
        <v>125</v>
      </c>
      <c r="BO365" s="111">
        <f t="shared" si="1010"/>
        <v>125</v>
      </c>
      <c r="BP365" s="111">
        <f t="shared" si="1010"/>
        <v>125</v>
      </c>
      <c r="BQ365" s="111">
        <f t="shared" si="1010"/>
        <v>125</v>
      </c>
      <c r="BR365" s="111">
        <f t="shared" si="1010"/>
        <v>125</v>
      </c>
      <c r="BS365" s="111">
        <f t="shared" si="1010"/>
        <v>125</v>
      </c>
      <c r="BT365" s="111">
        <f>BS365</f>
        <v>125</v>
      </c>
      <c r="BU365" s="111">
        <f>BT365</f>
        <v>125</v>
      </c>
      <c r="BV365" s="111">
        <f>BU365</f>
        <v>125</v>
      </c>
      <c r="BW365" s="111">
        <f>BV365</f>
        <v>125</v>
      </c>
      <c r="BX365" s="111">
        <f t="shared" ref="BX365:CE365" si="1011">BW365</f>
        <v>125</v>
      </c>
      <c r="BY365" s="111">
        <f t="shared" si="1011"/>
        <v>125</v>
      </c>
      <c r="BZ365" s="111">
        <f t="shared" si="1011"/>
        <v>125</v>
      </c>
      <c r="CA365" s="111">
        <f t="shared" si="1011"/>
        <v>125</v>
      </c>
      <c r="CB365" s="111">
        <f t="shared" si="1011"/>
        <v>125</v>
      </c>
      <c r="CC365" s="111">
        <f t="shared" si="1011"/>
        <v>125</v>
      </c>
      <c r="CD365" s="111">
        <f t="shared" si="1011"/>
        <v>125</v>
      </c>
      <c r="CE365" s="111">
        <f t="shared" si="1011"/>
        <v>125</v>
      </c>
      <c r="CF365" s="4"/>
      <c r="CG365" s="4"/>
      <c r="CH365" s="4"/>
      <c r="CI365" s="4"/>
      <c r="CJ365" s="4"/>
      <c r="CK365" s="4"/>
      <c r="CL365" s="4"/>
      <c r="CM365" s="4"/>
      <c r="CN365" s="240">
        <f t="shared" si="931"/>
        <v>358</v>
      </c>
    </row>
    <row r="366" spans="1:92" hidden="1" outlineLevel="2">
      <c r="A366" s="146"/>
      <c r="B366" s="84" t="s">
        <v>259</v>
      </c>
      <c r="C366" s="23">
        <f t="shared" si="1008"/>
        <v>0</v>
      </c>
      <c r="D366" s="23">
        <f t="shared" si="1008"/>
        <v>0</v>
      </c>
      <c r="E366" s="23">
        <f t="shared" si="1008"/>
        <v>0</v>
      </c>
      <c r="F366" s="23">
        <f t="shared" si="1008"/>
        <v>0</v>
      </c>
      <c r="G366" s="23">
        <f t="shared" si="1008"/>
        <v>0</v>
      </c>
      <c r="H366" s="23">
        <f t="shared" si="1008"/>
        <v>0</v>
      </c>
      <c r="I366" s="23">
        <f t="shared" si="1008"/>
        <v>0</v>
      </c>
      <c r="J366" s="23">
        <f t="shared" si="1008"/>
        <v>0</v>
      </c>
      <c r="K366" s="23">
        <f t="shared" si="1008"/>
        <v>-29.3</v>
      </c>
      <c r="L366" s="23">
        <f t="shared" si="1008"/>
        <v>-29.3</v>
      </c>
      <c r="M366" s="23">
        <f t="shared" si="1008"/>
        <v>0</v>
      </c>
      <c r="N366" s="23">
        <f t="shared" si="1008"/>
        <v>0</v>
      </c>
      <c r="O366" s="23">
        <f t="shared" si="1008"/>
        <v>0</v>
      </c>
      <c r="P366" s="23">
        <f t="shared" si="1009"/>
        <v>0</v>
      </c>
      <c r="Q366" s="23">
        <f t="shared" si="1009"/>
        <v>0</v>
      </c>
      <c r="R366" s="4"/>
      <c r="S366" s="4"/>
      <c r="T366" s="4"/>
      <c r="U366" s="4"/>
      <c r="V366" s="4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111">
        <v>-24.1</v>
      </c>
      <c r="BE366" s="111">
        <v>-24.1</v>
      </c>
      <c r="BF366" s="111">
        <v>-24.1</v>
      </c>
      <c r="BG366" s="111">
        <v>-29.3</v>
      </c>
      <c r="BH366" s="111">
        <v>-29.3</v>
      </c>
      <c r="BI366" s="111">
        <v>-29.3</v>
      </c>
      <c r="BJ366" s="111">
        <v>-29.3</v>
      </c>
      <c r="BK366" s="111">
        <v>-29.3</v>
      </c>
      <c r="BL366" s="111">
        <v>0</v>
      </c>
      <c r="BM366" s="111">
        <v>0</v>
      </c>
      <c r="BN366" s="111">
        <v>0</v>
      </c>
      <c r="BO366" s="111">
        <v>0</v>
      </c>
      <c r="BP366" s="111">
        <v>0</v>
      </c>
      <c r="BQ366" s="111">
        <v>0</v>
      </c>
      <c r="BR366" s="111">
        <v>0</v>
      </c>
      <c r="BS366" s="111">
        <v>0</v>
      </c>
      <c r="BT366" s="111">
        <v>0</v>
      </c>
      <c r="BU366" s="111">
        <v>0</v>
      </c>
      <c r="BV366" s="111">
        <v>0</v>
      </c>
      <c r="BW366" s="111">
        <v>0</v>
      </c>
      <c r="BX366" s="111">
        <v>0</v>
      </c>
      <c r="BY366" s="111">
        <v>0</v>
      </c>
      <c r="BZ366" s="111">
        <v>0</v>
      </c>
      <c r="CA366" s="111">
        <v>0</v>
      </c>
      <c r="CB366" s="111">
        <v>0</v>
      </c>
      <c r="CC366" s="111">
        <v>0</v>
      </c>
      <c r="CD366" s="111">
        <v>0</v>
      </c>
      <c r="CE366" s="111">
        <v>0</v>
      </c>
      <c r="CF366" s="4"/>
      <c r="CG366" s="4"/>
      <c r="CH366" s="4"/>
      <c r="CI366" s="4"/>
      <c r="CJ366" s="4"/>
      <c r="CK366" s="4"/>
      <c r="CL366" s="4"/>
      <c r="CM366" s="4"/>
      <c r="CN366" s="240">
        <f t="shared" si="931"/>
        <v>359</v>
      </c>
    </row>
    <row r="367" spans="1:92" hidden="1" outlineLevel="2">
      <c r="A367" s="146"/>
      <c r="B367" s="84" t="s">
        <v>260</v>
      </c>
      <c r="C367" s="23">
        <f t="shared" si="1008"/>
        <v>0</v>
      </c>
      <c r="D367" s="23">
        <f t="shared" si="1008"/>
        <v>0</v>
      </c>
      <c r="E367" s="23">
        <f t="shared" si="1008"/>
        <v>0</v>
      </c>
      <c r="F367" s="23">
        <f t="shared" si="1008"/>
        <v>0</v>
      </c>
      <c r="G367" s="23">
        <f t="shared" si="1008"/>
        <v>0</v>
      </c>
      <c r="H367" s="23">
        <f t="shared" si="1008"/>
        <v>0</v>
      </c>
      <c r="I367" s="23">
        <f t="shared" si="1008"/>
        <v>0</v>
      </c>
      <c r="J367" s="23">
        <f t="shared" si="1008"/>
        <v>0</v>
      </c>
      <c r="K367" s="23">
        <f t="shared" si="1008"/>
        <v>320.7</v>
      </c>
      <c r="L367" s="23">
        <f t="shared" si="1008"/>
        <v>95.7</v>
      </c>
      <c r="M367" s="23">
        <f t="shared" si="1008"/>
        <v>125</v>
      </c>
      <c r="N367" s="23">
        <f t="shared" si="1008"/>
        <v>125</v>
      </c>
      <c r="O367" s="23">
        <f t="shared" si="1008"/>
        <v>125</v>
      </c>
      <c r="P367" s="23">
        <f t="shared" si="1009"/>
        <v>125</v>
      </c>
      <c r="Q367" s="23">
        <f t="shared" si="1009"/>
        <v>125</v>
      </c>
      <c r="R367" s="4"/>
      <c r="S367" s="4"/>
      <c r="T367" s="4"/>
      <c r="U367" s="4"/>
      <c r="V367" s="4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>
        <f>+BD365+BD366</f>
        <v>325.89999999999998</v>
      </c>
      <c r="BE367" s="23">
        <f t="shared" ref="BE367:BW367" si="1012">+BE365+BE366</f>
        <v>325.89999999999998</v>
      </c>
      <c r="BF367" s="23">
        <f t="shared" si="1012"/>
        <v>325.89999999999998</v>
      </c>
      <c r="BG367" s="23">
        <f t="shared" si="1012"/>
        <v>320.7</v>
      </c>
      <c r="BH367" s="23">
        <f t="shared" si="1012"/>
        <v>320.7</v>
      </c>
      <c r="BI367" s="23">
        <f t="shared" si="1012"/>
        <v>320.7</v>
      </c>
      <c r="BJ367" s="23">
        <f t="shared" si="1012"/>
        <v>320.7</v>
      </c>
      <c r="BK367" s="23">
        <f t="shared" si="1012"/>
        <v>95.7</v>
      </c>
      <c r="BL367" s="23">
        <f t="shared" si="1012"/>
        <v>125</v>
      </c>
      <c r="BM367" s="23">
        <f t="shared" si="1012"/>
        <v>125</v>
      </c>
      <c r="BN367" s="23">
        <f t="shared" si="1012"/>
        <v>125</v>
      </c>
      <c r="BO367" s="23">
        <f>+BO365+BO366</f>
        <v>125</v>
      </c>
      <c r="BP367" s="23">
        <f>+BP365+BP366</f>
        <v>125</v>
      </c>
      <c r="BQ367" s="23">
        <f>+BQ365+BQ366</f>
        <v>125</v>
      </c>
      <c r="BR367" s="23">
        <f>+BR365+BR366</f>
        <v>125</v>
      </c>
      <c r="BS367" s="23">
        <f>+BS365+BS366</f>
        <v>125</v>
      </c>
      <c r="BT367" s="23">
        <f t="shared" si="1012"/>
        <v>125</v>
      </c>
      <c r="BU367" s="23">
        <f t="shared" si="1012"/>
        <v>125</v>
      </c>
      <c r="BV367" s="23">
        <f t="shared" si="1012"/>
        <v>125</v>
      </c>
      <c r="BW367" s="23">
        <f t="shared" si="1012"/>
        <v>125</v>
      </c>
      <c r="BX367" s="23">
        <f t="shared" ref="BX367:CE367" si="1013">+BX365+BX366</f>
        <v>125</v>
      </c>
      <c r="BY367" s="23">
        <f t="shared" si="1013"/>
        <v>125</v>
      </c>
      <c r="BZ367" s="23">
        <f t="shared" si="1013"/>
        <v>125</v>
      </c>
      <c r="CA367" s="23">
        <f t="shared" si="1013"/>
        <v>125</v>
      </c>
      <c r="CB367" s="23">
        <f t="shared" si="1013"/>
        <v>125</v>
      </c>
      <c r="CC367" s="23">
        <f t="shared" si="1013"/>
        <v>125</v>
      </c>
      <c r="CD367" s="23">
        <f t="shared" si="1013"/>
        <v>125</v>
      </c>
      <c r="CE367" s="23">
        <f t="shared" si="1013"/>
        <v>125</v>
      </c>
      <c r="CF367" s="4"/>
      <c r="CG367" s="4"/>
      <c r="CH367" s="4"/>
      <c r="CI367" s="4"/>
      <c r="CJ367" s="4"/>
      <c r="CK367" s="4"/>
      <c r="CL367" s="4"/>
      <c r="CM367" s="4"/>
      <c r="CN367" s="240">
        <f t="shared" si="931"/>
        <v>360</v>
      </c>
    </row>
    <row r="368" spans="1:92" hidden="1" outlineLevel="2">
      <c r="A368" s="146"/>
      <c r="B368" s="84" t="s">
        <v>262</v>
      </c>
      <c r="C368" s="23">
        <f t="shared" si="1008"/>
        <v>0</v>
      </c>
      <c r="D368" s="23">
        <f t="shared" si="1008"/>
        <v>0</v>
      </c>
      <c r="E368" s="23">
        <f t="shared" si="1008"/>
        <v>0</v>
      </c>
      <c r="F368" s="23">
        <f t="shared" si="1008"/>
        <v>0</v>
      </c>
      <c r="G368" s="23">
        <f t="shared" si="1008"/>
        <v>0</v>
      </c>
      <c r="H368" s="23">
        <f t="shared" si="1008"/>
        <v>0</v>
      </c>
      <c r="I368" s="23">
        <f t="shared" si="1008"/>
        <v>0</v>
      </c>
      <c r="J368" s="23">
        <f t="shared" si="1008"/>
        <v>0</v>
      </c>
      <c r="K368" s="23">
        <f t="shared" si="1008"/>
        <v>224.5</v>
      </c>
      <c r="L368" s="23">
        <f t="shared" si="1008"/>
        <v>0</v>
      </c>
      <c r="M368" s="23">
        <f t="shared" si="1008"/>
        <v>0</v>
      </c>
      <c r="N368" s="23">
        <f t="shared" si="1008"/>
        <v>0</v>
      </c>
      <c r="O368" s="23">
        <f t="shared" si="1008"/>
        <v>0</v>
      </c>
      <c r="P368" s="23">
        <f t="shared" si="1009"/>
        <v>0</v>
      </c>
      <c r="Q368" s="23">
        <f t="shared" si="1009"/>
        <v>0</v>
      </c>
      <c r="R368" s="4"/>
      <c r="S368" s="4"/>
      <c r="T368" s="4"/>
      <c r="U368" s="4"/>
      <c r="V368" s="4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>
        <f>BD273</f>
        <v>80.8</v>
      </c>
      <c r="BE368" s="23">
        <f t="shared" ref="BE368:BN368" si="1014">BE273</f>
        <v>131.4</v>
      </c>
      <c r="BF368" s="23">
        <f t="shared" si="1014"/>
        <v>152</v>
      </c>
      <c r="BG368" s="23">
        <f t="shared" si="1014"/>
        <v>224.5</v>
      </c>
      <c r="BH368" s="23">
        <f t="shared" si="1014"/>
        <v>155.6</v>
      </c>
      <c r="BI368" s="23">
        <f t="shared" si="1014"/>
        <v>54.9</v>
      </c>
      <c r="BJ368" s="23">
        <f t="shared" si="1014"/>
        <v>19.5</v>
      </c>
      <c r="BK368" s="23">
        <f t="shared" si="1014"/>
        <v>0</v>
      </c>
      <c r="BL368" s="23">
        <f t="shared" si="1014"/>
        <v>0</v>
      </c>
      <c r="BM368" s="23">
        <f t="shared" si="1014"/>
        <v>0</v>
      </c>
      <c r="BN368" s="23">
        <f t="shared" si="1014"/>
        <v>0</v>
      </c>
      <c r="BO368" s="23">
        <f>BO273</f>
        <v>0</v>
      </c>
      <c r="BP368" s="23">
        <f>BP273</f>
        <v>0</v>
      </c>
      <c r="BQ368" s="23">
        <f>BQ273</f>
        <v>0</v>
      </c>
      <c r="BR368" s="23">
        <f>BR273</f>
        <v>0</v>
      </c>
      <c r="BS368" s="23">
        <f>BS273</f>
        <v>0</v>
      </c>
      <c r="BT368" s="23">
        <f>MIN(BT363,BT367)</f>
        <v>0</v>
      </c>
      <c r="BU368" s="23">
        <f>MIN(BU363,BU367)</f>
        <v>0</v>
      </c>
      <c r="BV368" s="23">
        <f>MIN(BV363,BV367)</f>
        <v>0</v>
      </c>
      <c r="BW368" s="23">
        <f>MIN(BW363,BW367)</f>
        <v>0</v>
      </c>
      <c r="BX368" s="23">
        <f t="shared" ref="BX368:CE368" si="1015">MIN(BX363,BX367)</f>
        <v>0</v>
      </c>
      <c r="BY368" s="23">
        <f t="shared" si="1015"/>
        <v>0</v>
      </c>
      <c r="BZ368" s="23">
        <f t="shared" si="1015"/>
        <v>0</v>
      </c>
      <c r="CA368" s="23">
        <f t="shared" si="1015"/>
        <v>0</v>
      </c>
      <c r="CB368" s="23">
        <f t="shared" si="1015"/>
        <v>0</v>
      </c>
      <c r="CC368" s="23">
        <f t="shared" si="1015"/>
        <v>0</v>
      </c>
      <c r="CD368" s="23">
        <f t="shared" si="1015"/>
        <v>0</v>
      </c>
      <c r="CE368" s="23">
        <f t="shared" si="1015"/>
        <v>0</v>
      </c>
      <c r="CF368" s="4"/>
      <c r="CG368" s="4"/>
      <c r="CH368" s="4"/>
      <c r="CI368" s="4"/>
      <c r="CJ368" s="4"/>
      <c r="CK368" s="4"/>
      <c r="CL368" s="4"/>
      <c r="CM368" s="4"/>
      <c r="CN368" s="240">
        <f t="shared" si="931"/>
        <v>361</v>
      </c>
    </row>
    <row r="369" spans="1:99" hidden="1" outlineLevel="2">
      <c r="A369" s="146"/>
      <c r="B369" s="84" t="s">
        <v>261</v>
      </c>
      <c r="C369" s="23">
        <f t="shared" si="1008"/>
        <v>0</v>
      </c>
      <c r="D369" s="23">
        <f t="shared" si="1008"/>
        <v>0</v>
      </c>
      <c r="E369" s="23">
        <f t="shared" si="1008"/>
        <v>0</v>
      </c>
      <c r="F369" s="23">
        <f t="shared" si="1008"/>
        <v>0</v>
      </c>
      <c r="G369" s="23">
        <f t="shared" si="1008"/>
        <v>0</v>
      </c>
      <c r="H369" s="23">
        <f t="shared" si="1008"/>
        <v>0</v>
      </c>
      <c r="I369" s="23">
        <f t="shared" si="1008"/>
        <v>0</v>
      </c>
      <c r="J369" s="23">
        <f t="shared" si="1008"/>
        <v>0</v>
      </c>
      <c r="K369" s="23">
        <f t="shared" si="1008"/>
        <v>96.199999999999875</v>
      </c>
      <c r="L369" s="23">
        <f t="shared" si="1008"/>
        <v>95.7</v>
      </c>
      <c r="M369" s="23">
        <f t="shared" si="1008"/>
        <v>125</v>
      </c>
      <c r="N369" s="23">
        <f t="shared" si="1008"/>
        <v>125</v>
      </c>
      <c r="O369" s="23">
        <f t="shared" si="1008"/>
        <v>125</v>
      </c>
      <c r="P369" s="23">
        <f t="shared" si="1009"/>
        <v>125</v>
      </c>
      <c r="Q369" s="23">
        <f t="shared" si="1009"/>
        <v>125</v>
      </c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148">
        <f t="shared" ref="BD369:BK369" si="1016">+BD367-BD363</f>
        <v>245.10000000000008</v>
      </c>
      <c r="BE369" s="148">
        <f t="shared" si="1016"/>
        <v>194.50000000000003</v>
      </c>
      <c r="BF369" s="148">
        <f t="shared" si="1016"/>
        <v>173.89999999999969</v>
      </c>
      <c r="BG369" s="148">
        <f t="shared" si="1016"/>
        <v>96.199999999999875</v>
      </c>
      <c r="BH369" s="148">
        <f t="shared" si="1016"/>
        <v>165.1</v>
      </c>
      <c r="BI369" s="148">
        <f t="shared" si="1016"/>
        <v>265.8</v>
      </c>
      <c r="BJ369" s="148">
        <f t="shared" si="1016"/>
        <v>301.2</v>
      </c>
      <c r="BK369" s="148">
        <f t="shared" si="1016"/>
        <v>95.7</v>
      </c>
      <c r="BL369" s="148">
        <f t="shared" ref="BL369:BQ369" si="1017">+BL367-BL363</f>
        <v>125</v>
      </c>
      <c r="BM369" s="148">
        <f t="shared" si="1017"/>
        <v>125</v>
      </c>
      <c r="BN369" s="148">
        <f t="shared" si="1017"/>
        <v>125</v>
      </c>
      <c r="BO369" s="148">
        <f t="shared" si="1017"/>
        <v>125</v>
      </c>
      <c r="BP369" s="148">
        <f t="shared" si="1017"/>
        <v>125</v>
      </c>
      <c r="BQ369" s="148">
        <f t="shared" si="1017"/>
        <v>125</v>
      </c>
      <c r="BR369" s="148">
        <f t="shared" ref="BR369:BW369" si="1018">+BR367-BR363</f>
        <v>125</v>
      </c>
      <c r="BS369" s="148">
        <f t="shared" ref="BS369" si="1019">+BS367-BS363</f>
        <v>125</v>
      </c>
      <c r="BT369" s="148">
        <f t="shared" si="1018"/>
        <v>125</v>
      </c>
      <c r="BU369" s="148">
        <f t="shared" si="1018"/>
        <v>125</v>
      </c>
      <c r="BV369" s="148">
        <f t="shared" si="1018"/>
        <v>125</v>
      </c>
      <c r="BW369" s="148">
        <f t="shared" si="1018"/>
        <v>125</v>
      </c>
      <c r="BX369" s="148">
        <f t="shared" ref="BX369:CE369" si="1020">+BX367-BX363</f>
        <v>125</v>
      </c>
      <c r="BY369" s="148">
        <f t="shared" si="1020"/>
        <v>125</v>
      </c>
      <c r="BZ369" s="148">
        <f t="shared" si="1020"/>
        <v>125</v>
      </c>
      <c r="CA369" s="148">
        <f t="shared" si="1020"/>
        <v>125</v>
      </c>
      <c r="CB369" s="148">
        <f t="shared" si="1020"/>
        <v>125</v>
      </c>
      <c r="CC369" s="148">
        <f t="shared" si="1020"/>
        <v>125</v>
      </c>
      <c r="CD369" s="148">
        <f t="shared" si="1020"/>
        <v>125</v>
      </c>
      <c r="CE369" s="148">
        <f t="shared" si="1020"/>
        <v>125</v>
      </c>
      <c r="CF369" s="4"/>
      <c r="CG369" s="4"/>
      <c r="CH369" s="4"/>
      <c r="CI369" s="4"/>
      <c r="CJ369" s="4"/>
      <c r="CK369" s="4"/>
      <c r="CL369" s="4"/>
      <c r="CM369" s="4"/>
      <c r="CN369" s="240">
        <f t="shared" si="931"/>
        <v>362</v>
      </c>
    </row>
    <row r="370" spans="1:99" ht="12.75" hidden="1" customHeight="1" outlineLevel="2">
      <c r="A370" s="143"/>
      <c r="B370" s="10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4"/>
      <c r="T370" s="4"/>
      <c r="U370" s="4"/>
      <c r="V370" s="4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240">
        <f t="shared" si="931"/>
        <v>363</v>
      </c>
    </row>
    <row r="371" spans="1:99" ht="12.75" customHeight="1" outlineLevel="1" collapsed="1">
      <c r="A371" s="143" t="s">
        <v>33</v>
      </c>
      <c r="B371" s="29" t="s">
        <v>50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4"/>
      <c r="T371" s="4"/>
      <c r="U371" s="4"/>
      <c r="V371" s="4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132"/>
      <c r="BM371" s="132"/>
      <c r="BN371" s="132"/>
      <c r="BO371" s="132"/>
      <c r="BP371" s="132"/>
      <c r="BQ371" s="132"/>
      <c r="BR371" s="132"/>
      <c r="BS371" s="132"/>
      <c r="BT371" s="132"/>
      <c r="BU371" s="132"/>
      <c r="BV371" s="132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240">
        <f t="shared" si="931"/>
        <v>364</v>
      </c>
    </row>
    <row r="372" spans="1:99" hidden="1" outlineLevel="2">
      <c r="A372" s="143"/>
      <c r="B372" s="10" t="s">
        <v>247</v>
      </c>
      <c r="C372" s="23">
        <f t="shared" ref="C372:Q372" si="1021">SUMIF($T$5:$CF$5,C$5,$T372:$CF372)</f>
        <v>0</v>
      </c>
      <c r="D372" s="23">
        <f t="shared" si="1021"/>
        <v>0</v>
      </c>
      <c r="E372" s="23">
        <f t="shared" si="1021"/>
        <v>0</v>
      </c>
      <c r="F372" s="23">
        <f t="shared" si="1021"/>
        <v>0</v>
      </c>
      <c r="G372" s="23">
        <f t="shared" si="1021"/>
        <v>147.43495000000001</v>
      </c>
      <c r="H372" s="23">
        <f t="shared" si="1021"/>
        <v>188.08699999999999</v>
      </c>
      <c r="I372" s="23">
        <f t="shared" si="1021"/>
        <v>228.37004999999999</v>
      </c>
      <c r="J372" s="23">
        <f t="shared" si="1021"/>
        <v>236.03344999999996</v>
      </c>
      <c r="K372" s="23">
        <f t="shared" si="1021"/>
        <v>253.92239999999998</v>
      </c>
      <c r="L372" s="23">
        <f t="shared" si="1021"/>
        <v>312.43315000000007</v>
      </c>
      <c r="M372" s="23">
        <f t="shared" si="1021"/>
        <v>269.73104999999998</v>
      </c>
      <c r="N372" s="23">
        <f t="shared" si="1021"/>
        <v>196.58759999999998</v>
      </c>
      <c r="O372" s="23">
        <f t="shared" si="1021"/>
        <v>186.00723437499997</v>
      </c>
      <c r="P372" s="23">
        <f t="shared" si="1021"/>
        <v>190.29483750000003</v>
      </c>
      <c r="Q372" s="23">
        <f t="shared" si="1021"/>
        <v>189.22879999999998</v>
      </c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23">
        <f t="shared" ref="AN372:CE372" si="1022">-AVERAGE(T242:AM242)</f>
        <v>35.977249999999998</v>
      </c>
      <c r="AO372" s="23">
        <f t="shared" si="1022"/>
        <v>35.829750000000004</v>
      </c>
      <c r="AP372" s="23">
        <f t="shared" si="1022"/>
        <v>37.117350000000002</v>
      </c>
      <c r="AQ372" s="23">
        <f t="shared" si="1022"/>
        <v>38.510600000000004</v>
      </c>
      <c r="AR372" s="23">
        <f t="shared" si="1022"/>
        <v>41.712149999999994</v>
      </c>
      <c r="AS372" s="23">
        <f t="shared" si="1022"/>
        <v>45.029549999999993</v>
      </c>
      <c r="AT372" s="23">
        <f t="shared" si="1022"/>
        <v>49.21275</v>
      </c>
      <c r="AU372" s="23">
        <f t="shared" si="1022"/>
        <v>52.132550000000002</v>
      </c>
      <c r="AV372" s="23">
        <f t="shared" si="1022"/>
        <v>54.540599999999998</v>
      </c>
      <c r="AW372" s="23">
        <f t="shared" si="1022"/>
        <v>57.427900000000001</v>
      </c>
      <c r="AX372" s="23">
        <f t="shared" si="1022"/>
        <v>58.048350000000006</v>
      </c>
      <c r="AY372" s="23">
        <f t="shared" si="1022"/>
        <v>58.353199999999994</v>
      </c>
      <c r="AZ372" s="23">
        <f t="shared" si="1022"/>
        <v>58.547799999999995</v>
      </c>
      <c r="BA372" s="23">
        <f t="shared" si="1022"/>
        <v>58.88304999999999</v>
      </c>
      <c r="BB372" s="23">
        <f t="shared" si="1022"/>
        <v>58.909149999999997</v>
      </c>
      <c r="BC372" s="23">
        <f t="shared" si="1022"/>
        <v>59.693449999999999</v>
      </c>
      <c r="BD372" s="23">
        <f t="shared" si="1022"/>
        <v>60.115949999999998</v>
      </c>
      <c r="BE372" s="23">
        <f t="shared" si="1022"/>
        <v>61.155700000000003</v>
      </c>
      <c r="BF372" s="23">
        <f t="shared" si="1022"/>
        <v>63.596150000000002</v>
      </c>
      <c r="BG372" s="23">
        <f t="shared" si="1022"/>
        <v>69.054600000000008</v>
      </c>
      <c r="BH372" s="23">
        <f t="shared" si="1022"/>
        <v>75.299550000000011</v>
      </c>
      <c r="BI372" s="23">
        <f t="shared" si="1022"/>
        <v>79.955750000000009</v>
      </c>
      <c r="BJ372" s="23">
        <f t="shared" si="1022"/>
        <v>79.423500000000018</v>
      </c>
      <c r="BK372" s="23">
        <f t="shared" si="1022"/>
        <v>77.754350000000017</v>
      </c>
      <c r="BL372" s="23">
        <f t="shared" si="1022"/>
        <v>74.295550000000006</v>
      </c>
      <c r="BM372" s="23">
        <f t="shared" si="1022"/>
        <v>70.158699999999996</v>
      </c>
      <c r="BN372" s="23">
        <f t="shared" si="1022"/>
        <v>65.021850000000001</v>
      </c>
      <c r="BO372" s="23">
        <f t="shared" si="1022"/>
        <v>60.254949999999994</v>
      </c>
      <c r="BP372" s="23">
        <f t="shared" si="1022"/>
        <v>55.172449999999991</v>
      </c>
      <c r="BQ372" s="23">
        <f t="shared" si="1022"/>
        <v>49.687400000000004</v>
      </c>
      <c r="BR372" s="23">
        <f t="shared" si="1022"/>
        <v>46.494599999999998</v>
      </c>
      <c r="BS372" s="23">
        <f t="shared" si="1022"/>
        <v>45.233150000000002</v>
      </c>
      <c r="BT372" s="23">
        <f t="shared" si="1022"/>
        <v>44.602799999999995</v>
      </c>
      <c r="BU372" s="23">
        <f t="shared" si="1022"/>
        <v>46.205487499999997</v>
      </c>
      <c r="BV372" s="23">
        <f t="shared" si="1022"/>
        <v>47.715096874999993</v>
      </c>
      <c r="BW372" s="23">
        <f t="shared" si="1022"/>
        <v>47.483849999999997</v>
      </c>
      <c r="BX372" s="23">
        <f t="shared" si="1022"/>
        <v>47.756875000000008</v>
      </c>
      <c r="BY372" s="23">
        <f t="shared" si="1022"/>
        <v>48.106500000000004</v>
      </c>
      <c r="BZ372" s="23">
        <f t="shared" si="1022"/>
        <v>46.845425000000006</v>
      </c>
      <c r="CA372" s="23">
        <f t="shared" si="1022"/>
        <v>47.58603750000001</v>
      </c>
      <c r="CB372" s="23">
        <f t="shared" si="1022"/>
        <v>48.078024999999997</v>
      </c>
      <c r="CC372" s="23">
        <f t="shared" si="1022"/>
        <v>45.70655</v>
      </c>
      <c r="CD372" s="23">
        <f t="shared" si="1022"/>
        <v>46.716924999999996</v>
      </c>
      <c r="CE372" s="23">
        <f t="shared" si="1022"/>
        <v>48.7273</v>
      </c>
      <c r="CF372" s="4"/>
      <c r="CG372" s="4"/>
      <c r="CH372" s="4"/>
      <c r="CI372" s="4"/>
      <c r="CJ372" s="4"/>
      <c r="CK372" s="4"/>
      <c r="CL372" s="4"/>
      <c r="CM372" s="4"/>
      <c r="CN372" s="240">
        <f t="shared" si="931"/>
        <v>365</v>
      </c>
    </row>
    <row r="373" spans="1:99" hidden="1" outlineLevel="2">
      <c r="A373" s="143"/>
      <c r="B373" s="10" t="s">
        <v>249</v>
      </c>
      <c r="C373" s="23">
        <f t="shared" ref="C373:Q373" si="1023">-C59</f>
        <v>46.710999999999999</v>
      </c>
      <c r="D373" s="23">
        <f t="shared" si="1023"/>
        <v>78.506</v>
      </c>
      <c r="E373" s="23">
        <f t="shared" si="1023"/>
        <v>118.40300000000001</v>
      </c>
      <c r="F373" s="23">
        <f t="shared" si="1023"/>
        <v>130.58000000000001</v>
      </c>
      <c r="G373" s="23">
        <f t="shared" si="1023"/>
        <v>133.36000000000001</v>
      </c>
      <c r="H373" s="23">
        <f t="shared" si="1023"/>
        <v>177.38200000000001</v>
      </c>
      <c r="I373" s="23">
        <f t="shared" si="1023"/>
        <v>214.80199999999999</v>
      </c>
      <c r="J373" s="23">
        <f t="shared" si="1023"/>
        <v>213.12799999999999</v>
      </c>
      <c r="K373" s="23">
        <f t="shared" si="1023"/>
        <v>230.81300000000002</v>
      </c>
      <c r="L373" s="23">
        <f t="shared" si="1023"/>
        <v>270.97699999999998</v>
      </c>
      <c r="M373" s="23">
        <f t="shared" si="1023"/>
        <v>217.25799999999998</v>
      </c>
      <c r="N373" s="23">
        <f t="shared" si="1023"/>
        <v>163.53699999999998</v>
      </c>
      <c r="O373" s="23">
        <f t="shared" si="1023"/>
        <v>171.48822321481941</v>
      </c>
      <c r="P373" s="23">
        <f t="shared" si="1023"/>
        <v>192.28704856272643</v>
      </c>
      <c r="Q373" s="23">
        <f t="shared" si="1023"/>
        <v>244.46131178354906</v>
      </c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23">
        <f t="shared" ref="AN373:CE373" si="1024">-AN59</f>
        <v>32.261000000000003</v>
      </c>
      <c r="AO373" s="23">
        <f t="shared" si="1024"/>
        <v>33.384</v>
      </c>
      <c r="AP373" s="23">
        <f t="shared" si="1024"/>
        <v>33.091000000000001</v>
      </c>
      <c r="AQ373" s="23">
        <f t="shared" si="1024"/>
        <v>34.624000000000002</v>
      </c>
      <c r="AR373" s="23">
        <f t="shared" si="1024"/>
        <v>39.536999999999999</v>
      </c>
      <c r="AS373" s="23">
        <f t="shared" si="1024"/>
        <v>44.893000000000001</v>
      </c>
      <c r="AT373" s="23">
        <f t="shared" si="1024"/>
        <v>46.475999999999999</v>
      </c>
      <c r="AU373" s="23">
        <f t="shared" si="1024"/>
        <v>46.475999999999999</v>
      </c>
      <c r="AV373" s="23">
        <f t="shared" si="1024"/>
        <v>51.604999999999997</v>
      </c>
      <c r="AW373" s="23">
        <f t="shared" si="1024"/>
        <v>53.95</v>
      </c>
      <c r="AX373" s="23">
        <f t="shared" si="1024"/>
        <v>53.95</v>
      </c>
      <c r="AY373" s="23">
        <f t="shared" si="1024"/>
        <v>55.296999999999997</v>
      </c>
      <c r="AZ373" s="23">
        <f t="shared" si="1024"/>
        <v>52.820999999999998</v>
      </c>
      <c r="BA373" s="23">
        <f t="shared" si="1024"/>
        <v>52.767000000000003</v>
      </c>
      <c r="BB373" s="23">
        <f t="shared" si="1024"/>
        <v>53.210999999999999</v>
      </c>
      <c r="BC373" s="23">
        <f t="shared" si="1024"/>
        <v>54.329000000000001</v>
      </c>
      <c r="BD373" s="23">
        <f t="shared" si="1024"/>
        <v>55.505000000000003</v>
      </c>
      <c r="BE373" s="23">
        <f t="shared" si="1024"/>
        <v>56.517000000000003</v>
      </c>
      <c r="BF373" s="23">
        <f t="shared" si="1024"/>
        <v>57.219000000000001</v>
      </c>
      <c r="BG373" s="23">
        <f t="shared" si="1024"/>
        <v>61.572000000000003</v>
      </c>
      <c r="BH373" s="23">
        <f t="shared" si="1024"/>
        <v>65.975999999999999</v>
      </c>
      <c r="BI373" s="23">
        <f t="shared" si="1024"/>
        <v>69.801000000000002</v>
      </c>
      <c r="BJ373" s="23">
        <f t="shared" si="1024"/>
        <v>69.046999999999997</v>
      </c>
      <c r="BK373" s="23">
        <f t="shared" si="1024"/>
        <v>66.153000000000006</v>
      </c>
      <c r="BL373" s="23">
        <f t="shared" si="1024"/>
        <v>60.636000000000003</v>
      </c>
      <c r="BM373" s="23">
        <f t="shared" si="1024"/>
        <v>56.28</v>
      </c>
      <c r="BN373" s="23">
        <f t="shared" si="1024"/>
        <v>51.975000000000001</v>
      </c>
      <c r="BO373" s="23">
        <f t="shared" si="1024"/>
        <v>48.366999999999997</v>
      </c>
      <c r="BP373" s="23">
        <f t="shared" si="1024"/>
        <v>44.662999999999997</v>
      </c>
      <c r="BQ373" s="23">
        <f t="shared" si="1024"/>
        <v>41.262999999999998</v>
      </c>
      <c r="BR373" s="23">
        <f t="shared" si="1024"/>
        <v>39.587000000000003</v>
      </c>
      <c r="BS373" s="23">
        <f t="shared" si="1024"/>
        <v>38.024000000000001</v>
      </c>
      <c r="BT373" s="23">
        <f t="shared" si="1024"/>
        <v>37.961234087913972</v>
      </c>
      <c r="BU373" s="23">
        <f t="shared" si="1024"/>
        <v>41.991636472289443</v>
      </c>
      <c r="BV373" s="23">
        <f t="shared" si="1024"/>
        <v>45.724288581706638</v>
      </c>
      <c r="BW373" s="23">
        <f t="shared" si="1024"/>
        <v>45.81106407290936</v>
      </c>
      <c r="BX373" s="23">
        <f t="shared" si="1024"/>
        <v>45.937317271275063</v>
      </c>
      <c r="BY373" s="23">
        <f t="shared" si="1024"/>
        <v>46.052774288238581</v>
      </c>
      <c r="BZ373" s="23">
        <f t="shared" si="1024"/>
        <v>46.158358328394947</v>
      </c>
      <c r="CA373" s="23">
        <f t="shared" si="1024"/>
        <v>54.13859867481785</v>
      </c>
      <c r="CB373" s="23">
        <f t="shared" si="1024"/>
        <v>61.811616099263233</v>
      </c>
      <c r="CC373" s="23">
        <f t="shared" si="1024"/>
        <v>61.319996868120519</v>
      </c>
      <c r="CD373" s="23">
        <f t="shared" si="1024"/>
        <v>60.870417050386109</v>
      </c>
      <c r="CE373" s="23">
        <f t="shared" si="1024"/>
        <v>60.459281765779188</v>
      </c>
      <c r="CF373" s="4"/>
      <c r="CG373" s="4"/>
      <c r="CH373" s="4"/>
      <c r="CI373" s="4"/>
      <c r="CJ373" s="4"/>
      <c r="CK373" s="4"/>
      <c r="CL373" s="4"/>
      <c r="CM373" s="4"/>
      <c r="CN373" s="240">
        <f t="shared" si="931"/>
        <v>366</v>
      </c>
    </row>
    <row r="374" spans="1:99" hidden="1" outlineLevel="2">
      <c r="A374" s="143"/>
      <c r="B374" s="10" t="s">
        <v>248</v>
      </c>
      <c r="C374" s="23"/>
      <c r="D374" s="23"/>
      <c r="E374" s="23"/>
      <c r="F374" s="23"/>
      <c r="G374" s="57">
        <f>+G372/G373-1</f>
        <v>0.10554101679664063</v>
      </c>
      <c r="H374" s="57">
        <f t="shared" ref="H374:O374" si="1025">+H372/H373-1</f>
        <v>6.034997914106266E-2</v>
      </c>
      <c r="I374" s="57">
        <f t="shared" si="1025"/>
        <v>6.3165380210612465E-2</v>
      </c>
      <c r="J374" s="57">
        <f t="shared" si="1025"/>
        <v>0.10747273938665947</v>
      </c>
      <c r="K374" s="57">
        <f t="shared" si="1025"/>
        <v>0.10012174357596826</v>
      </c>
      <c r="L374" s="57">
        <f t="shared" si="1025"/>
        <v>0.15298770744380552</v>
      </c>
      <c r="M374" s="57">
        <f t="shared" si="1025"/>
        <v>0.24152413259810923</v>
      </c>
      <c r="N374" s="57">
        <f t="shared" si="1025"/>
        <v>0.20209860765453702</v>
      </c>
      <c r="O374" s="57">
        <f t="shared" si="1025"/>
        <v>8.4664771072896938E-2</v>
      </c>
      <c r="P374" s="57">
        <f>+P372/P373-1</f>
        <v>-1.0360609711457025E-2</v>
      </c>
      <c r="Q374" s="57">
        <f>+Q372/Q373-1</f>
        <v>-0.2259355943915291</v>
      </c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57">
        <f t="shared" ref="AN374:BW374" si="1026">+AN372/AN373-1</f>
        <v>0.11519326741266522</v>
      </c>
      <c r="AO374" s="57">
        <f t="shared" si="1026"/>
        <v>7.3261143062544942E-2</v>
      </c>
      <c r="AP374" s="57">
        <f t="shared" si="1026"/>
        <v>0.12167507781572029</v>
      </c>
      <c r="AQ374" s="57">
        <f t="shared" si="1026"/>
        <v>0.11225161737523104</v>
      </c>
      <c r="AR374" s="57">
        <f t="shared" si="1026"/>
        <v>5.5015555049700238E-2</v>
      </c>
      <c r="AS374" s="57">
        <f t="shared" si="1026"/>
        <v>3.0416768761274415E-3</v>
      </c>
      <c r="AT374" s="57">
        <f t="shared" si="1026"/>
        <v>5.8885231087012713E-2</v>
      </c>
      <c r="AU374" s="57">
        <f t="shared" si="1026"/>
        <v>0.12170905413546773</v>
      </c>
      <c r="AV374" s="57">
        <f t="shared" si="1026"/>
        <v>5.6885960662726553E-2</v>
      </c>
      <c r="AW374" s="57">
        <f t="shared" si="1026"/>
        <v>6.4465245597775667E-2</v>
      </c>
      <c r="AX374" s="57">
        <f t="shared" si="1026"/>
        <v>7.5965708989805369E-2</v>
      </c>
      <c r="AY374" s="57">
        <f t="shared" si="1026"/>
        <v>5.5268821093368503E-2</v>
      </c>
      <c r="AZ374" s="57">
        <f t="shared" si="1026"/>
        <v>0.10841900001893179</v>
      </c>
      <c r="BA374" s="57">
        <f t="shared" si="1026"/>
        <v>0.11590672200428265</v>
      </c>
      <c r="BB374" s="57">
        <f t="shared" si="1026"/>
        <v>0.10708594087688628</v>
      </c>
      <c r="BC374" s="57">
        <f t="shared" si="1026"/>
        <v>9.874008356494679E-2</v>
      </c>
      <c r="BD374" s="57">
        <f t="shared" si="1026"/>
        <v>8.3072696153499548E-2</v>
      </c>
      <c r="BE374" s="57">
        <f t="shared" si="1026"/>
        <v>8.2076189465116745E-2</v>
      </c>
      <c r="BF374" s="57">
        <f t="shared" si="1026"/>
        <v>0.11145161572205042</v>
      </c>
      <c r="BG374" s="57">
        <f t="shared" si="1026"/>
        <v>0.12152601832001575</v>
      </c>
      <c r="BH374" s="57">
        <f t="shared" si="1026"/>
        <v>0.14131729719898156</v>
      </c>
      <c r="BI374" s="57">
        <f t="shared" si="1026"/>
        <v>0.14548144009398145</v>
      </c>
      <c r="BJ374" s="57">
        <f t="shared" si="1026"/>
        <v>0.15028169218068888</v>
      </c>
      <c r="BK374" s="57">
        <f t="shared" si="1026"/>
        <v>0.17537148730972163</v>
      </c>
      <c r="BL374" s="57">
        <f t="shared" si="1026"/>
        <v>0.22527129098225473</v>
      </c>
      <c r="BM374" s="57">
        <f t="shared" ref="BM374:BR374" si="1027">+BM372/BM373-1</f>
        <v>0.24660092395167021</v>
      </c>
      <c r="BN374" s="57">
        <f t="shared" si="1027"/>
        <v>0.25102164502164492</v>
      </c>
      <c r="BO374" s="57">
        <f t="shared" si="1027"/>
        <v>0.24578638327785463</v>
      </c>
      <c r="BP374" s="57">
        <f t="shared" si="1027"/>
        <v>0.2353055101538184</v>
      </c>
      <c r="BQ374" s="57">
        <f t="shared" si="1027"/>
        <v>0.20416353634006268</v>
      </c>
      <c r="BR374" s="57">
        <f t="shared" si="1027"/>
        <v>0.17449162603885093</v>
      </c>
      <c r="BS374" s="57">
        <f t="shared" ref="BS374" si="1028">+BS372/BS373-1</f>
        <v>0.18959472964443513</v>
      </c>
      <c r="BT374" s="57">
        <f t="shared" si="1026"/>
        <v>0.17495653320186855</v>
      </c>
      <c r="BU374" s="57">
        <f t="shared" si="1026"/>
        <v>0.10034976918537808</v>
      </c>
      <c r="BV374" s="57">
        <f t="shared" si="1026"/>
        <v>4.3539404440068985E-2</v>
      </c>
      <c r="BW374" s="57">
        <f t="shared" si="1026"/>
        <v>3.6514889163638653E-2</v>
      </c>
      <c r="BX374" s="57">
        <f t="shared" ref="BX374:CE374" si="1029">+BX372/BX373-1</f>
        <v>3.9609577502749183E-2</v>
      </c>
      <c r="BY374" s="57">
        <f t="shared" si="1029"/>
        <v>4.4595048691473238E-2</v>
      </c>
      <c r="BZ374" s="57">
        <f t="shared" si="1029"/>
        <v>1.4884989338591836E-2</v>
      </c>
      <c r="CA374" s="57">
        <f t="shared" si="1029"/>
        <v>-0.12103307686583531</v>
      </c>
      <c r="CB374" s="57">
        <f t="shared" si="1029"/>
        <v>-0.22218463075303629</v>
      </c>
      <c r="CC374" s="57">
        <f t="shared" si="1029"/>
        <v>-0.25462243420690311</v>
      </c>
      <c r="CD374" s="57">
        <f t="shared" si="1029"/>
        <v>-0.23251840115815892</v>
      </c>
      <c r="CE374" s="57">
        <f t="shared" si="1029"/>
        <v>-0.19404765361304133</v>
      </c>
      <c r="CF374" s="4"/>
      <c r="CG374" s="4"/>
      <c r="CH374" s="4"/>
      <c r="CI374" s="4"/>
      <c r="CJ374" s="4"/>
      <c r="CK374" s="4"/>
      <c r="CL374" s="4"/>
      <c r="CM374" s="4"/>
      <c r="CN374" s="240">
        <f t="shared" si="931"/>
        <v>367</v>
      </c>
    </row>
    <row r="375" spans="1:99" hidden="1" outlineLevel="2">
      <c r="A375" s="143"/>
      <c r="B375" s="10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23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240">
        <f t="shared" si="931"/>
        <v>368</v>
      </c>
    </row>
    <row r="376" spans="1:99" ht="12.75" hidden="1" customHeight="1" outlineLevel="2">
      <c r="A376" s="143" t="s">
        <v>33</v>
      </c>
      <c r="B376" s="29" t="s">
        <v>141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4"/>
      <c r="T376" s="4"/>
      <c r="U376" s="4"/>
      <c r="V376" s="4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240">
        <f t="shared" si="931"/>
        <v>369</v>
      </c>
    </row>
    <row r="377" spans="1:99" ht="12.75" hidden="1" customHeight="1" outlineLevel="2">
      <c r="A377" s="143"/>
      <c r="B377" s="1" t="s">
        <v>142</v>
      </c>
      <c r="C377" s="30">
        <v>0</v>
      </c>
      <c r="D377" s="30">
        <v>0</v>
      </c>
      <c r="E377" s="30">
        <v>0</v>
      </c>
      <c r="F377" s="30">
        <v>0</v>
      </c>
      <c r="G377" s="30">
        <v>0</v>
      </c>
      <c r="H377" s="30">
        <v>0</v>
      </c>
      <c r="I377" s="30">
        <v>0</v>
      </c>
      <c r="J377" s="30">
        <v>0</v>
      </c>
      <c r="K377" s="30">
        <v>0</v>
      </c>
      <c r="L377" s="30">
        <v>0</v>
      </c>
      <c r="M377" s="30">
        <v>0</v>
      </c>
      <c r="N377" s="30">
        <v>0</v>
      </c>
      <c r="O377" s="30">
        <v>0</v>
      </c>
      <c r="P377" s="30">
        <v>0</v>
      </c>
      <c r="Q377" s="30">
        <v>0</v>
      </c>
      <c r="R377" s="30"/>
      <c r="S377" s="4"/>
      <c r="T377" s="4"/>
      <c r="U377" s="4"/>
      <c r="V377" s="4"/>
      <c r="W377" s="30">
        <v>0</v>
      </c>
      <c r="X377" s="30">
        <v>0</v>
      </c>
      <c r="Y377" s="30">
        <v>0</v>
      </c>
      <c r="Z377" s="30">
        <v>0</v>
      </c>
      <c r="AA377" s="30">
        <v>0</v>
      </c>
      <c r="AB377" s="30">
        <v>0</v>
      </c>
      <c r="AC377" s="30">
        <v>0</v>
      </c>
      <c r="AD377" s="30">
        <v>0</v>
      </c>
      <c r="AE377" s="30">
        <v>0</v>
      </c>
      <c r="AF377" s="30">
        <v>0</v>
      </c>
      <c r="AG377" s="30">
        <v>0</v>
      </c>
      <c r="AH377" s="30">
        <v>0</v>
      </c>
      <c r="AI377" s="30">
        <v>0</v>
      </c>
      <c r="AJ377" s="30">
        <v>0</v>
      </c>
      <c r="AK377" s="30">
        <v>0</v>
      </c>
      <c r="AL377" s="30">
        <v>0</v>
      </c>
      <c r="AM377" s="30">
        <v>0</v>
      </c>
      <c r="AN377" s="30">
        <v>0</v>
      </c>
      <c r="AO377" s="30">
        <v>0</v>
      </c>
      <c r="AP377" s="30">
        <v>0</v>
      </c>
      <c r="AQ377" s="30">
        <v>0</v>
      </c>
      <c r="AR377" s="30">
        <v>0</v>
      </c>
      <c r="AS377" s="30">
        <v>0</v>
      </c>
      <c r="AT377" s="30">
        <v>0</v>
      </c>
      <c r="AU377" s="30">
        <v>0</v>
      </c>
      <c r="AV377" s="30">
        <v>0</v>
      </c>
      <c r="AW377" s="30">
        <v>0</v>
      </c>
      <c r="AX377" s="30">
        <v>0</v>
      </c>
      <c r="AY377" s="30">
        <v>0</v>
      </c>
      <c r="AZ377" s="30">
        <v>0</v>
      </c>
      <c r="BA377" s="30">
        <v>0</v>
      </c>
      <c r="BB377" s="30">
        <v>0</v>
      </c>
      <c r="BC377" s="30">
        <v>0</v>
      </c>
      <c r="BD377" s="30">
        <v>0</v>
      </c>
      <c r="BE377" s="30">
        <v>0</v>
      </c>
      <c r="BF377" s="30">
        <v>0</v>
      </c>
      <c r="BG377" s="30">
        <v>0</v>
      </c>
      <c r="BH377" s="30">
        <v>0</v>
      </c>
      <c r="BI377" s="30">
        <v>0</v>
      </c>
      <c r="BJ377" s="30">
        <v>0</v>
      </c>
      <c r="BK377" s="30">
        <v>0</v>
      </c>
      <c r="BL377" s="30">
        <v>0</v>
      </c>
      <c r="BM377" s="30">
        <v>0</v>
      </c>
      <c r="BN377" s="30">
        <v>0</v>
      </c>
      <c r="BO377" s="30">
        <v>0</v>
      </c>
      <c r="BP377" s="30">
        <v>0</v>
      </c>
      <c r="BQ377" s="30">
        <v>0</v>
      </c>
      <c r="BR377" s="30">
        <v>0</v>
      </c>
      <c r="BS377" s="30">
        <v>0</v>
      </c>
      <c r="BT377" s="30">
        <v>0</v>
      </c>
      <c r="BU377" s="30">
        <v>0</v>
      </c>
      <c r="BV377" s="30">
        <v>0</v>
      </c>
      <c r="BW377" s="30">
        <v>0</v>
      </c>
      <c r="BX377" s="30">
        <v>0</v>
      </c>
      <c r="BY377" s="30">
        <v>0</v>
      </c>
      <c r="BZ377" s="30">
        <v>0</v>
      </c>
      <c r="CA377" s="30">
        <v>0</v>
      </c>
      <c r="CB377" s="30">
        <v>0</v>
      </c>
      <c r="CC377" s="30">
        <v>0</v>
      </c>
      <c r="CD377" s="30">
        <v>0</v>
      </c>
      <c r="CE377" s="30">
        <v>0</v>
      </c>
      <c r="CF377" s="4"/>
      <c r="CG377" s="4"/>
      <c r="CH377" s="4"/>
      <c r="CI377" s="4"/>
      <c r="CJ377" s="4"/>
      <c r="CK377" s="4"/>
      <c r="CL377" s="4"/>
      <c r="CM377" s="4"/>
      <c r="CN377" s="240">
        <f t="shared" si="931"/>
        <v>370</v>
      </c>
    </row>
    <row r="378" spans="1:99" ht="12.75" hidden="1" customHeight="1" outlineLevel="2">
      <c r="A378" s="143"/>
      <c r="B378" s="1" t="s">
        <v>143</v>
      </c>
      <c r="C378" s="31">
        <f>C277+C278-W277-W278-C33+C379</f>
        <v>3.604999999999924</v>
      </c>
      <c r="D378" s="31">
        <f t="shared" ref="D378:Q378" si="1030">D277-C277+D278-C278-D33+D379</f>
        <v>9.5090000000000288</v>
      </c>
      <c r="E378" s="31">
        <f t="shared" si="1030"/>
        <v>-6.4050000000000011</v>
      </c>
      <c r="F378" s="31">
        <f t="shared" si="1030"/>
        <v>4.8570000000000064</v>
      </c>
      <c r="G378" s="31">
        <f t="shared" si="1030"/>
        <v>7.5619999999999621</v>
      </c>
      <c r="H378" s="31">
        <f t="shared" si="1030"/>
        <v>-23.277999999999906</v>
      </c>
      <c r="I378" s="31">
        <f t="shared" si="1030"/>
        <v>-29.202999999999761</v>
      </c>
      <c r="J378" s="31">
        <f t="shared" si="1030"/>
        <v>-23.137999999999963</v>
      </c>
      <c r="K378" s="31">
        <f t="shared" si="1030"/>
        <v>-51.658999999999935</v>
      </c>
      <c r="L378" s="31">
        <f t="shared" si="1030"/>
        <v>0.77800000000008396</v>
      </c>
      <c r="M378" s="31">
        <f t="shared" si="1030"/>
        <v>14.677999999999951</v>
      </c>
      <c r="N378" s="31">
        <f t="shared" si="1030"/>
        <v>-11.164000000000058</v>
      </c>
      <c r="O378" s="31">
        <f t="shared" si="1030"/>
        <v>3.2880000000000109</v>
      </c>
      <c r="P378" s="31">
        <f t="shared" si="1030"/>
        <v>3.288000000000963</v>
      </c>
      <c r="Q378" s="31">
        <f t="shared" si="1030"/>
        <v>3.2880000000005083</v>
      </c>
      <c r="R378" s="31"/>
      <c r="S378" s="4"/>
      <c r="T378" s="4"/>
      <c r="U378" s="4"/>
      <c r="V378" s="4"/>
      <c r="W378" s="6"/>
      <c r="X378" s="31">
        <f t="shared" ref="X378:BC378" si="1031">X277-W277+X278-W278-X33+X379</f>
        <v>-4.6160000000000014</v>
      </c>
      <c r="Y378" s="31">
        <f t="shared" si="1031"/>
        <v>1.0179999999999758</v>
      </c>
      <c r="Z378" s="31">
        <f t="shared" si="1031"/>
        <v>0.46000000000002395</v>
      </c>
      <c r="AA378" s="31">
        <f t="shared" si="1031"/>
        <v>0.77399999999999203</v>
      </c>
      <c r="AB378" s="31">
        <f t="shared" si="1031"/>
        <v>0.58199999999998386</v>
      </c>
      <c r="AC378" s="31">
        <f t="shared" si="1031"/>
        <v>0.8800000000000141</v>
      </c>
      <c r="AD378" s="31">
        <f t="shared" si="1031"/>
        <v>0.88100000000000556</v>
      </c>
      <c r="AE378" s="31">
        <f t="shared" si="1031"/>
        <v>0.87299999999996736</v>
      </c>
      <c r="AF378" s="31">
        <f t="shared" si="1031"/>
        <v>-3.8819999999999828</v>
      </c>
      <c r="AG378" s="31">
        <f t="shared" si="1031"/>
        <v>0.82099999999998818</v>
      </c>
      <c r="AH378" s="31">
        <f t="shared" si="1031"/>
        <v>-7.1649999999999778</v>
      </c>
      <c r="AI378" s="31">
        <f t="shared" si="1031"/>
        <v>-2.5460000000000189</v>
      </c>
      <c r="AJ378" s="31">
        <f t="shared" si="1031"/>
        <v>-0.55964006000004929</v>
      </c>
      <c r="AK378" s="31">
        <f t="shared" si="1031"/>
        <v>1.9983599400000243</v>
      </c>
      <c r="AL378" s="31">
        <f t="shared" si="1031"/>
        <v>0.99120567999997711</v>
      </c>
      <c r="AM378" s="31">
        <f t="shared" si="1031"/>
        <v>1.2840744399999995</v>
      </c>
      <c r="AN378" s="31">
        <f t="shared" si="1031"/>
        <v>-0.11200000000002497</v>
      </c>
      <c r="AO378" s="31">
        <f t="shared" si="1031"/>
        <v>1.4249999999999963</v>
      </c>
      <c r="AP378" s="31">
        <f t="shared" si="1031"/>
        <v>1.3240000000000123</v>
      </c>
      <c r="AQ378" s="31">
        <f t="shared" si="1031"/>
        <v>1.1670000000000051</v>
      </c>
      <c r="AR378" s="31">
        <f t="shared" si="1031"/>
        <v>-12.682000000000059</v>
      </c>
      <c r="AS378" s="31">
        <f t="shared" si="1031"/>
        <v>1.6360000000000312</v>
      </c>
      <c r="AT378" s="31">
        <f t="shared" si="1031"/>
        <v>1.6870000000000118</v>
      </c>
      <c r="AU378" s="31">
        <f t="shared" si="1031"/>
        <v>-12.885000000000083</v>
      </c>
      <c r="AV378" s="31">
        <f t="shared" si="1031"/>
        <v>-26.983999999999963</v>
      </c>
      <c r="AW378" s="31">
        <f t="shared" si="1031"/>
        <v>3.6299999999999883</v>
      </c>
      <c r="AX378" s="31">
        <f t="shared" si="1031"/>
        <v>2.355759999999993</v>
      </c>
      <c r="AY378" s="31">
        <f t="shared" si="1031"/>
        <v>-3.4127599999998779</v>
      </c>
      <c r="AZ378" s="31">
        <f t="shared" si="1031"/>
        <v>0.37699999999998823</v>
      </c>
      <c r="BA378" s="31">
        <f t="shared" si="1031"/>
        <v>-13.514000000000067</v>
      </c>
      <c r="BB378" s="31">
        <f t="shared" si="1031"/>
        <v>-2.4299999999999926</v>
      </c>
      <c r="BC378" s="31">
        <f t="shared" si="1031"/>
        <v>1.8000000000000114</v>
      </c>
      <c r="BD378" s="31">
        <f t="shared" ref="BD378:CE378" si="1032">BD277-BC277+BD278-BC278-BD33+BD379</f>
        <v>-6.368999999999982</v>
      </c>
      <c r="BE378" s="31">
        <f t="shared" si="1032"/>
        <v>2.358000000000029</v>
      </c>
      <c r="BF378" s="31">
        <f t="shared" si="1032"/>
        <v>-2.0439999999999792</v>
      </c>
      <c r="BG378" s="31">
        <f t="shared" si="1032"/>
        <v>-30.131999999999945</v>
      </c>
      <c r="BH378" s="31">
        <f t="shared" si="1032"/>
        <v>-0.188999999999794</v>
      </c>
      <c r="BI378" s="31">
        <f t="shared" si="1032"/>
        <v>2.5359999999999943</v>
      </c>
      <c r="BJ378" s="31">
        <f t="shared" si="1032"/>
        <v>2.5869999999999891</v>
      </c>
      <c r="BK378" s="31">
        <f t="shared" si="1032"/>
        <v>2.2609999999999957</v>
      </c>
      <c r="BL378" s="31">
        <f t="shared" si="1032"/>
        <v>-0.75700000000001211</v>
      </c>
      <c r="BM378" s="31">
        <f t="shared" si="1032"/>
        <v>2.5809999999999746</v>
      </c>
      <c r="BN378" s="31">
        <f t="shared" si="1032"/>
        <v>2.7540000000000191</v>
      </c>
      <c r="BO378" s="31">
        <f t="shared" si="1032"/>
        <v>2.1799999999999962</v>
      </c>
      <c r="BP378" s="31">
        <f t="shared" si="1032"/>
        <v>-2.9870000000000654</v>
      </c>
      <c r="BQ378" s="31">
        <f t="shared" si="1032"/>
        <v>-3.4550000000000054</v>
      </c>
      <c r="BR378" s="31">
        <f t="shared" si="1032"/>
        <v>-11.261999999999954</v>
      </c>
      <c r="BS378" s="31">
        <f t="shared" si="1032"/>
        <v>2.0099999999999589</v>
      </c>
      <c r="BT378" s="31">
        <f t="shared" si="1032"/>
        <v>2.0709999999999305</v>
      </c>
      <c r="BU378" s="31">
        <f t="shared" si="1032"/>
        <v>2.0709999999998878</v>
      </c>
      <c r="BV378" s="31">
        <f t="shared" si="1032"/>
        <v>2.0709999999999802</v>
      </c>
      <c r="BW378" s="31">
        <f t="shared" si="1032"/>
        <v>2.0709999999999376</v>
      </c>
      <c r="BX378" s="31">
        <f t="shared" si="1032"/>
        <v>2.0710000000000939</v>
      </c>
      <c r="BY378" s="31">
        <f t="shared" si="1032"/>
        <v>2.0710000000000228</v>
      </c>
      <c r="BZ378" s="31">
        <f t="shared" si="1032"/>
        <v>2.0710000000000939</v>
      </c>
      <c r="CA378" s="31">
        <f t="shared" si="1032"/>
        <v>2.0710000000001365</v>
      </c>
      <c r="CB378" s="31">
        <f t="shared" si="1032"/>
        <v>2.0710000000001081</v>
      </c>
      <c r="CC378" s="31">
        <f t="shared" si="1032"/>
        <v>2.0710000000000228</v>
      </c>
      <c r="CD378" s="31">
        <f t="shared" si="1032"/>
        <v>2.0710000000000797</v>
      </c>
      <c r="CE378" s="31">
        <f t="shared" si="1032"/>
        <v>2.0710000000000939</v>
      </c>
      <c r="CF378" s="4"/>
      <c r="CG378" s="4"/>
      <c r="CH378" s="4"/>
      <c r="CI378" s="4"/>
      <c r="CJ378" s="4"/>
      <c r="CK378" s="4"/>
      <c r="CL378" s="4"/>
      <c r="CM378" s="4"/>
      <c r="CN378" s="240">
        <f t="shared" si="931"/>
        <v>371</v>
      </c>
    </row>
    <row r="379" spans="1:99" hidden="1" outlineLevel="2">
      <c r="A379" s="143"/>
      <c r="B379" s="1" t="s">
        <v>144</v>
      </c>
      <c r="C379" s="31">
        <f t="shared" ref="C379:N379" si="1033">-C247</f>
        <v>12.996</v>
      </c>
      <c r="D379" s="31">
        <f t="shared" si="1033"/>
        <v>19.472999999999999</v>
      </c>
      <c r="E379" s="31">
        <f t="shared" si="1033"/>
        <v>23.328000000000003</v>
      </c>
      <c r="F379" s="31">
        <f t="shared" si="1033"/>
        <v>21.556000000000001</v>
      </c>
      <c r="G379" s="31">
        <f t="shared" si="1033"/>
        <v>20.646999999999998</v>
      </c>
      <c r="H379" s="31">
        <f t="shared" si="1033"/>
        <v>47.326999999999998</v>
      </c>
      <c r="I379" s="31">
        <f t="shared" si="1033"/>
        <v>114.069</v>
      </c>
      <c r="J379" s="31">
        <f t="shared" si="1033"/>
        <v>87.789000000000001</v>
      </c>
      <c r="K379" s="31">
        <f t="shared" si="1033"/>
        <v>91.608000000000004</v>
      </c>
      <c r="L379" s="31">
        <f t="shared" si="1033"/>
        <v>33.598999999999997</v>
      </c>
      <c r="M379" s="31">
        <f t="shared" si="1033"/>
        <v>10.861000000000001</v>
      </c>
      <c r="N379" s="31">
        <f t="shared" si="1033"/>
        <v>43.319000000000003</v>
      </c>
      <c r="O379" s="31">
        <f>-O247</f>
        <v>103.94090496000001</v>
      </c>
      <c r="P379" s="31">
        <f>-P247</f>
        <v>121.26438912000002</v>
      </c>
      <c r="Q379" s="31">
        <f>-Q247</f>
        <v>121.26438912000002</v>
      </c>
      <c r="R379" s="31"/>
      <c r="S379" s="4"/>
      <c r="T379" s="4"/>
      <c r="U379" s="4"/>
      <c r="V379" s="4"/>
      <c r="W379" s="31">
        <f t="shared" ref="W379:BB379" si="1034">-W247</f>
        <v>1.6840000000000002</v>
      </c>
      <c r="X379" s="31">
        <f t="shared" si="1034"/>
        <v>3.17</v>
      </c>
      <c r="Y379" s="31">
        <f t="shared" si="1034"/>
        <v>3.2439999999999998</v>
      </c>
      <c r="Z379" s="31">
        <f t="shared" si="1034"/>
        <v>3.1880000000000006</v>
      </c>
      <c r="AA379" s="31">
        <f t="shared" si="1034"/>
        <v>3.3940000000000001</v>
      </c>
      <c r="AB379" s="31">
        <f t="shared" si="1034"/>
        <v>4.8860000000000001</v>
      </c>
      <c r="AC379" s="31">
        <f t="shared" si="1034"/>
        <v>4.8589999999999991</v>
      </c>
      <c r="AD379" s="31">
        <f t="shared" si="1034"/>
        <v>4.8630000000000013</v>
      </c>
      <c r="AE379" s="31">
        <f t="shared" si="1034"/>
        <v>4.8650000000000002</v>
      </c>
      <c r="AF379" s="31">
        <f t="shared" si="1034"/>
        <v>5.7939999999999996</v>
      </c>
      <c r="AG379" s="31">
        <f t="shared" si="1034"/>
        <v>5.8479999999999999</v>
      </c>
      <c r="AH379" s="31">
        <f t="shared" si="1034"/>
        <v>5.8560000000000016</v>
      </c>
      <c r="AI379" s="31">
        <f t="shared" si="1034"/>
        <v>5.83</v>
      </c>
      <c r="AJ379" s="31">
        <f t="shared" si="1034"/>
        <v>6.8393599400000005</v>
      </c>
      <c r="AK379" s="31">
        <f t="shared" si="1034"/>
        <v>6.8393599400000005</v>
      </c>
      <c r="AL379" s="31">
        <f t="shared" si="1034"/>
        <v>3.90820568</v>
      </c>
      <c r="AM379" s="31">
        <f t="shared" si="1034"/>
        <v>3.96907444</v>
      </c>
      <c r="AN379" s="31">
        <f t="shared" si="1034"/>
        <v>3.9359999999999999</v>
      </c>
      <c r="AO379" s="31">
        <f t="shared" si="1034"/>
        <v>3.931</v>
      </c>
      <c r="AP379" s="31">
        <f t="shared" si="1034"/>
        <v>5.8990000000000009</v>
      </c>
      <c r="AQ379" s="31">
        <f t="shared" si="1034"/>
        <v>6.8809999999999967</v>
      </c>
      <c r="AR379" s="31">
        <f t="shared" si="1034"/>
        <v>10.353999999999999</v>
      </c>
      <c r="AS379" s="31">
        <f t="shared" si="1034"/>
        <v>10.326000000000001</v>
      </c>
      <c r="AT379" s="31">
        <f t="shared" si="1034"/>
        <v>11.820999999999998</v>
      </c>
      <c r="AU379" s="31">
        <f t="shared" si="1034"/>
        <v>14.826000000000001</v>
      </c>
      <c r="AV379" s="31">
        <f t="shared" si="1034"/>
        <v>17.571000000000002</v>
      </c>
      <c r="AW379" s="31">
        <f t="shared" si="1034"/>
        <v>20.225999999999992</v>
      </c>
      <c r="AX379" s="31">
        <f t="shared" si="1034"/>
        <v>17.577760000000001</v>
      </c>
      <c r="AY379" s="31">
        <f t="shared" si="1034"/>
        <v>58.694240000000008</v>
      </c>
      <c r="AZ379" s="31">
        <f t="shared" si="1034"/>
        <v>22.015000000000001</v>
      </c>
      <c r="BA379" s="31">
        <f t="shared" si="1034"/>
        <v>22.015000000000001</v>
      </c>
      <c r="BB379" s="31">
        <f t="shared" si="1034"/>
        <v>21.893000000000001</v>
      </c>
      <c r="BC379" s="31">
        <f t="shared" ref="BC379:BH379" si="1035">-BC247</f>
        <v>21.866</v>
      </c>
      <c r="BD379" s="31">
        <f t="shared" si="1035"/>
        <v>22.986000000000001</v>
      </c>
      <c r="BE379" s="31">
        <f t="shared" si="1035"/>
        <v>22.897000000000002</v>
      </c>
      <c r="BF379" s="31">
        <f t="shared" si="1035"/>
        <v>22.938999999999997</v>
      </c>
      <c r="BG379" s="31">
        <f t="shared" si="1035"/>
        <v>22.786000000000005</v>
      </c>
      <c r="BH379" s="31">
        <f t="shared" si="1035"/>
        <v>22.762</v>
      </c>
      <c r="BI379" s="31">
        <f t="shared" ref="BI379:BN379" si="1036">-BI247</f>
        <v>10.836999999999996</v>
      </c>
      <c r="BJ379" s="31">
        <f t="shared" si="1036"/>
        <v>0</v>
      </c>
      <c r="BK379" s="31">
        <f t="shared" si="1036"/>
        <v>0</v>
      </c>
      <c r="BL379" s="31">
        <f t="shared" si="1036"/>
        <v>0</v>
      </c>
      <c r="BM379" s="31">
        <f t="shared" si="1036"/>
        <v>0</v>
      </c>
      <c r="BN379" s="31">
        <f t="shared" si="1036"/>
        <v>0</v>
      </c>
      <c r="BO379" s="31">
        <f t="shared" ref="BO379:BW379" si="1037">-BO247</f>
        <v>10.861000000000001</v>
      </c>
      <c r="BP379" s="31">
        <f t="shared" si="1037"/>
        <v>0</v>
      </c>
      <c r="BQ379" s="31">
        <f t="shared" si="1037"/>
        <v>0</v>
      </c>
      <c r="BR379" s="31">
        <f t="shared" si="1037"/>
        <v>13.026</v>
      </c>
      <c r="BS379" s="31">
        <f>-BS247</f>
        <v>30.293000000000003</v>
      </c>
      <c r="BT379" s="31">
        <f t="shared" si="1037"/>
        <v>21.654355200000001</v>
      </c>
      <c r="BU379" s="31">
        <f t="shared" si="1037"/>
        <v>21.654355200000001</v>
      </c>
      <c r="BV379" s="31">
        <f t="shared" si="1037"/>
        <v>30.316097280000005</v>
      </c>
      <c r="BW379" s="31">
        <f t="shared" si="1037"/>
        <v>30.316097280000005</v>
      </c>
      <c r="BX379" s="31">
        <f t="shared" ref="BX379:CE379" si="1038">-BX247</f>
        <v>30.316097280000005</v>
      </c>
      <c r="BY379" s="31">
        <f t="shared" si="1038"/>
        <v>30.316097280000005</v>
      </c>
      <c r="BZ379" s="31">
        <f t="shared" si="1038"/>
        <v>30.316097280000005</v>
      </c>
      <c r="CA379" s="31">
        <f t="shared" si="1038"/>
        <v>30.316097280000005</v>
      </c>
      <c r="CB379" s="31">
        <f t="shared" si="1038"/>
        <v>30.316097280000005</v>
      </c>
      <c r="CC379" s="31">
        <f t="shared" si="1038"/>
        <v>30.316097280000005</v>
      </c>
      <c r="CD379" s="31">
        <f t="shared" si="1038"/>
        <v>30.316097280000005</v>
      </c>
      <c r="CE379" s="31">
        <f t="shared" si="1038"/>
        <v>30.316097280000005</v>
      </c>
      <c r="CF379" s="4"/>
      <c r="CG379" s="4"/>
      <c r="CH379" s="4"/>
      <c r="CI379" s="4"/>
      <c r="CJ379" s="4"/>
      <c r="CK379" s="4"/>
      <c r="CL379" s="4"/>
      <c r="CM379" s="4"/>
      <c r="CN379" s="240">
        <f t="shared" si="931"/>
        <v>372</v>
      </c>
    </row>
    <row r="380" spans="1:99" s="179" customFormat="1" ht="12.75" hidden="1" customHeight="1" outlineLevel="2">
      <c r="A380" s="177"/>
      <c r="B380" s="178" t="s">
        <v>102</v>
      </c>
      <c r="C380" s="6">
        <f>AVERAGE(X380:AA380)</f>
        <v>0.375</v>
      </c>
      <c r="D380" s="6">
        <f>AVERAGE(AB380:AE380)</f>
        <v>0.375</v>
      </c>
      <c r="E380" s="6">
        <f>AVERAGE(AF380:AI380)</f>
        <v>0.375</v>
      </c>
      <c r="F380" s="6">
        <f>AVERAGE(AJ380:AM380)</f>
        <v>0.375</v>
      </c>
      <c r="G380" s="6">
        <f>AVERAGE(AN380:AQ380)</f>
        <v>0.375</v>
      </c>
      <c r="H380" s="6">
        <f>AVERAGE(AR380:AU380)</f>
        <v>0.375</v>
      </c>
      <c r="I380" s="6">
        <f>AVERAGE(AV380:AY380)</f>
        <v>0.375</v>
      </c>
      <c r="J380" s="57">
        <f t="shared" ref="J380:Q380" si="1039">AVERAGEIF($T$5:$CF$5,J$5,$T380:$CF380)</f>
        <v>0.375</v>
      </c>
      <c r="K380" s="57">
        <f t="shared" si="1039"/>
        <v>0.375</v>
      </c>
      <c r="L380" s="57">
        <f t="shared" si="1039"/>
        <v>0.375</v>
      </c>
      <c r="M380" s="57">
        <f t="shared" si="1039"/>
        <v>0.375</v>
      </c>
      <c r="N380" s="57">
        <f t="shared" si="1039"/>
        <v>0.375</v>
      </c>
      <c r="O380" s="57">
        <f t="shared" si="1039"/>
        <v>0.24</v>
      </c>
      <c r="P380" s="57">
        <f t="shared" si="1039"/>
        <v>0.24</v>
      </c>
      <c r="Q380" s="57">
        <f t="shared" si="1039"/>
        <v>0.24</v>
      </c>
      <c r="R380" s="6"/>
      <c r="S380" s="6"/>
      <c r="T380" s="6"/>
      <c r="U380" s="6"/>
      <c r="V380" s="6"/>
      <c r="W380" s="6">
        <v>0.375</v>
      </c>
      <c r="X380" s="6">
        <v>0.375</v>
      </c>
      <c r="Y380" s="6">
        <v>0.375</v>
      </c>
      <c r="Z380" s="6">
        <v>0.375</v>
      </c>
      <c r="AA380" s="6">
        <v>0.375</v>
      </c>
      <c r="AB380" s="6">
        <v>0.375</v>
      </c>
      <c r="AC380" s="6">
        <v>0.375</v>
      </c>
      <c r="AD380" s="6">
        <v>0.375</v>
      </c>
      <c r="AE380" s="6">
        <v>0.375</v>
      </c>
      <c r="AF380" s="6">
        <v>0.375</v>
      </c>
      <c r="AG380" s="6">
        <v>0.375</v>
      </c>
      <c r="AH380" s="6">
        <v>0.375</v>
      </c>
      <c r="AI380" s="6">
        <v>0.375</v>
      </c>
      <c r="AJ380" s="6">
        <v>0.375</v>
      </c>
      <c r="AK380" s="6">
        <v>0.375</v>
      </c>
      <c r="AL380" s="6">
        <v>0.375</v>
      </c>
      <c r="AM380" s="6">
        <v>0.375</v>
      </c>
      <c r="AN380" s="6">
        <v>0.375</v>
      </c>
      <c r="AO380" s="6">
        <v>0.375</v>
      </c>
      <c r="AP380" s="6">
        <v>0.375</v>
      </c>
      <c r="AQ380" s="6">
        <v>0.375</v>
      </c>
      <c r="AR380" s="6">
        <v>0.375</v>
      </c>
      <c r="AS380" s="6">
        <v>0.375</v>
      </c>
      <c r="AT380" s="6">
        <v>0.375</v>
      </c>
      <c r="AU380" s="6">
        <v>0.375</v>
      </c>
      <c r="AV380" s="6">
        <v>0.375</v>
      </c>
      <c r="AW380" s="6">
        <v>0.375</v>
      </c>
      <c r="AX380" s="6">
        <v>0.375</v>
      </c>
      <c r="AY380" s="6">
        <v>0.375</v>
      </c>
      <c r="AZ380" s="6">
        <v>0.375</v>
      </c>
      <c r="BA380" s="6">
        <v>0.375</v>
      </c>
      <c r="BB380" s="6">
        <v>0.375</v>
      </c>
      <c r="BC380" s="6">
        <v>0.375</v>
      </c>
      <c r="BD380" s="63">
        <v>0.375</v>
      </c>
      <c r="BE380" s="63">
        <v>0.375</v>
      </c>
      <c r="BF380" s="63">
        <v>0.375</v>
      </c>
      <c r="BG380" s="63">
        <v>0.375</v>
      </c>
      <c r="BH380" s="63">
        <v>0.375</v>
      </c>
      <c r="BI380" s="63">
        <v>0.375</v>
      </c>
      <c r="BJ380" s="63">
        <v>0.375</v>
      </c>
      <c r="BK380" s="63">
        <v>0.375</v>
      </c>
      <c r="BL380" s="63">
        <v>0.375</v>
      </c>
      <c r="BM380" s="63">
        <v>0.375</v>
      </c>
      <c r="BN380" s="63">
        <v>0.375</v>
      </c>
      <c r="BO380" s="63">
        <v>0.375</v>
      </c>
      <c r="BP380" s="63">
        <v>0.375</v>
      </c>
      <c r="BQ380" s="63">
        <v>0.375</v>
      </c>
      <c r="BR380" s="63">
        <v>0.375</v>
      </c>
      <c r="BS380" s="63">
        <v>0.375</v>
      </c>
      <c r="BT380" s="218">
        <v>0.24</v>
      </c>
      <c r="BU380" s="218">
        <v>0.24</v>
      </c>
      <c r="BV380" s="218">
        <v>0.24</v>
      </c>
      <c r="BW380" s="218">
        <v>0.24</v>
      </c>
      <c r="BX380" s="218">
        <v>0.24</v>
      </c>
      <c r="BY380" s="218">
        <v>0.24</v>
      </c>
      <c r="BZ380" s="218">
        <v>0.24</v>
      </c>
      <c r="CA380" s="218">
        <v>0.24</v>
      </c>
      <c r="CB380" s="218">
        <v>0.24</v>
      </c>
      <c r="CC380" s="218">
        <v>0.24</v>
      </c>
      <c r="CD380" s="218">
        <v>0.24</v>
      </c>
      <c r="CE380" s="218">
        <v>0.24</v>
      </c>
      <c r="CF380" s="6"/>
      <c r="CG380" s="6"/>
      <c r="CH380" s="6"/>
      <c r="CI380" s="6"/>
      <c r="CJ380" s="6"/>
      <c r="CK380" s="6"/>
      <c r="CL380" s="6"/>
      <c r="CM380" s="6"/>
      <c r="CN380" s="240">
        <f t="shared" si="931"/>
        <v>373</v>
      </c>
      <c r="CO380"/>
      <c r="CP380"/>
      <c r="CQ380"/>
      <c r="CR380"/>
      <c r="CS380"/>
      <c r="CT380"/>
      <c r="CU380" s="219"/>
    </row>
    <row r="381" spans="1:99" outlineLevel="1" collapsed="1">
      <c r="A381" s="143" t="s">
        <v>33</v>
      </c>
      <c r="B381" s="1"/>
      <c r="C381" s="24"/>
      <c r="D381" s="24"/>
      <c r="E381" s="24"/>
      <c r="F381" s="24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4"/>
      <c r="T381" s="4"/>
      <c r="U381" s="4"/>
      <c r="V381" s="4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5"/>
      <c r="BH381" s="25"/>
      <c r="BI381" s="25"/>
      <c r="BJ381" s="25"/>
      <c r="BK381" s="25"/>
      <c r="BL381" s="25"/>
      <c r="BM381" s="25"/>
      <c r="BN381" s="25"/>
      <c r="BO381" s="25"/>
      <c r="BP381" s="25"/>
      <c r="BQ381" s="25"/>
      <c r="BR381" s="25"/>
      <c r="BS381" s="25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240">
        <f t="shared" si="931"/>
        <v>374</v>
      </c>
    </row>
    <row r="382" spans="1:9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U382"/>
    </row>
  </sheetData>
  <phoneticPr fontId="4" type="noConversion"/>
  <conditionalFormatting sqref="D252:CE252">
    <cfRule type="cellIs" dxfId="3" priority="4" stopIfTrue="1" operator="notBetween">
      <formula>-0.01</formula>
      <formula>0.01</formula>
    </cfRule>
  </conditionalFormatting>
  <conditionalFormatting sqref="H2:CE2">
    <cfRule type="cellIs" dxfId="2" priority="3" stopIfTrue="1" operator="equal">
      <formula>0</formula>
    </cfRule>
  </conditionalFormatting>
  <conditionalFormatting sqref="R282:CE282">
    <cfRule type="cellIs" dxfId="1" priority="2" stopIfTrue="1" operator="equal">
      <formula>0</formula>
    </cfRule>
  </conditionalFormatting>
  <conditionalFormatting sqref="C282:Q282">
    <cfRule type="cellIs" dxfId="0" priority="1" stopIfTrue="1" operator="equal">
      <formula>0</formula>
    </cfRule>
  </conditionalFormatting>
  <pageMargins left="0" right="0" top="0" bottom="0" header="0" footer="0"/>
  <pageSetup paperSize="5" orientation="landscape" r:id="rId1"/>
  <headerFooter alignWithMargins="0"/>
  <ignoredErrors>
    <ignoredError sqref="A38:B38 R38:BJ38 CF38:CG38 D380:I380 A343:O343 BK303:BK307 CF303:CG303 A303:O307 A301:O302 BL303:BL307 CU303:IU307 CF304:CG304 CF307:CG307 CF306:CG306 CF301:CG302 CF343:CG343 CF305:CG305 BT305:BW305 BT343:BW343 BT301:BW302 BT307:BW307 BT303:BW303 BU38 R343:BL343 R303:BJ307 R301:BL302 BW38 CH38:CM38 CH303:CM303 CH304:CM304 CH307:CM307 CH306:CM306 CH301:CM302 CH343:CM343 CH305:CM305 CU301:IU302 CU343:IU343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236" bestFit="1" customWidth="1"/>
    <col min="2" max="2" width="19.85546875" style="263" customWidth="1"/>
    <col min="3" max="3" width="12" style="236" bestFit="1" customWidth="1"/>
    <col min="4" max="256" width="9.140625" style="236"/>
    <col min="257" max="257" width="29.5703125" style="236" bestFit="1" customWidth="1"/>
    <col min="258" max="258" width="19.85546875" style="236" customWidth="1"/>
    <col min="259" max="259" width="12" style="236" bestFit="1" customWidth="1"/>
    <col min="260" max="512" width="9.140625" style="236"/>
    <col min="513" max="513" width="29.5703125" style="236" bestFit="1" customWidth="1"/>
    <col min="514" max="514" width="19.85546875" style="236" customWidth="1"/>
    <col min="515" max="515" width="12" style="236" bestFit="1" customWidth="1"/>
    <col min="516" max="768" width="9.140625" style="236"/>
    <col min="769" max="769" width="29.5703125" style="236" bestFit="1" customWidth="1"/>
    <col min="770" max="770" width="19.85546875" style="236" customWidth="1"/>
    <col min="771" max="771" width="12" style="236" bestFit="1" customWidth="1"/>
    <col min="772" max="1024" width="9.140625" style="236"/>
    <col min="1025" max="1025" width="29.5703125" style="236" bestFit="1" customWidth="1"/>
    <col min="1026" max="1026" width="19.85546875" style="236" customWidth="1"/>
    <col min="1027" max="1027" width="12" style="236" bestFit="1" customWidth="1"/>
    <col min="1028" max="1280" width="9.140625" style="236"/>
    <col min="1281" max="1281" width="29.5703125" style="236" bestFit="1" customWidth="1"/>
    <col min="1282" max="1282" width="19.85546875" style="236" customWidth="1"/>
    <col min="1283" max="1283" width="12" style="236" bestFit="1" customWidth="1"/>
    <col min="1284" max="1536" width="9.140625" style="236"/>
    <col min="1537" max="1537" width="29.5703125" style="236" bestFit="1" customWidth="1"/>
    <col min="1538" max="1538" width="19.85546875" style="236" customWidth="1"/>
    <col min="1539" max="1539" width="12" style="236" bestFit="1" customWidth="1"/>
    <col min="1540" max="1792" width="9.140625" style="236"/>
    <col min="1793" max="1793" width="29.5703125" style="236" bestFit="1" customWidth="1"/>
    <col min="1794" max="1794" width="19.85546875" style="236" customWidth="1"/>
    <col min="1795" max="1795" width="12" style="236" bestFit="1" customWidth="1"/>
    <col min="1796" max="2048" width="9.140625" style="236"/>
    <col min="2049" max="2049" width="29.5703125" style="236" bestFit="1" customWidth="1"/>
    <col min="2050" max="2050" width="19.85546875" style="236" customWidth="1"/>
    <col min="2051" max="2051" width="12" style="236" bestFit="1" customWidth="1"/>
    <col min="2052" max="2304" width="9.140625" style="236"/>
    <col min="2305" max="2305" width="29.5703125" style="236" bestFit="1" customWidth="1"/>
    <col min="2306" max="2306" width="19.85546875" style="236" customWidth="1"/>
    <col min="2307" max="2307" width="12" style="236" bestFit="1" customWidth="1"/>
    <col min="2308" max="2560" width="9.140625" style="236"/>
    <col min="2561" max="2561" width="29.5703125" style="236" bestFit="1" customWidth="1"/>
    <col min="2562" max="2562" width="19.85546875" style="236" customWidth="1"/>
    <col min="2563" max="2563" width="12" style="236" bestFit="1" customWidth="1"/>
    <col min="2564" max="2816" width="9.140625" style="236"/>
    <col min="2817" max="2817" width="29.5703125" style="236" bestFit="1" customWidth="1"/>
    <col min="2818" max="2818" width="19.85546875" style="236" customWidth="1"/>
    <col min="2819" max="2819" width="12" style="236" bestFit="1" customWidth="1"/>
    <col min="2820" max="3072" width="9.140625" style="236"/>
    <col min="3073" max="3073" width="29.5703125" style="236" bestFit="1" customWidth="1"/>
    <col min="3074" max="3074" width="19.85546875" style="236" customWidth="1"/>
    <col min="3075" max="3075" width="12" style="236" bestFit="1" customWidth="1"/>
    <col min="3076" max="3328" width="9.140625" style="236"/>
    <col min="3329" max="3329" width="29.5703125" style="236" bestFit="1" customWidth="1"/>
    <col min="3330" max="3330" width="19.85546875" style="236" customWidth="1"/>
    <col min="3331" max="3331" width="12" style="236" bestFit="1" customWidth="1"/>
    <col min="3332" max="3584" width="9.140625" style="236"/>
    <col min="3585" max="3585" width="29.5703125" style="236" bestFit="1" customWidth="1"/>
    <col min="3586" max="3586" width="19.85546875" style="236" customWidth="1"/>
    <col min="3587" max="3587" width="12" style="236" bestFit="1" customWidth="1"/>
    <col min="3588" max="3840" width="9.140625" style="236"/>
    <col min="3841" max="3841" width="29.5703125" style="236" bestFit="1" customWidth="1"/>
    <col min="3842" max="3842" width="19.85546875" style="236" customWidth="1"/>
    <col min="3843" max="3843" width="12" style="236" bestFit="1" customWidth="1"/>
    <col min="3844" max="4096" width="9.140625" style="236"/>
    <col min="4097" max="4097" width="29.5703125" style="236" bestFit="1" customWidth="1"/>
    <col min="4098" max="4098" width="19.85546875" style="236" customWidth="1"/>
    <col min="4099" max="4099" width="12" style="236" bestFit="1" customWidth="1"/>
    <col min="4100" max="4352" width="9.140625" style="236"/>
    <col min="4353" max="4353" width="29.5703125" style="236" bestFit="1" customWidth="1"/>
    <col min="4354" max="4354" width="19.85546875" style="236" customWidth="1"/>
    <col min="4355" max="4355" width="12" style="236" bestFit="1" customWidth="1"/>
    <col min="4356" max="4608" width="9.140625" style="236"/>
    <col min="4609" max="4609" width="29.5703125" style="236" bestFit="1" customWidth="1"/>
    <col min="4610" max="4610" width="19.85546875" style="236" customWidth="1"/>
    <col min="4611" max="4611" width="12" style="236" bestFit="1" customWidth="1"/>
    <col min="4612" max="4864" width="9.140625" style="236"/>
    <col min="4865" max="4865" width="29.5703125" style="236" bestFit="1" customWidth="1"/>
    <col min="4866" max="4866" width="19.85546875" style="236" customWidth="1"/>
    <col min="4867" max="4867" width="12" style="236" bestFit="1" customWidth="1"/>
    <col min="4868" max="5120" width="9.140625" style="236"/>
    <col min="5121" max="5121" width="29.5703125" style="236" bestFit="1" customWidth="1"/>
    <col min="5122" max="5122" width="19.85546875" style="236" customWidth="1"/>
    <col min="5123" max="5123" width="12" style="236" bestFit="1" customWidth="1"/>
    <col min="5124" max="5376" width="9.140625" style="236"/>
    <col min="5377" max="5377" width="29.5703125" style="236" bestFit="1" customWidth="1"/>
    <col min="5378" max="5378" width="19.85546875" style="236" customWidth="1"/>
    <col min="5379" max="5379" width="12" style="236" bestFit="1" customWidth="1"/>
    <col min="5380" max="5632" width="9.140625" style="236"/>
    <col min="5633" max="5633" width="29.5703125" style="236" bestFit="1" customWidth="1"/>
    <col min="5634" max="5634" width="19.85546875" style="236" customWidth="1"/>
    <col min="5635" max="5635" width="12" style="236" bestFit="1" customWidth="1"/>
    <col min="5636" max="5888" width="9.140625" style="236"/>
    <col min="5889" max="5889" width="29.5703125" style="236" bestFit="1" customWidth="1"/>
    <col min="5890" max="5890" width="19.85546875" style="236" customWidth="1"/>
    <col min="5891" max="5891" width="12" style="236" bestFit="1" customWidth="1"/>
    <col min="5892" max="6144" width="9.140625" style="236"/>
    <col min="6145" max="6145" width="29.5703125" style="236" bestFit="1" customWidth="1"/>
    <col min="6146" max="6146" width="19.85546875" style="236" customWidth="1"/>
    <col min="6147" max="6147" width="12" style="236" bestFit="1" customWidth="1"/>
    <col min="6148" max="6400" width="9.140625" style="236"/>
    <col min="6401" max="6401" width="29.5703125" style="236" bestFit="1" customWidth="1"/>
    <col min="6402" max="6402" width="19.85546875" style="236" customWidth="1"/>
    <col min="6403" max="6403" width="12" style="236" bestFit="1" customWidth="1"/>
    <col min="6404" max="6656" width="9.140625" style="236"/>
    <col min="6657" max="6657" width="29.5703125" style="236" bestFit="1" customWidth="1"/>
    <col min="6658" max="6658" width="19.85546875" style="236" customWidth="1"/>
    <col min="6659" max="6659" width="12" style="236" bestFit="1" customWidth="1"/>
    <col min="6660" max="6912" width="9.140625" style="236"/>
    <col min="6913" max="6913" width="29.5703125" style="236" bestFit="1" customWidth="1"/>
    <col min="6914" max="6914" width="19.85546875" style="236" customWidth="1"/>
    <col min="6915" max="6915" width="12" style="236" bestFit="1" customWidth="1"/>
    <col min="6916" max="7168" width="9.140625" style="236"/>
    <col min="7169" max="7169" width="29.5703125" style="236" bestFit="1" customWidth="1"/>
    <col min="7170" max="7170" width="19.85546875" style="236" customWidth="1"/>
    <col min="7171" max="7171" width="12" style="236" bestFit="1" customWidth="1"/>
    <col min="7172" max="7424" width="9.140625" style="236"/>
    <col min="7425" max="7425" width="29.5703125" style="236" bestFit="1" customWidth="1"/>
    <col min="7426" max="7426" width="19.85546875" style="236" customWidth="1"/>
    <col min="7427" max="7427" width="12" style="236" bestFit="1" customWidth="1"/>
    <col min="7428" max="7680" width="9.140625" style="236"/>
    <col min="7681" max="7681" width="29.5703125" style="236" bestFit="1" customWidth="1"/>
    <col min="7682" max="7682" width="19.85546875" style="236" customWidth="1"/>
    <col min="7683" max="7683" width="12" style="236" bestFit="1" customWidth="1"/>
    <col min="7684" max="7936" width="9.140625" style="236"/>
    <col min="7937" max="7937" width="29.5703125" style="236" bestFit="1" customWidth="1"/>
    <col min="7938" max="7938" width="19.85546875" style="236" customWidth="1"/>
    <col min="7939" max="7939" width="12" style="236" bestFit="1" customWidth="1"/>
    <col min="7940" max="8192" width="9.140625" style="236"/>
    <col min="8193" max="8193" width="29.5703125" style="236" bestFit="1" customWidth="1"/>
    <col min="8194" max="8194" width="19.85546875" style="236" customWidth="1"/>
    <col min="8195" max="8195" width="12" style="236" bestFit="1" customWidth="1"/>
    <col min="8196" max="8448" width="9.140625" style="236"/>
    <col min="8449" max="8449" width="29.5703125" style="236" bestFit="1" customWidth="1"/>
    <col min="8450" max="8450" width="19.85546875" style="236" customWidth="1"/>
    <col min="8451" max="8451" width="12" style="236" bestFit="1" customWidth="1"/>
    <col min="8452" max="8704" width="9.140625" style="236"/>
    <col min="8705" max="8705" width="29.5703125" style="236" bestFit="1" customWidth="1"/>
    <col min="8706" max="8706" width="19.85546875" style="236" customWidth="1"/>
    <col min="8707" max="8707" width="12" style="236" bestFit="1" customWidth="1"/>
    <col min="8708" max="8960" width="9.140625" style="236"/>
    <col min="8961" max="8961" width="29.5703125" style="236" bestFit="1" customWidth="1"/>
    <col min="8962" max="8962" width="19.85546875" style="236" customWidth="1"/>
    <col min="8963" max="8963" width="12" style="236" bestFit="1" customWidth="1"/>
    <col min="8964" max="9216" width="9.140625" style="236"/>
    <col min="9217" max="9217" width="29.5703125" style="236" bestFit="1" customWidth="1"/>
    <col min="9218" max="9218" width="19.85546875" style="236" customWidth="1"/>
    <col min="9219" max="9219" width="12" style="236" bestFit="1" customWidth="1"/>
    <col min="9220" max="9472" width="9.140625" style="236"/>
    <col min="9473" max="9473" width="29.5703125" style="236" bestFit="1" customWidth="1"/>
    <col min="9474" max="9474" width="19.85546875" style="236" customWidth="1"/>
    <col min="9475" max="9475" width="12" style="236" bestFit="1" customWidth="1"/>
    <col min="9476" max="9728" width="9.140625" style="236"/>
    <col min="9729" max="9729" width="29.5703125" style="236" bestFit="1" customWidth="1"/>
    <col min="9730" max="9730" width="19.85546875" style="236" customWidth="1"/>
    <col min="9731" max="9731" width="12" style="236" bestFit="1" customWidth="1"/>
    <col min="9732" max="9984" width="9.140625" style="236"/>
    <col min="9985" max="9985" width="29.5703125" style="236" bestFit="1" customWidth="1"/>
    <col min="9986" max="9986" width="19.85546875" style="236" customWidth="1"/>
    <col min="9987" max="9987" width="12" style="236" bestFit="1" customWidth="1"/>
    <col min="9988" max="10240" width="9.140625" style="236"/>
    <col min="10241" max="10241" width="29.5703125" style="236" bestFit="1" customWidth="1"/>
    <col min="10242" max="10242" width="19.85546875" style="236" customWidth="1"/>
    <col min="10243" max="10243" width="12" style="236" bestFit="1" customWidth="1"/>
    <col min="10244" max="10496" width="9.140625" style="236"/>
    <col min="10497" max="10497" width="29.5703125" style="236" bestFit="1" customWidth="1"/>
    <col min="10498" max="10498" width="19.85546875" style="236" customWidth="1"/>
    <col min="10499" max="10499" width="12" style="236" bestFit="1" customWidth="1"/>
    <col min="10500" max="10752" width="9.140625" style="236"/>
    <col min="10753" max="10753" width="29.5703125" style="236" bestFit="1" customWidth="1"/>
    <col min="10754" max="10754" width="19.85546875" style="236" customWidth="1"/>
    <col min="10755" max="10755" width="12" style="236" bestFit="1" customWidth="1"/>
    <col min="10756" max="11008" width="9.140625" style="236"/>
    <col min="11009" max="11009" width="29.5703125" style="236" bestFit="1" customWidth="1"/>
    <col min="11010" max="11010" width="19.85546875" style="236" customWidth="1"/>
    <col min="11011" max="11011" width="12" style="236" bestFit="1" customWidth="1"/>
    <col min="11012" max="11264" width="9.140625" style="236"/>
    <col min="11265" max="11265" width="29.5703125" style="236" bestFit="1" customWidth="1"/>
    <col min="11266" max="11266" width="19.85546875" style="236" customWidth="1"/>
    <col min="11267" max="11267" width="12" style="236" bestFit="1" customWidth="1"/>
    <col min="11268" max="11520" width="9.140625" style="236"/>
    <col min="11521" max="11521" width="29.5703125" style="236" bestFit="1" customWidth="1"/>
    <col min="11522" max="11522" width="19.85546875" style="236" customWidth="1"/>
    <col min="11523" max="11523" width="12" style="236" bestFit="1" customWidth="1"/>
    <col min="11524" max="11776" width="9.140625" style="236"/>
    <col min="11777" max="11777" width="29.5703125" style="236" bestFit="1" customWidth="1"/>
    <col min="11778" max="11778" width="19.85546875" style="236" customWidth="1"/>
    <col min="11779" max="11779" width="12" style="236" bestFit="1" customWidth="1"/>
    <col min="11780" max="12032" width="9.140625" style="236"/>
    <col min="12033" max="12033" width="29.5703125" style="236" bestFit="1" customWidth="1"/>
    <col min="12034" max="12034" width="19.85546875" style="236" customWidth="1"/>
    <col min="12035" max="12035" width="12" style="236" bestFit="1" customWidth="1"/>
    <col min="12036" max="12288" width="9.140625" style="236"/>
    <col min="12289" max="12289" width="29.5703125" style="236" bestFit="1" customWidth="1"/>
    <col min="12290" max="12290" width="19.85546875" style="236" customWidth="1"/>
    <col min="12291" max="12291" width="12" style="236" bestFit="1" customWidth="1"/>
    <col min="12292" max="12544" width="9.140625" style="236"/>
    <col min="12545" max="12545" width="29.5703125" style="236" bestFit="1" customWidth="1"/>
    <col min="12546" max="12546" width="19.85546875" style="236" customWidth="1"/>
    <col min="12547" max="12547" width="12" style="236" bestFit="1" customWidth="1"/>
    <col min="12548" max="12800" width="9.140625" style="236"/>
    <col min="12801" max="12801" width="29.5703125" style="236" bestFit="1" customWidth="1"/>
    <col min="12802" max="12802" width="19.85546875" style="236" customWidth="1"/>
    <col min="12803" max="12803" width="12" style="236" bestFit="1" customWidth="1"/>
    <col min="12804" max="13056" width="9.140625" style="236"/>
    <col min="13057" max="13057" width="29.5703125" style="236" bestFit="1" customWidth="1"/>
    <col min="13058" max="13058" width="19.85546875" style="236" customWidth="1"/>
    <col min="13059" max="13059" width="12" style="236" bestFit="1" customWidth="1"/>
    <col min="13060" max="13312" width="9.140625" style="236"/>
    <col min="13313" max="13313" width="29.5703125" style="236" bestFit="1" customWidth="1"/>
    <col min="13314" max="13314" width="19.85546875" style="236" customWidth="1"/>
    <col min="13315" max="13315" width="12" style="236" bestFit="1" customWidth="1"/>
    <col min="13316" max="13568" width="9.140625" style="236"/>
    <col min="13569" max="13569" width="29.5703125" style="236" bestFit="1" customWidth="1"/>
    <col min="13570" max="13570" width="19.85546875" style="236" customWidth="1"/>
    <col min="13571" max="13571" width="12" style="236" bestFit="1" customWidth="1"/>
    <col min="13572" max="13824" width="9.140625" style="236"/>
    <col min="13825" max="13825" width="29.5703125" style="236" bestFit="1" customWidth="1"/>
    <col min="13826" max="13826" width="19.85546875" style="236" customWidth="1"/>
    <col min="13827" max="13827" width="12" style="236" bestFit="1" customWidth="1"/>
    <col min="13828" max="14080" width="9.140625" style="236"/>
    <col min="14081" max="14081" width="29.5703125" style="236" bestFit="1" customWidth="1"/>
    <col min="14082" max="14082" width="19.85546875" style="236" customWidth="1"/>
    <col min="14083" max="14083" width="12" style="236" bestFit="1" customWidth="1"/>
    <col min="14084" max="14336" width="9.140625" style="236"/>
    <col min="14337" max="14337" width="29.5703125" style="236" bestFit="1" customWidth="1"/>
    <col min="14338" max="14338" width="19.85546875" style="236" customWidth="1"/>
    <col min="14339" max="14339" width="12" style="236" bestFit="1" customWidth="1"/>
    <col min="14340" max="14592" width="9.140625" style="236"/>
    <col min="14593" max="14593" width="29.5703125" style="236" bestFit="1" customWidth="1"/>
    <col min="14594" max="14594" width="19.85546875" style="236" customWidth="1"/>
    <col min="14595" max="14595" width="12" style="236" bestFit="1" customWidth="1"/>
    <col min="14596" max="14848" width="9.140625" style="236"/>
    <col min="14849" max="14849" width="29.5703125" style="236" bestFit="1" customWidth="1"/>
    <col min="14850" max="14850" width="19.85546875" style="236" customWidth="1"/>
    <col min="14851" max="14851" width="12" style="236" bestFit="1" customWidth="1"/>
    <col min="14852" max="15104" width="9.140625" style="236"/>
    <col min="15105" max="15105" width="29.5703125" style="236" bestFit="1" customWidth="1"/>
    <col min="15106" max="15106" width="19.85546875" style="236" customWidth="1"/>
    <col min="15107" max="15107" width="12" style="236" bestFit="1" customWidth="1"/>
    <col min="15108" max="15360" width="9.140625" style="236"/>
    <col min="15361" max="15361" width="29.5703125" style="236" bestFit="1" customWidth="1"/>
    <col min="15362" max="15362" width="19.85546875" style="236" customWidth="1"/>
    <col min="15363" max="15363" width="12" style="236" bestFit="1" customWidth="1"/>
    <col min="15364" max="15616" width="9.140625" style="236"/>
    <col min="15617" max="15617" width="29.5703125" style="236" bestFit="1" customWidth="1"/>
    <col min="15618" max="15618" width="19.85546875" style="236" customWidth="1"/>
    <col min="15619" max="15619" width="12" style="236" bestFit="1" customWidth="1"/>
    <col min="15620" max="15872" width="9.140625" style="236"/>
    <col min="15873" max="15873" width="29.5703125" style="236" bestFit="1" customWidth="1"/>
    <col min="15874" max="15874" width="19.85546875" style="236" customWidth="1"/>
    <col min="15875" max="15875" width="12" style="236" bestFit="1" customWidth="1"/>
    <col min="15876" max="16128" width="9.140625" style="236"/>
    <col min="16129" max="16129" width="29.5703125" style="236" bestFit="1" customWidth="1"/>
    <col min="16130" max="16130" width="19.85546875" style="236" customWidth="1"/>
    <col min="16131" max="16131" width="12" style="236" bestFit="1" customWidth="1"/>
    <col min="16132" max="16384" width="9.140625" style="236"/>
  </cols>
  <sheetData>
    <row r="1" spans="1:2">
      <c r="A1" s="236" t="s">
        <v>629</v>
      </c>
      <c r="B1" s="262">
        <v>6.1</v>
      </c>
    </row>
    <row r="2" spans="1:2">
      <c r="A2" s="236" t="s">
        <v>630</v>
      </c>
      <c r="B2" s="266">
        <v>43201.47729166667</v>
      </c>
    </row>
    <row r="3" spans="1:2">
      <c r="A3" s="236" t="s">
        <v>631</v>
      </c>
      <c r="B3" s="263" t="s">
        <v>339</v>
      </c>
    </row>
    <row r="4" spans="1:2">
      <c r="A4" s="236" t="s">
        <v>632</v>
      </c>
      <c r="B4" s="263" t="s">
        <v>633</v>
      </c>
    </row>
    <row r="5" spans="1:2">
      <c r="A5" s="236" t="s">
        <v>634</v>
      </c>
      <c r="B5" s="263" t="s">
        <v>635</v>
      </c>
    </row>
    <row r="6" spans="1:2">
      <c r="A6" s="236" t="s">
        <v>636</v>
      </c>
    </row>
    <row r="7" spans="1:2">
      <c r="A7" s="236" t="s">
        <v>637</v>
      </c>
      <c r="B7" s="263" t="s">
        <v>140</v>
      </c>
    </row>
    <row r="8" spans="1:2">
      <c r="A8" s="236" t="s">
        <v>638</v>
      </c>
      <c r="B8" s="263" t="s">
        <v>639</v>
      </c>
    </row>
    <row r="9" spans="1:2">
      <c r="A9" s="236" t="s">
        <v>640</v>
      </c>
      <c r="B9" s="263" t="s">
        <v>678</v>
      </c>
    </row>
    <row r="10" spans="1:2">
      <c r="A10" s="236" t="s">
        <v>641</v>
      </c>
    </row>
    <row r="11" spans="1:2">
      <c r="A11" s="236" t="s">
        <v>642</v>
      </c>
    </row>
    <row r="12" spans="1:2">
      <c r="A12" s="236" t="s">
        <v>643</v>
      </c>
    </row>
    <row r="13" spans="1:2">
      <c r="A13" s="236" t="s">
        <v>644</v>
      </c>
    </row>
    <row r="14" spans="1:2">
      <c r="A14" s="236" t="s">
        <v>645</v>
      </c>
    </row>
    <row r="15" spans="1:2">
      <c r="A15" s="236" t="s">
        <v>646</v>
      </c>
    </row>
    <row r="16" spans="1:2">
      <c r="A16" s="236" t="s">
        <v>647</v>
      </c>
    </row>
    <row r="17" spans="1:4">
      <c r="A17" s="236" t="s">
        <v>648</v>
      </c>
      <c r="B17" s="263" t="s">
        <v>679</v>
      </c>
    </row>
    <row r="18" spans="1:4">
      <c r="A18" s="236" t="s">
        <v>649</v>
      </c>
      <c r="B18" s="263" t="s">
        <v>340</v>
      </c>
    </row>
    <row r="19" spans="1:4">
      <c r="A19" s="236" t="s">
        <v>650</v>
      </c>
      <c r="B19" s="263" t="s">
        <v>139</v>
      </c>
    </row>
    <row r="20" spans="1:4">
      <c r="A20" s="236" t="s">
        <v>651</v>
      </c>
      <c r="B20" s="264">
        <v>749660106</v>
      </c>
    </row>
    <row r="21" spans="1:4">
      <c r="A21" s="236" t="s">
        <v>652</v>
      </c>
      <c r="B21" s="263" t="s">
        <v>139</v>
      </c>
    </row>
    <row r="22" spans="1:4">
      <c r="A22" s="236" t="s">
        <v>653</v>
      </c>
      <c r="B22" s="264">
        <v>2719456</v>
      </c>
    </row>
    <row r="23" spans="1:4">
      <c r="A23" s="236" t="s">
        <v>335</v>
      </c>
      <c r="B23" s="262">
        <v>18.2</v>
      </c>
    </row>
    <row r="24" spans="1:4">
      <c r="A24" s="236" t="s">
        <v>334</v>
      </c>
      <c r="B24" s="263" t="s">
        <v>138</v>
      </c>
      <c r="D24" s="236" t="s">
        <v>654</v>
      </c>
    </row>
    <row r="25" spans="1:4">
      <c r="A25" s="236" t="s">
        <v>655</v>
      </c>
      <c r="B25" s="263" t="s">
        <v>682</v>
      </c>
    </row>
    <row r="26" spans="1:4">
      <c r="A26" s="236" t="s">
        <v>656</v>
      </c>
      <c r="B26" s="263">
        <v>0</v>
      </c>
    </row>
    <row r="27" spans="1:4">
      <c r="A27" s="236" t="s">
        <v>657</v>
      </c>
      <c r="B27" s="263" t="s">
        <v>658</v>
      </c>
    </row>
    <row r="28" spans="1:4">
      <c r="A28" s="236" t="s">
        <v>659</v>
      </c>
      <c r="B28" s="263" t="s">
        <v>660</v>
      </c>
    </row>
    <row r="29" spans="1:4">
      <c r="A29" s="236" t="s">
        <v>661</v>
      </c>
    </row>
    <row r="30" spans="1:4">
      <c r="A30" s="236" t="s">
        <v>662</v>
      </c>
    </row>
    <row r="31" spans="1:4">
      <c r="A31" s="236" t="s">
        <v>663</v>
      </c>
    </row>
    <row r="32" spans="1:4">
      <c r="A32" s="236" t="s">
        <v>664</v>
      </c>
      <c r="B32" s="262"/>
    </row>
    <row r="33" spans="1:2">
      <c r="A33" s="236" t="s">
        <v>665</v>
      </c>
      <c r="B33" s="262"/>
    </row>
    <row r="34" spans="1:2">
      <c r="A34" s="236" t="s">
        <v>666</v>
      </c>
      <c r="B34" s="262"/>
    </row>
    <row r="35" spans="1:2">
      <c r="A35" s="236" t="s">
        <v>667</v>
      </c>
      <c r="B35" s="263">
        <v>1000000</v>
      </c>
    </row>
    <row r="36" spans="1:2">
      <c r="A36" s="236" t="s">
        <v>668</v>
      </c>
      <c r="B36" s="263" t="s">
        <v>680</v>
      </c>
    </row>
    <row r="37" spans="1:2">
      <c r="A37" s="236" t="s">
        <v>669</v>
      </c>
      <c r="B37" s="263" t="s">
        <v>670</v>
      </c>
    </row>
    <row r="38" spans="1:2">
      <c r="A38" s="236" t="s">
        <v>671</v>
      </c>
      <c r="B38" s="263" t="s">
        <v>672</v>
      </c>
    </row>
    <row r="39" spans="1:2">
      <c r="A39" s="236" t="s">
        <v>673</v>
      </c>
      <c r="B39" s="263" t="s">
        <v>681</v>
      </c>
    </row>
    <row r="40" spans="1:2">
      <c r="A40" s="236" t="s">
        <v>674</v>
      </c>
      <c r="B40" s="263">
        <v>1500000135</v>
      </c>
    </row>
    <row r="41" spans="1:2">
      <c r="A41" s="236" t="s">
        <v>675</v>
      </c>
      <c r="B41" s="263">
        <v>1</v>
      </c>
    </row>
    <row r="42" spans="1:2">
      <c r="A42" s="265" t="s">
        <v>676</v>
      </c>
    </row>
    <row r="43" spans="1:2">
      <c r="A43" s="236" t="s">
        <v>677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style="236" bestFit="1" customWidth="1"/>
    <col min="2" max="256" width="9.140625" style="236"/>
    <col min="257" max="257" width="28.5703125" style="236" bestFit="1" customWidth="1"/>
    <col min="258" max="512" width="9.140625" style="236"/>
    <col min="513" max="513" width="28.5703125" style="236" bestFit="1" customWidth="1"/>
    <col min="514" max="768" width="9.140625" style="236"/>
    <col min="769" max="769" width="28.5703125" style="236" bestFit="1" customWidth="1"/>
    <col min="770" max="1024" width="9.140625" style="236"/>
    <col min="1025" max="1025" width="28.5703125" style="236" bestFit="1" customWidth="1"/>
    <col min="1026" max="1280" width="9.140625" style="236"/>
    <col min="1281" max="1281" width="28.5703125" style="236" bestFit="1" customWidth="1"/>
    <col min="1282" max="1536" width="9.140625" style="236"/>
    <col min="1537" max="1537" width="28.5703125" style="236" bestFit="1" customWidth="1"/>
    <col min="1538" max="1792" width="9.140625" style="236"/>
    <col min="1793" max="1793" width="28.5703125" style="236" bestFit="1" customWidth="1"/>
    <col min="1794" max="2048" width="9.140625" style="236"/>
    <col min="2049" max="2049" width="28.5703125" style="236" bestFit="1" customWidth="1"/>
    <col min="2050" max="2304" width="9.140625" style="236"/>
    <col min="2305" max="2305" width="28.5703125" style="236" bestFit="1" customWidth="1"/>
    <col min="2306" max="2560" width="9.140625" style="236"/>
    <col min="2561" max="2561" width="28.5703125" style="236" bestFit="1" customWidth="1"/>
    <col min="2562" max="2816" width="9.140625" style="236"/>
    <col min="2817" max="2817" width="28.5703125" style="236" bestFit="1" customWidth="1"/>
    <col min="2818" max="3072" width="9.140625" style="236"/>
    <col min="3073" max="3073" width="28.5703125" style="236" bestFit="1" customWidth="1"/>
    <col min="3074" max="3328" width="9.140625" style="236"/>
    <col min="3329" max="3329" width="28.5703125" style="236" bestFit="1" customWidth="1"/>
    <col min="3330" max="3584" width="9.140625" style="236"/>
    <col min="3585" max="3585" width="28.5703125" style="236" bestFit="1" customWidth="1"/>
    <col min="3586" max="3840" width="9.140625" style="236"/>
    <col min="3841" max="3841" width="28.5703125" style="236" bestFit="1" customWidth="1"/>
    <col min="3842" max="4096" width="9.140625" style="236"/>
    <col min="4097" max="4097" width="28.5703125" style="236" bestFit="1" customWidth="1"/>
    <col min="4098" max="4352" width="9.140625" style="236"/>
    <col min="4353" max="4353" width="28.5703125" style="236" bestFit="1" customWidth="1"/>
    <col min="4354" max="4608" width="9.140625" style="236"/>
    <col min="4609" max="4609" width="28.5703125" style="236" bestFit="1" customWidth="1"/>
    <col min="4610" max="4864" width="9.140625" style="236"/>
    <col min="4865" max="4865" width="28.5703125" style="236" bestFit="1" customWidth="1"/>
    <col min="4866" max="5120" width="9.140625" style="236"/>
    <col min="5121" max="5121" width="28.5703125" style="236" bestFit="1" customWidth="1"/>
    <col min="5122" max="5376" width="9.140625" style="236"/>
    <col min="5377" max="5377" width="28.5703125" style="236" bestFit="1" customWidth="1"/>
    <col min="5378" max="5632" width="9.140625" style="236"/>
    <col min="5633" max="5633" width="28.5703125" style="236" bestFit="1" customWidth="1"/>
    <col min="5634" max="5888" width="9.140625" style="236"/>
    <col min="5889" max="5889" width="28.5703125" style="236" bestFit="1" customWidth="1"/>
    <col min="5890" max="6144" width="9.140625" style="236"/>
    <col min="6145" max="6145" width="28.5703125" style="236" bestFit="1" customWidth="1"/>
    <col min="6146" max="6400" width="9.140625" style="236"/>
    <col min="6401" max="6401" width="28.5703125" style="236" bestFit="1" customWidth="1"/>
    <col min="6402" max="6656" width="9.140625" style="236"/>
    <col min="6657" max="6657" width="28.5703125" style="236" bestFit="1" customWidth="1"/>
    <col min="6658" max="6912" width="9.140625" style="236"/>
    <col min="6913" max="6913" width="28.5703125" style="236" bestFit="1" customWidth="1"/>
    <col min="6914" max="7168" width="9.140625" style="236"/>
    <col min="7169" max="7169" width="28.5703125" style="236" bestFit="1" customWidth="1"/>
    <col min="7170" max="7424" width="9.140625" style="236"/>
    <col min="7425" max="7425" width="28.5703125" style="236" bestFit="1" customWidth="1"/>
    <col min="7426" max="7680" width="9.140625" style="236"/>
    <col min="7681" max="7681" width="28.5703125" style="236" bestFit="1" customWidth="1"/>
    <col min="7682" max="7936" width="9.140625" style="236"/>
    <col min="7937" max="7937" width="28.5703125" style="236" bestFit="1" customWidth="1"/>
    <col min="7938" max="8192" width="9.140625" style="236"/>
    <col min="8193" max="8193" width="28.5703125" style="236" bestFit="1" customWidth="1"/>
    <col min="8194" max="8448" width="9.140625" style="236"/>
    <col min="8449" max="8449" width="28.5703125" style="236" bestFit="1" customWidth="1"/>
    <col min="8450" max="8704" width="9.140625" style="236"/>
    <col min="8705" max="8705" width="28.5703125" style="236" bestFit="1" customWidth="1"/>
    <col min="8706" max="8960" width="9.140625" style="236"/>
    <col min="8961" max="8961" width="28.5703125" style="236" bestFit="1" customWidth="1"/>
    <col min="8962" max="9216" width="9.140625" style="236"/>
    <col min="9217" max="9217" width="28.5703125" style="236" bestFit="1" customWidth="1"/>
    <col min="9218" max="9472" width="9.140625" style="236"/>
    <col min="9473" max="9473" width="28.5703125" style="236" bestFit="1" customWidth="1"/>
    <col min="9474" max="9728" width="9.140625" style="236"/>
    <col min="9729" max="9729" width="28.5703125" style="236" bestFit="1" customWidth="1"/>
    <col min="9730" max="9984" width="9.140625" style="236"/>
    <col min="9985" max="9985" width="28.5703125" style="236" bestFit="1" customWidth="1"/>
    <col min="9986" max="10240" width="9.140625" style="236"/>
    <col min="10241" max="10241" width="28.5703125" style="236" bestFit="1" customWidth="1"/>
    <col min="10242" max="10496" width="9.140625" style="236"/>
    <col min="10497" max="10497" width="28.5703125" style="236" bestFit="1" customWidth="1"/>
    <col min="10498" max="10752" width="9.140625" style="236"/>
    <col min="10753" max="10753" width="28.5703125" style="236" bestFit="1" customWidth="1"/>
    <col min="10754" max="11008" width="9.140625" style="236"/>
    <col min="11009" max="11009" width="28.5703125" style="236" bestFit="1" customWidth="1"/>
    <col min="11010" max="11264" width="9.140625" style="236"/>
    <col min="11265" max="11265" width="28.5703125" style="236" bestFit="1" customWidth="1"/>
    <col min="11266" max="11520" width="9.140625" style="236"/>
    <col min="11521" max="11521" width="28.5703125" style="236" bestFit="1" customWidth="1"/>
    <col min="11522" max="11776" width="9.140625" style="236"/>
    <col min="11777" max="11777" width="28.5703125" style="236" bestFit="1" customWidth="1"/>
    <col min="11778" max="12032" width="9.140625" style="236"/>
    <col min="12033" max="12033" width="28.5703125" style="236" bestFit="1" customWidth="1"/>
    <col min="12034" max="12288" width="9.140625" style="236"/>
    <col min="12289" max="12289" width="28.5703125" style="236" bestFit="1" customWidth="1"/>
    <col min="12290" max="12544" width="9.140625" style="236"/>
    <col min="12545" max="12545" width="28.5703125" style="236" bestFit="1" customWidth="1"/>
    <col min="12546" max="12800" width="9.140625" style="236"/>
    <col min="12801" max="12801" width="28.5703125" style="236" bestFit="1" customWidth="1"/>
    <col min="12802" max="13056" width="9.140625" style="236"/>
    <col min="13057" max="13057" width="28.5703125" style="236" bestFit="1" customWidth="1"/>
    <col min="13058" max="13312" width="9.140625" style="236"/>
    <col min="13313" max="13313" width="28.5703125" style="236" bestFit="1" customWidth="1"/>
    <col min="13314" max="13568" width="9.140625" style="236"/>
    <col min="13569" max="13569" width="28.5703125" style="236" bestFit="1" customWidth="1"/>
    <col min="13570" max="13824" width="9.140625" style="236"/>
    <col min="13825" max="13825" width="28.5703125" style="236" bestFit="1" customWidth="1"/>
    <col min="13826" max="14080" width="9.140625" style="236"/>
    <col min="14081" max="14081" width="28.5703125" style="236" bestFit="1" customWidth="1"/>
    <col min="14082" max="14336" width="9.140625" style="236"/>
    <col min="14337" max="14337" width="28.5703125" style="236" bestFit="1" customWidth="1"/>
    <col min="14338" max="14592" width="9.140625" style="236"/>
    <col min="14593" max="14593" width="28.5703125" style="236" bestFit="1" customWidth="1"/>
    <col min="14594" max="14848" width="9.140625" style="236"/>
    <col min="14849" max="14849" width="28.5703125" style="236" bestFit="1" customWidth="1"/>
    <col min="14850" max="15104" width="9.140625" style="236"/>
    <col min="15105" max="15105" width="28.5703125" style="236" bestFit="1" customWidth="1"/>
    <col min="15106" max="15360" width="9.140625" style="236"/>
    <col min="15361" max="15361" width="28.5703125" style="236" bestFit="1" customWidth="1"/>
    <col min="15362" max="15616" width="9.140625" style="236"/>
    <col min="15617" max="15617" width="28.5703125" style="236" bestFit="1" customWidth="1"/>
    <col min="15618" max="15872" width="9.140625" style="236"/>
    <col min="15873" max="15873" width="28.5703125" style="236" bestFit="1" customWidth="1"/>
    <col min="15874" max="16128" width="9.140625" style="236"/>
    <col min="16129" max="16129" width="28.5703125" style="236" bestFit="1" customWidth="1"/>
    <col min="16130" max="16384" width="9.140625" style="236"/>
  </cols>
  <sheetData>
    <row r="1" spans="1:1">
      <c r="A1" s="267" t="s">
        <v>683</v>
      </c>
    </row>
    <row r="2" spans="1:1">
      <c r="A2" s="267" t="s">
        <v>688</v>
      </c>
    </row>
    <row r="3" spans="1:1">
      <c r="A3" s="267" t="s">
        <v>689</v>
      </c>
    </row>
    <row r="4" spans="1:1">
      <c r="A4" s="267" t="s">
        <v>690</v>
      </c>
    </row>
    <row r="5" spans="1:1">
      <c r="A5" s="267" t="s">
        <v>691</v>
      </c>
    </row>
    <row r="6" spans="1:1">
      <c r="A6" s="267" t="s">
        <v>684</v>
      </c>
    </row>
    <row r="7" spans="1:1">
      <c r="A7" s="267" t="s">
        <v>692</v>
      </c>
    </row>
    <row r="8" spans="1:1">
      <c r="A8" s="267" t="s">
        <v>693</v>
      </c>
    </row>
    <row r="9" spans="1:1">
      <c r="A9" s="267" t="s">
        <v>694</v>
      </c>
    </row>
    <row r="10" spans="1:1">
      <c r="A10" s="267" t="s">
        <v>685</v>
      </c>
    </row>
    <row r="11" spans="1:1">
      <c r="A11" s="267" t="s">
        <v>695</v>
      </c>
    </row>
    <row r="12" spans="1:1">
      <c r="A12" s="267" t="s">
        <v>686</v>
      </c>
    </row>
    <row r="13" spans="1:1">
      <c r="A13" s="267" t="s">
        <v>687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"/>
  <sheetViews>
    <sheetView workbookViewId="0"/>
  </sheetViews>
  <sheetFormatPr defaultRowHeight="12.75"/>
  <sheetData>
    <row r="1" spans="1:6">
      <c r="A1" t="s">
        <v>299</v>
      </c>
    </row>
    <row r="2" spans="1:6">
      <c r="A2" s="176" t="s">
        <v>296</v>
      </c>
      <c r="B2" s="176" t="s">
        <v>304</v>
      </c>
      <c r="C2" s="176" t="s">
        <v>297</v>
      </c>
      <c r="D2" s="176" t="s">
        <v>300</v>
      </c>
      <c r="E2" s="176" t="s">
        <v>298</v>
      </c>
      <c r="F2" s="176" t="s">
        <v>138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1"/>
  <sheetViews>
    <sheetView workbookViewId="0"/>
  </sheetViews>
  <sheetFormatPr defaultRowHeight="12.75"/>
  <sheetData>
    <row r="1" spans="1:2">
      <c r="B1" t="s">
        <v>8</v>
      </c>
    </row>
  </sheetData>
  <phoneticPr fontId="4" type="noConversion"/>
  <pageMargins left="0.75" right="0.75" top="1" bottom="1" header="0.5" footer="0.5"/>
  <pageSetup orientation="portrait" r:id="rId1"/>
  <headerFooter alignWithMargins="0"/>
  <legacyDrawing r:id="rId2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0dcf14bb-a637-4d9f-bb0f-2c3b45bde581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4/29/2015 6:43:31 PM</UPDATEDAT>
    <SOURCE_ISOUTOFDATE>False</SOURCE_ISOUTOFDATE>
    <SOURCE_WORKBOOKNAME>RES_MW.xls</SOURCE_WORKBOOKNAME>
    <SOURCE_WORKBOOKPATH>\\MSAD\ROOT\NA\NY\LIB\ER\ENERGY\SLORER\Models\Services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/MSResearch/Content/ExternalAssets/2015-02/Images/Z3UlhJ9yWkiiL1NmBUsCCA--.png</TARGET_BINARYFULLNAME>
    <TARGET_STORYFULLNAME>/MSResearch/Content/ExternalAssets/2015-02/Sections/20150217_095640_MWA_Risk_Reward.xml</TARGET_STORYFULLNAME>
    <TARGET_UUID>2e130eea-b6b5-11e4-8ffc-fa1973025087</TARGET_UUID>
    <LINKSTATUS>Unknown</LINKSTATUS>
  </Link>
  <Link>
    <GUID>e82b0fb4-acfa-4d4e-8707-a4fbab7473b2</GUID>
    <SOURCE_ALTADDRESS>$A$1:$K$41</SOURCE_ALTADDRESS>
    <SOURCETYPE>Table</SOURCETYPE>
    <SOURCE_OBJECTNAME>Linking_Range_16</SOURCE_OBJECTNAME>
    <OBJECTTYPE>Native</OBJECTTYPE>
    <SOURCE_SHEETCODE>Sheet6</SOURCE_SHEETCODE>
    <SOURCE_SHEETNAME>Q's</SOURCE_SHEETNAME>
    <SOURCEAPPLICATION>EXCEL_SOURCE</SOURCEAPPLICATION>
    <UPDATEDAT>4/29/2015 6:43:43 PM</UPDATEDAT>
    <SOURCE_ISOUTOFDATE>False</SOURCE_ISOUTOFDATE>
    <SOURCE_WORKBOOKNAME>RES_MW.xls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/MSResearch/Content/ExternalAssets/2015-04/Images/UEBizgxHC0CoAqnhwi3C9g--.png</TARGET_BINARYFULLNAME>
    <TARGET_STORYFULLNAME>/MSResearch/Content/ExternalAssets/2015-04/Sections/20150429_062239_Linking_Range_16.xml</TARGET_STORYFULLNAME>
    <TARGET_UUID>3eb542e0-eebe-11e4-aeba-9bba02fefb2a</TARGET_UUID>
    <LINKSTATUS>Unknown</LINKSTATUS>
  </Link>
  <Link>
    <GUID>db349d22-adb8-4a3d-9405-370c75ad1305</GUID>
    <SOURCE_ALTADDRESS>$B$4:$K$41</SOURCE_ALTADDRESS>
    <SOURCETYPE>Table</SOURCETYPE>
    <SOURCE_OBJECTNAME>Linking_Range_17</SOURCE_OBJECTNAME>
    <OBJECTTYPE>Native</OBJECTTYPE>
    <SOURCE_SHEETCODE>Sheet6</SOURCE_SHEETCODE>
    <SOURCE_SHEETNAME>Q's</SOURCE_SHEETNAME>
    <SOURCEAPPLICATION>EXCEL_SOURCE</SOURCEAPPLICATION>
    <UPDATEDAT>4/29/2015 6:43:46 PM</UPDATEDAT>
    <SOURCE_ISOUTOFDATE>False</SOURCE_ISOUTOFDATE>
    <SOURCE_WORKBOOKNAME>RES_MW.xls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/MSResearch/Content/ExternalAssets/2015-04/Images/BOuvCd9vSkaeDiAjT8qYhg--.png</TARGET_BINARYFULLNAME>
    <TARGET_STORYFULLNAME>/MSResearch/Content/ExternalAssets/2015-04/Sections/20150429_062300_Linking_Range_17.xml</TARGET_STORYFULLNAME>
    <TARGET_UUID>4b942788-eebe-11e4-aeba-9bba02fefb2a</TARGET_UUID>
    <LINKSTATUS>Unknown</LINKSTATUS>
  </Link>
  <Link>
    <GUID>26394386-8b73-4332-a07e-9c33f6f82cac</GUID>
    <SOURCE_ALTADDRESS>$B$161:$N$209</SOURCE_ALTADDRESS>
    <SOURCETYPE>Table</SOURCETYPE>
    <SOURCE_OBJECTNAME>Linking_Range_14</SOURCE_OBJECTNAME>
    <OBJECTTYPE>Native</OBJECTTYPE>
    <SOURCE_SHEETCODE>Sheet1</SOURCE_SHEETCODE>
    <SOURCE_SHEETNAME>Model</SOURCE_SHEETNAME>
    <SOURCEAPPLICATION>EXCEL_SOURCE</SOURCEAPPLICATION>
    <UPDATEDAT>4/29/2015 6:52:13 PM</UPDATEDAT>
    <SOURCE_ISOUTOFDATE>False</SOURCE_ISOUTOFDATE>
    <SOURCE_WORKBOOKNAME>RES_MW.xls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/MSResearch/Content/ExternalAssets/2015-02/Images/nTByTrC6_SBhNIWWpu_Hw--.png</TARGET_BINARYFULLNAME>
    <TARGET_STORYFULLNAME>/MSResearch/Content/ExternalAssets/2015-02/Sections/20150217_063040_Linking_Range_14.xml</TARGET_STORYFULLNAME>
    <TARGET_UUID>fbcda9b6-b6fc-11e4-8ffc-fa1973025087</TARGET_UUID>
    <LINKSTATUS>Unknown</LINKSTATUS>
  </Link>
  <Link>
    <GUID>d694c2d6-02f4-4c1a-8e69-e3c8d2a80ce5</GUID>
    <SOURCE_ALTADDRESS>$B$7:$N$58</SOURCE_ALTADDRESS>
    <SOURCETYPE>Table</SOURCETYPE>
    <SOURCE_OBJECTNAME>Linking_Range_15</SOURCE_OBJECTNAME>
    <OBJECTTYPE>Native</OBJECTTYPE>
    <SOURCE_SHEETCODE>Sheet1</SOURCE_SHEETCODE>
    <SOURCE_SHEETNAME>Model</SOURCE_SHEETNAME>
    <SOURCEAPPLICATION>EXCEL_SOURCE</SOURCEAPPLICATION>
    <UPDATEDAT>4/29/2015 6:52:15 PM</UPDATEDAT>
    <SOURCE_ISOUTOFDATE>False</SOURCE_ISOUTOFDATE>
    <SOURCE_WORKBOOKNAME>RES_MW.xls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/MSResearch/Content/ExternalAssets/2015-02/Images/F7u1MvRT4EuyTy9as49uMA--.png</TARGET_BINARYFULLNAME>
    <TARGET_STORYFULLNAME>/MSResearch/Content/ExternalAssets/2015-02/Sections/20150218_094859_Linking_Range_15.xml</TARGET_STORYFULLNAME>
    <TARGET_UUID>45b733e6-b77d-11e4-8ffc-fa1973025087</TARGET_UUID>
    <LINKSTATUS>Unknown</LINKSTATUS>
  </Link>
  <Link>
    <GUID>cdcff664-3e5e-4786-bee1-7029f5c76eb1</GUID>
    <SOURCE_ALTADDRESS>$B$7:$N$45</SOURCE_ALTADDRESS>
    <SOURCETYPE>Table</SOURCETYPE>
    <SOURCE_OBJECTNAME>Linking_Range_12</SOURCE_OBJECTNAME>
    <OBJECTTYPE>Native</OBJECTTYPE>
    <SOURCE_SHEETCODE>Sheet1</SOURCE_SHEETCODE>
    <SOURCE_SHEETNAME>Model</SOURCE_SHEETNAME>
    <SOURCEAPPLICATION>EXCEL_SOURCE</SOURCEAPPLICATION>
    <UPDATEDAT>4/29/2015 6:52:18 PM</UPDATEDAT>
    <SOURCE_ISOUTOFDATE>False</SOURCE_ISOUTOFDATE>
    <SOURCE_WORKBOOKNAME>RES_MW.xls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/MSResearch/Content/ExternalAssets/2015-02/Images/ip79pbR9-k6CXBF15CLd5g--.png</TARGET_BINARYFULLNAME>
    <TARGET_STORYFULLNAME>/MSResearch/Content/ExternalAssets/2015-02/Sections/20150217_062422_Linking_Range_12.xml</TARGET_STORYFULLNAME>
    <TARGET_UUID>1b10ad74-b6fc-11e4-8ffc-fa1973025087</TARGET_UUID>
    <LINKSTATUS>Unknown</LINKSTATUS>
  </Link>
  <Link>
    <GUID>c432dd69-1651-457b-af7d-e262d96f7585</GUID>
    <SOURCE_ALTADDRESS>$B$134:$N$158</SOURCE_ALTADDRESS>
    <SOURCETYPE>Table</SOURCETYPE>
    <SOURCE_OBJECTNAME>Linking_Range_13</SOURCE_OBJECTNAME>
    <OBJECTTYPE>Native</OBJECTTYPE>
    <SOURCE_SHEETCODE>Sheet1</SOURCE_SHEETCODE>
    <SOURCE_SHEETNAME>Model</SOURCE_SHEETNAME>
    <SOURCEAPPLICATION>EXCEL_SOURCE</SOURCEAPPLICATION>
    <UPDATEDAT>4/29/2015 6:52:20 PM</UPDATEDAT>
    <SOURCE_ISOUTOFDATE>False</SOURCE_ISOUTOFDATE>
    <SOURCE_WORKBOOKNAME>RES_MW.xls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/MSResearch/Content/ExternalAssets/2015-02/Images/7x4n8JmbQUW-Y3jCGUGUPQ--.png</TARGET_BINARYFULLNAME>
    <TARGET_STORYFULLNAME>/MSResearch/Content/ExternalAssets/2015-02/Sections/20150217_062925_Linking_Range_13.xml</TARGET_STORYFULLNAME>
    <TARGET_UUID>cf4a0254-b6fc-11e4-8ffc-fa1973025087</TARGET_UUID>
    <LINKSTATUS>Unknown</LINKSTATUS>
  </Link>
</lk:Links>
</file>

<file path=customXml/itemProps1.xml><?xml version="1.0" encoding="utf-8"?>
<ds:datastoreItem xmlns:ds="http://schemas.openxmlformats.org/officeDocument/2006/customXml" ds:itemID="{39CB78F3-05A9-44DC-B596-8085C229DDE1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EE60F93E-B97A-42F7-99B5-816F771F26D0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94</vt:i4>
      </vt:variant>
    </vt:vector>
  </HeadingPairs>
  <TitlesOfParts>
    <vt:vector size="98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Linking_10</vt:lpstr>
      <vt:lpstr>Linking_2</vt:lpstr>
      <vt:lpstr>Linking_3</vt:lpstr>
      <vt:lpstr>Linking_4</vt:lpstr>
      <vt:lpstr>Linking_5</vt:lpstr>
      <vt:lpstr>Linking_6</vt:lpstr>
      <vt:lpstr>Linking_7</vt:lpstr>
      <vt:lpstr>Linking_8</vt:lpstr>
      <vt:lpstr>Linking_9</vt:lpstr>
      <vt:lpstr>Linking_Range_10</vt:lpstr>
      <vt:lpstr>Linking_Range_11</vt:lpstr>
      <vt:lpstr>Linking_Range_12</vt:lpstr>
      <vt:lpstr>Linking_Range_13</vt:lpstr>
      <vt:lpstr>Linking_Range_14</vt:lpstr>
      <vt:lpstr>Linking_Range_15</vt:lpstr>
      <vt:lpstr>Linking_Range_2</vt:lpstr>
      <vt:lpstr>Linking_Range_3</vt:lpstr>
      <vt:lpstr>Linking_Range_4</vt:lpstr>
      <vt:lpstr>Linking_Range_6</vt:lpstr>
      <vt:lpstr>Linking_Range_7</vt:lpstr>
      <vt:lpstr>Linking_Range_8</vt:lpstr>
      <vt:lpstr>Linking_Range_9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2010-06-30T21:24:10Z</dcterms:created>
  <dc:creator>Ben Swomley</dc:creator>
  <cp:lastModifiedBy>Ozier, Alex (Research)</cp:lastModifiedBy>
  <cp:lastPrinted>2017-11-13T21:41:42Z</cp:lastPrinted>
  <dcterms:modified xsi:type="dcterms:W3CDTF">2018-04-11T15:27:19Z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IsInternalOnly" pid="3">
    <vt:lpwstr>True</vt:lpwstr>
  </property>
  <property fmtid="{D5CDD505-2E9C-101B-9397-08002B2CF9AE}" name="LinkingAutoNameNumberLinking_Range_" pid="4">
    <vt:lpwstr>17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761006</vt:lpwstr>
  </property>
  <property fmtid="{D5CDD505-2E9C-101B-9397-08002B2CF9AE}" name="ERModPubCompanyName" pid="8">
    <vt:lpwstr>RPC</vt:lpwstr>
  </property>
  <property fmtid="{D5CDD505-2E9C-101B-9397-08002B2CF9AE}" name="MSDH34TAG" pid="9">
    <vt:lpwstr>.TEZUF76X5TAHATHESADREYAK-00-INB160+*94600-06=d4fd258a/-3d9c/-11e8/-b3f7/-7a79cfe26848,MD=20180411112849/-0400,ZZ=000Z-ef37.</vt:lpwstr>
  </property>
</Properties>
</file>