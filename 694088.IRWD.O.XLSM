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720" windowWidth="15600" windowHeight="6705" tabRatio="844"/>
  </bookViews>
  <sheets>
    <sheet name="ImportantDisclosures" sheetId="51" r:id="rId1"/>
    <sheet name="DCF" sheetId="11" r:id="rId2"/>
    <sheet name="IS" sheetId="5" r:id="rId3"/>
    <sheet name="MW-Cache" sheetId="16" state="veryHidden" r:id="rId4"/>
    <sheet name="BS" sheetId="6" r:id="rId5"/>
    <sheet name="CF" sheetId="7" r:id="rId6"/>
    <sheet name="Linaclotide" sheetId="14" r:id="rId7"/>
    <sheet name="Zurampic-Duzallo P&amp;L" sheetId="38" r:id="rId8"/>
    <sheet name="IndexInformation" sheetId="52" r:id="rId9"/>
    <sheet name="ModPubIndex" sheetId="53" r:id="rId10"/>
  </sheets>
  <externalReferences>
    <externalReference r:id="rId11"/>
    <externalReference r:id="rId12"/>
  </externalReferences>
  <definedNames>
    <definedName name="__FDS_HYPERLINK_TOGGLE_STATE__" hidden="1">"ON"</definedName>
    <definedName name="__FDS_UNIQUE_RANGE_ID_GENERATOR_COUNTER" hidden="1">1</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bdm.2C83852407BD49AFB829C9CBEA1A3DCC.edm" localSheetId="4" hidden="1">BS!$B$4:$O$50</definedName>
    <definedName name="_bdm.3BDEB15C0E0A4A529DE5EC92948E0A9C.edm" hidden="1">CF!$1:$1048576</definedName>
    <definedName name="_bdm.4D3EAE7BA75A463A8543BF8C08E502F3.edm" localSheetId="5" hidden="1">CF!$B$4:$O$66</definedName>
    <definedName name="_bdm.4F7D48E426FE4E7588DDAD15E19742B2.edm" localSheetId="6" hidden="1">Linaclotide!$B$56:$M$77</definedName>
    <definedName name="_bdm.6B58A0F9576847908385708675AE5F98.edm" hidden="1">Linaclotide!$1:$1048576</definedName>
    <definedName name="_bdm.738EB96138794D0E8C1E7778061ABF5F.edm" hidden="1">BS!$1:$1048576</definedName>
    <definedName name="_bdm.80501AB6393C4C98BEF04246B6660E47.edm" localSheetId="1" hidden="1">DCF!$C$4:$X$9</definedName>
    <definedName name="_bdm.9016D76D42654CC1908037E607225690.edm" localSheetId="6" hidden="1">Linaclotide!$B$134:$M$151</definedName>
    <definedName name="_bdm.94F5601BD0584DD1847DB54BCA45BE18.edm" localSheetId="1" hidden="1">DCF!$C$16:$E$20</definedName>
    <definedName name="_bdm.9E0618E103A74F7594D15B9A86E5E513.edm" localSheetId="6" hidden="1">Linaclotide!$B$134:$N$170</definedName>
    <definedName name="_bdm.A34D926ED34D45338D8B1C4BFAE76918.edm" localSheetId="6" hidden="1">Linaclotide!$B$56:$M$75</definedName>
    <definedName name="_bdm.A8C41FA9AF6748B8B424138C8D0D87B2.edm" localSheetId="6" hidden="1">Linaclotide!$B$32:$N$77</definedName>
    <definedName name="_bdm.C32DE14F741543D1B81F1AABF6176644.edm" hidden="1">DCF!$1:$1048576</definedName>
    <definedName name="_bdm.C903F98F910843F3AD49ED7109253777.edm" hidden="1">IS!$1:$1048576</definedName>
    <definedName name="_bdm.D8E3607F4E86443CB14E92E7CCC49194.edm" localSheetId="2" hidden="1">IS!$B$4:$BC$79</definedName>
    <definedName name="_bdm.EDE7AA1898A4423386258874C1DFBF83.edm" localSheetId="6" hidden="1">Linaclotide!$B$31:$N$128</definedName>
    <definedName name="_bdm.F203154E3AC740159AFD8BAF49A77F7D.edm" localSheetId="6" hidden="1">Linaclotide!$B$31:$N$77</definedName>
    <definedName name="_bdm.FC35824039514D5D9A442C18EB33646B.edm" localSheetId="6" hidden="1">Linaclotide!$B$32:$M$54</definedName>
    <definedName name="_xlnm._FilterDatabase" localSheetId="7" hidden="1">'Zurampic-Duzallo P&amp;L'!$B$42:$B$46</definedName>
    <definedName name="_Order1" hidden="1">255</definedName>
    <definedName name="AdditionalInstructions">IndexInformation!$B$42</definedName>
    <definedName name="Address" localSheetId="0">ImportantDisclosures!$A$2:$A$2</definedName>
    <definedName name="ANA" localSheetId="9">ModPubIndex!$A$7</definedName>
    <definedName name="anscount" hidden="1">2</definedName>
    <definedName name="Authors" localSheetId="0">ImportantDisclosures!$A$7</definedName>
    <definedName name="Authors" localSheetId="8">IndexInformation!$B$18</definedName>
    <definedName name="BRO" localSheetId="9">ModPubIndex!$A$1</definedName>
    <definedName name="BSMethod">2</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taseries4">OFFSET([1]c1!$G$12,0,0,COUNTA([1]c1!$G$12:$G$31),1)</definedName>
    <definedName name="Date" localSheetId="0">ImportantDisclosures!$A$8</definedName>
    <definedName name="Deleted" localSheetId="8">IndexInformation!$B$27</definedName>
    <definedName name="Description" localSheetId="8">IndexInformation!$B$7</definedName>
    <definedName name="DEVELOPMENT">5</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0">ImportantDisclosures!#REF!</definedName>
    <definedName name="DistTablePreamble" localSheetId="0">ImportantDisclosures!#REF!</definedName>
    <definedName name="DOCDAT" localSheetId="9">ModPubIndex!$A$2</definedName>
    <definedName name="DOCTIME" localSheetId="9">ModPubIndex!$A$3</definedName>
    <definedName name="DocType" localSheetId="8">IndexInformation!$B$5</definedName>
    <definedName name="EMAIL_ALERT" localSheetId="9">ModPubIndex!$A$10</definedName>
    <definedName name="EmailAlert" localSheetId="8">IndexInformation!$B$28</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R_COM_ABBR">"CHKP"</definedName>
    <definedName name="FR_COM_AGG">0</definedName>
    <definedName name="FR_COU_ABBR">"usa"</definedName>
    <definedName name="FR_DATABOX_DOWNLOAD">"N"</definedName>
    <definedName name="FR_DISP_HIDDEN">FALSE</definedName>
    <definedName name="FR_LINKS_OVERRUN">TRUE</definedName>
    <definedName name="FR_PROTECT">"TRUE"</definedName>
    <definedName name="FR_RATIO_ABBR">"VDF_RATIO_BUNDLE"</definedName>
    <definedName name="FR_RATIO_COM_ABBR">"CWG.L"</definedName>
    <definedName name="FR_RATIO_COU_ABBR">"uk"</definedName>
    <definedName name="FR_RATIO_IGNORE_PROT_FLAG">TRUE</definedName>
    <definedName name="FR_RATIO_RECALC_FLAG">TRUE</definedName>
    <definedName name="FR_RPT_LINE_SPACING">1</definedName>
    <definedName name="FR_RPT_PAGE_BREAK">0</definedName>
    <definedName name="FR_SDS_KEY">1</definedName>
    <definedName name="FR_SHOW_LINK_MARKER">FALSE</definedName>
    <definedName name="FR_SYBASE_SERVER">"PNYEQFRD01"</definedName>
    <definedName name="FR_TEMPLATE_KEY">"69924|1"</definedName>
    <definedName name="FR_USE_BILLIONS">FALSE</definedName>
    <definedName name="FR_USE_DIMFAC">TRUE</definedName>
    <definedName name="FR_USE_LOCAL_CCY">FALSE</definedName>
    <definedName name="FR_USE_PRICEFACTORING">FALSE</definedName>
    <definedName name="FR_USE_SCALE_FLAG">TRUE</definedName>
    <definedName name="HL" localSheetId="9">ModPubIndex!$A$8</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mg_ML_7g5e5e2b" hidden="1">"IMG_12"</definedName>
    <definedName name="IND" localSheetId="9">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ISMethod">1</definedName>
    <definedName name="KeepVersions" localSheetId="8">IndexInformation!$B$8</definedName>
    <definedName name="LanguageCode">IndexInformation!$B$38</definedName>
    <definedName name="LastCell" localSheetId="0">ImportantDisclosures!$A$22</definedName>
    <definedName name="LastListUpdate">0</definedName>
    <definedName name="limcount" hidden="1">1</definedName>
    <definedName name="Linking_10">CF!$B$3:$Q$66</definedName>
    <definedName name="Linking_3">CF!$C$4:$Q$66</definedName>
    <definedName name="Linking_5">IS!$B$6:$BM$79</definedName>
    <definedName name="Linking_6">IS!$B$4:$BM$66</definedName>
    <definedName name="Linking_7">'Zurampic-Duzallo P&amp;L'!$B$3:$O$38</definedName>
    <definedName name="Linking_9">IS!$B$3:$BM$79</definedName>
    <definedName name="Linking_Range_1">DCF!$C$4:$X$9</definedName>
    <definedName name="Linking_Range_12">BS!$B$4:$O$50</definedName>
    <definedName name="Linking_Range_13">DCF!$C$4:$Z$9</definedName>
    <definedName name="Linking_Range_14">DCF!$C$19:$P$20</definedName>
    <definedName name="Linking_Range_16">IS!$B$4:$BM$79</definedName>
    <definedName name="Linking_Range_17">BS!$B$4:$Q$50</definedName>
    <definedName name="Linking_Range_18">CF!$B$4:$Q$66</definedName>
    <definedName name="Linking_Range_2">DCF!$C$16:$E$20</definedName>
    <definedName name="Linking_Range_6">IS!$B$4:$BC$79</definedName>
    <definedName name="Linking_Range_7">BS!$B$4:$P$50</definedName>
    <definedName name="Linking_Range_8">CF!$B$4:$O$66</definedName>
    <definedName name="MacroVersion" localSheetId="8">IndexInformation!$B$1</definedName>
    <definedName name="ModelPrice" localSheetId="0">ImportantDisclosures!$A$14</definedName>
    <definedName name="MonitorRow">1</definedName>
    <definedName name="Multiplier" localSheetId="8">IndexInformation!$B$35</definedName>
    <definedName name="newstone">{"Client Name or Project Name"}</definedName>
    <definedName name="newstone1">{"Client Name or Project Name"}</definedName>
    <definedName name="NextYearEPS" localSheetId="8">IndexInformation!$B$13</definedName>
    <definedName name="NextYearTotalRevenue" localSheetId="8">IndexInformation!$B$12</definedName>
    <definedName name="NextYearTotalRevenueActual" localSheetId="8">IndexInformation!$B$33</definedName>
    <definedName name="ObjectType">IndexInformation!$B$37</definedName>
    <definedName name="over_15_years">0.1</definedName>
    <definedName name="PANA" localSheetId="9">ModPubIndex!$A$11</definedName>
    <definedName name="PathName" localSheetId="8">IndexInformation!$B$25</definedName>
    <definedName name="_xlnm.Print_Area" localSheetId="4">BS!$B$1:$P$51,BS!$B$55:$P$99,BS!$B$101:$P$165</definedName>
    <definedName name="_xlnm.Print_Area" localSheetId="5">CF!$B$1:$O$66,CF!$B$68:$O$71</definedName>
    <definedName name="_xlnm.Print_Area" localSheetId="1">DCF!$C$4:$X$9,DCF!$H$16:$N$27,DCF!$C$13:$E$26,DCF!$P$16:$V$26</definedName>
    <definedName name="_xlnm.Print_Area" localSheetId="2">IS!$B$1:$BH$75,IS!$B$113:$BH$169</definedName>
    <definedName name="PRODUCT" localSheetId="9">ModPubIndex!$A$6</definedName>
    <definedName name="ProjectName">{"Client Name or Project Name"}</definedName>
    <definedName name="pronames">{"Client Name or Project Name"}</definedName>
    <definedName name="PSYM" localSheetId="9">ModPubIndex!$A$4</definedName>
    <definedName name="PublishDate" localSheetId="8">IndexInformation!$B$2</definedName>
    <definedName name="q" hidden="1">'[2]Qtr Sales'!$EM$2:$FJ$127</definedName>
    <definedName name="Rating" localSheetId="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hidden="1">{#N/A,#N/A,FALSE,"COVER";#N/A,#N/A,FALSE,"VALUATION";#N/A,#N/A,FALSE,"FORECAST";#N/A,#N/A,FALSE,"FY ANALYSIS ";#N/A,#N/A,FALSE," HY ANALYSIS"}</definedName>
    <definedName name="ResearchTopic" localSheetId="8">IndexInformation!$B$4</definedName>
    <definedName name="RIC" localSheetId="8">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SECSettlement" localSheetId="0">ImportantDisclosures!#REF!</definedName>
    <definedName name="SEDOL" localSheetId="8">IndexInformation!$B$22</definedName>
    <definedName name="sencount" hidden="1">1</definedName>
    <definedName name="SourceDefined" localSheetId="0">ImportantDisclosures!$A$19</definedName>
    <definedName name="StockRating" localSheetId="0">ImportantDisclosures!$A$11</definedName>
    <definedName name="SubjectCode" localSheetId="8">IndexInformation!$B$6</definedName>
    <definedName name="SubmitterUserId">IndexInformation!$B$39</definedName>
    <definedName name="SUPPRESSED" localSheetId="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8">IndexInformation!$B$19</definedName>
    <definedName name="trc_XLS_DATASHEET_ProtectDate">35417.7656018519</definedName>
    <definedName name="UpdateReason" localSheetId="8">IndexInformation!$B$17</definedName>
    <definedName name="USRegDisclosures" localSheetId="0">ImportantDisclosures!#REF!</definedName>
    <definedName name="wrn.AGN._.MODELS." hidden="1">{"QTRINC1",#N/A,FALSE,"QTRINC";"QTRINC2",#N/A,FALSE,"QTRINC";"QTRSALES",#N/A,FALSE,"QTRSALES";"ANNSALES",#N/A,FALSE,"ANNSALES";"CASHFLOW",#N/A,FALSE,"CASHFLOW"}</definedName>
    <definedName name="wrn.AHP._.MODELS." hidden="1">{"QTRINC",#N/A,FALSE,"QTRINC";"MARGIN",#N/A,FALSE,"MARGIN";"CASHFLOW",#N/A,FALSE,"CASHFLOW"}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port." hidden="1">{#N/A,#N/A,FALSE,"COVER";#N/A,#N/A,FALSE,"FORECAST";#N/A,#N/A,FALSE,"VALUATION";#N/A,#N/A,FALSE,"FY ANALYSIS ";#N/A,#N/A,FALSE," HY ANALYSIS"}</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LAVARIANCEANALYSIS." hidden="1">{"INCOME STATEMENT",#N/A,FALSE,"IS";"WWSALES",#N/A,FALSE,"WWSALES";"USSALES",#N/A,FALSE,"USSALES";"INTLSALES",#N/A,FALSE,"INTLSALES"}</definedName>
  </definedNames>
  <calcPr calcId="145621" iterate="1"/>
</workbook>
</file>

<file path=xl/calcChain.xml><?xml version="1.0" encoding="utf-8"?>
<calcChain xmlns="http://schemas.openxmlformats.org/spreadsheetml/2006/main">
  <c r="O37" i="6" l="1"/>
  <c r="P37" i="6" s="1"/>
  <c r="Q37" i="6" s="1"/>
  <c r="P30" i="6"/>
  <c r="Q30" i="6" s="1"/>
  <c r="O30" i="6"/>
  <c r="N126" i="6" l="1"/>
  <c r="M126" i="6"/>
  <c r="L126" i="6"/>
  <c r="K126" i="6"/>
  <c r="J126" i="6"/>
  <c r="I126" i="6"/>
  <c r="H126" i="6"/>
  <c r="G126" i="6"/>
  <c r="F126" i="6"/>
  <c r="O145" i="6" l="1"/>
  <c r="P145" i="6" s="1"/>
  <c r="N98" i="6"/>
  <c r="M98" i="6"/>
  <c r="N95" i="6"/>
  <c r="M95" i="6"/>
  <c r="N92" i="6"/>
  <c r="M92" i="6"/>
  <c r="N89" i="6"/>
  <c r="M89" i="6"/>
  <c r="N86" i="6"/>
  <c r="M86" i="6"/>
  <c r="L86" i="6"/>
  <c r="N83" i="6"/>
  <c r="M83" i="6"/>
  <c r="N80" i="6"/>
  <c r="M80" i="6"/>
  <c r="N77" i="6"/>
  <c r="M77" i="6"/>
  <c r="N74" i="6"/>
  <c r="M74" i="6"/>
  <c r="N68" i="6"/>
  <c r="M68" i="6"/>
  <c r="N65" i="6"/>
  <c r="M65" i="6"/>
  <c r="N62" i="6"/>
  <c r="M62" i="6"/>
  <c r="N125" i="6"/>
  <c r="N123" i="6"/>
  <c r="N23" i="7" l="1"/>
  <c r="N12" i="7"/>
  <c r="N43" i="6"/>
  <c r="N39" i="6"/>
  <c r="N38" i="6"/>
  <c r="N18" i="6"/>
  <c r="N71" i="6" s="1"/>
  <c r="P106" i="14" l="1"/>
  <c r="AU32" i="5"/>
  <c r="AX70" i="5"/>
  <c r="AX29" i="5"/>
  <c r="AX27" i="5"/>
  <c r="AX21" i="5"/>
  <c r="AX20" i="5"/>
  <c r="AX18" i="5"/>
  <c r="AX13" i="5"/>
  <c r="AX12" i="5"/>
  <c r="AX73" i="5"/>
  <c r="AW73" i="5"/>
  <c r="AW14" i="5"/>
  <c r="AW19" i="5"/>
  <c r="AW32" i="5" l="1"/>
  <c r="P18" i="14" l="1"/>
  <c r="P7" i="14"/>
  <c r="O7" i="14"/>
  <c r="N23" i="14"/>
  <c r="M23" i="14"/>
  <c r="N18" i="14"/>
  <c r="N7" i="14"/>
  <c r="M18" i="14"/>
  <c r="BC55" i="5" l="1"/>
  <c r="BC21" i="5"/>
  <c r="BC20" i="5"/>
  <c r="AV79" i="5" l="1"/>
  <c r="AV22" i="5" l="1"/>
  <c r="AV19" i="5"/>
  <c r="AV14" i="5"/>
  <c r="AV73" i="5"/>
  <c r="AV15" i="5" l="1"/>
  <c r="M7" i="14"/>
  <c r="O18" i="14"/>
  <c r="N40" i="14"/>
  <c r="O40" i="14" s="1"/>
  <c r="P40" i="14" s="1"/>
  <c r="M40" i="14"/>
  <c r="AU68" i="5"/>
  <c r="AU73" i="5"/>
  <c r="AU14" i="5"/>
  <c r="AU15" i="5" s="1"/>
  <c r="AU6" i="5"/>
  <c r="AU54" i="5"/>
  <c r="AU41" i="5"/>
  <c r="AU36" i="5"/>
  <c r="AT54" i="5" l="1"/>
  <c r="AT6" i="5" l="1"/>
  <c r="AT68" i="5"/>
  <c r="BH94" i="5" l="1"/>
  <c r="BM94" i="5" s="1"/>
  <c r="L21" i="38"/>
  <c r="M21" i="38" s="1"/>
  <c r="N21" i="38" s="1"/>
  <c r="O21" i="38" s="1"/>
  <c r="AX48" i="5"/>
  <c r="AT73" i="5"/>
  <c r="AT36" i="5"/>
  <c r="AT79" i="5"/>
  <c r="AR83" i="5"/>
  <c r="AR82" i="5"/>
  <c r="AT14" i="5"/>
  <c r="AX14" i="5" s="1"/>
  <c r="AT41" i="5" l="1"/>
  <c r="M123" i="6" l="1"/>
  <c r="M12" i="7" l="1"/>
  <c r="M125" i="6" s="1"/>
  <c r="M38" i="6"/>
  <c r="AS159" i="5" s="1"/>
  <c r="M39" i="6"/>
  <c r="M43" i="6"/>
  <c r="M23" i="6"/>
  <c r="M18" i="6"/>
  <c r="M71" i="6" s="1"/>
  <c r="BH108" i="5" l="1"/>
  <c r="AR73" i="5" l="1"/>
  <c r="B43" i="38" l="1"/>
  <c r="F5" i="38" s="1"/>
  <c r="N8" i="38"/>
  <c r="O8" i="38" s="1"/>
  <c r="O6" i="38"/>
  <c r="N6" i="38"/>
  <c r="M6" i="38"/>
  <c r="L6" i="38"/>
  <c r="O7" i="38"/>
  <c r="BH107" i="5"/>
  <c r="BM107" i="5" s="1"/>
  <c r="BH96" i="5"/>
  <c r="BM96" i="5" s="1"/>
  <c r="AS96" i="5"/>
  <c r="AS94" i="5"/>
  <c r="AS109" i="5"/>
  <c r="AS107" i="5"/>
  <c r="BH109" i="5"/>
  <c r="BM109" i="5" s="1"/>
  <c r="AX54" i="5"/>
  <c r="BC54" i="5" s="1"/>
  <c r="AR6" i="5"/>
  <c r="M129" i="14"/>
  <c r="N129" i="14" s="1"/>
  <c r="O129" i="14" s="1"/>
  <c r="P129" i="14" s="1"/>
  <c r="AV83" i="5"/>
  <c r="AV82" i="5"/>
  <c r="AV36" i="5" s="1"/>
  <c r="AS79" i="5"/>
  <c r="AR79" i="5"/>
  <c r="AR32" i="5"/>
  <c r="AS55" i="5"/>
  <c r="AS48" i="5"/>
  <c r="AR41" i="5"/>
  <c r="AR36" i="5"/>
  <c r="AM55" i="5"/>
  <c r="AM54" i="5"/>
  <c r="AM83" i="5"/>
  <c r="AM41" i="5" s="1"/>
  <c r="AM82" i="5"/>
  <c r="AM68" i="5" s="1"/>
  <c r="AJ6" i="5"/>
  <c r="AK6" i="5"/>
  <c r="AL6" i="5"/>
  <c r="AM6" i="5"/>
  <c r="AQ41" i="5"/>
  <c r="AQ36" i="5"/>
  <c r="AQ68" i="5"/>
  <c r="AL68" i="5"/>
  <c r="AL41" i="5"/>
  <c r="AL36" i="5"/>
  <c r="AL25" i="5"/>
  <c r="AM25" i="5" s="1"/>
  <c r="AQ25" i="5"/>
  <c r="AL23" i="5"/>
  <c r="AL26" i="5" s="1"/>
  <c r="AL24" i="5"/>
  <c r="AM24" i="5" s="1"/>
  <c r="AQ24" i="5"/>
  <c r="AQ23" i="5"/>
  <c r="AQ26" i="5" s="1"/>
  <c r="AP73" i="5"/>
  <c r="AP68" i="5"/>
  <c r="AO68" i="5"/>
  <c r="AK68" i="5"/>
  <c r="AP36" i="5"/>
  <c r="AK41" i="5"/>
  <c r="AK36" i="5"/>
  <c r="AK25" i="5"/>
  <c r="AP25" i="5"/>
  <c r="AK24" i="5"/>
  <c r="AK26" i="5" s="1"/>
  <c r="AJ24" i="5"/>
  <c r="AJ26" i="5" s="1"/>
  <c r="AP24" i="5"/>
  <c r="AP23" i="5"/>
  <c r="AP26" i="5" s="1"/>
  <c r="AO41" i="5"/>
  <c r="AO36" i="5"/>
  <c r="AJ68" i="5"/>
  <c r="AO25" i="5"/>
  <c r="AO24" i="5"/>
  <c r="AO23" i="5"/>
  <c r="AO26" i="5" s="1"/>
  <c r="AJ41" i="5"/>
  <c r="AJ36" i="5"/>
  <c r="AO6" i="5"/>
  <c r="AR14" i="5"/>
  <c r="AR15" i="5" s="1"/>
  <c r="AQ14" i="5"/>
  <c r="AQ15" i="5" s="1"/>
  <c r="AP14" i="5"/>
  <c r="AP15" i="5" s="1"/>
  <c r="AP54" i="5"/>
  <c r="AP41" i="5"/>
  <c r="AS32" i="5"/>
  <c r="AS27" i="5"/>
  <c r="AS21" i="5"/>
  <c r="AS20" i="5"/>
  <c r="AS18" i="5"/>
  <c r="AS13" i="5"/>
  <c r="BH54" i="5" l="1"/>
  <c r="BM54" i="5" s="1"/>
  <c r="AZ54" i="5"/>
  <c r="AY54" i="5"/>
  <c r="BB54" i="5"/>
  <c r="BA54" i="5"/>
  <c r="AM23" i="5"/>
  <c r="AQ17" i="5"/>
  <c r="AQ19" i="5" s="1"/>
  <c r="AW83" i="5"/>
  <c r="AV41" i="5"/>
  <c r="AR68" i="5"/>
  <c r="AW82" i="5"/>
  <c r="AW36" i="5" s="1"/>
  <c r="AX36" i="5" s="1"/>
  <c r="AV68" i="5"/>
  <c r="AR17" i="5"/>
  <c r="AR22" i="5" s="1"/>
  <c r="AR26" i="5" s="1"/>
  <c r="AM26" i="5"/>
  <c r="AM36" i="5"/>
  <c r="H5" i="38"/>
  <c r="G5" i="38"/>
  <c r="M5" i="38"/>
  <c r="E5" i="38"/>
  <c r="I5" i="38"/>
  <c r="J5" i="38"/>
  <c r="AS36" i="5"/>
  <c r="AS41" i="5"/>
  <c r="AX83" i="5" l="1"/>
  <c r="BC83" i="5" s="1"/>
  <c r="AW41" i="5"/>
  <c r="AX41" i="5" s="1"/>
  <c r="AR19" i="5"/>
  <c r="AX82" i="5"/>
  <c r="BC82" i="5" s="1"/>
  <c r="AW68" i="5"/>
  <c r="V6" i="11"/>
  <c r="BH82" i="5" l="1"/>
  <c r="BM82" i="5" s="1"/>
  <c r="AY82" i="5"/>
  <c r="BA82" i="5"/>
  <c r="BB82" i="5"/>
  <c r="AZ82" i="5"/>
  <c r="BH83" i="5"/>
  <c r="BM83" i="5" s="1"/>
  <c r="BA83" i="5"/>
  <c r="AY83" i="5"/>
  <c r="BB83" i="5"/>
  <c r="AZ83" i="5"/>
  <c r="AV43" i="5"/>
  <c r="AU43" i="5"/>
  <c r="AT43" i="5"/>
  <c r="AV38" i="5"/>
  <c r="AU38" i="5"/>
  <c r="AT38" i="5"/>
  <c r="AV9" i="5"/>
  <c r="AU9" i="5"/>
  <c r="AT9" i="5"/>
  <c r="L17" i="14"/>
  <c r="AY68" i="5" l="1"/>
  <c r="BA68" i="5"/>
  <c r="AZ68" i="5"/>
  <c r="BB68" i="5"/>
  <c r="O23" i="14"/>
  <c r="BC68" i="5" l="1"/>
  <c r="P23" i="14"/>
  <c r="AS54" i="5" l="1"/>
  <c r="AI151" i="5"/>
  <c r="AN151" i="5"/>
  <c r="AD152" i="5"/>
  <c r="AI152" i="5"/>
  <c r="AN152" i="5"/>
  <c r="AD154" i="5"/>
  <c r="AI154" i="5"/>
  <c r="AS148" i="5"/>
  <c r="AX141" i="5" s="1"/>
  <c r="AI148" i="5"/>
  <c r="AD148" i="5"/>
  <c r="AI141" i="5" s="1"/>
  <c r="AI142" i="5" s="1"/>
  <c r="AD147" i="5"/>
  <c r="AX145" i="5"/>
  <c r="BC145" i="5" s="1"/>
  <c r="BH145" i="5" s="1"/>
  <c r="AI145" i="5"/>
  <c r="AI144" i="5" s="1"/>
  <c r="AD144" i="5"/>
  <c r="AX143" i="5"/>
  <c r="BC143" i="5" s="1"/>
  <c r="BH143" i="5" s="1"/>
  <c r="BM143" i="5" s="1"/>
  <c r="AS142" i="5"/>
  <c r="AD142" i="5"/>
  <c r="AX142" i="5" l="1"/>
  <c r="BM145" i="5"/>
  <c r="AI146" i="5"/>
  <c r="AI147" i="5" s="1"/>
  <c r="AX147" i="5"/>
  <c r="AX148" i="5" s="1"/>
  <c r="BC141" i="5" s="1"/>
  <c r="BC142" i="5" l="1"/>
  <c r="BC147" i="5"/>
  <c r="BC148" i="5" l="1"/>
  <c r="BH141" i="5" s="1"/>
  <c r="BH142" i="5" s="1"/>
  <c r="AQ73" i="5" l="1"/>
  <c r="AQ6" i="5"/>
  <c r="AQ22" i="5"/>
  <c r="Y27" i="11" l="1"/>
  <c r="Z27" i="11" s="1"/>
  <c r="AA27" i="11" s="1"/>
  <c r="Y26" i="11"/>
  <c r="Z26" i="11" s="1"/>
  <c r="AA26" i="11" s="1"/>
  <c r="AB26" i="11" s="1"/>
  <c r="AC26" i="11" s="1"/>
  <c r="AD26" i="11" s="1"/>
  <c r="AE26" i="11" s="1"/>
  <c r="AF26" i="11" s="1"/>
  <c r="X6" i="11"/>
  <c r="W6" i="11"/>
  <c r="R6" i="11"/>
  <c r="S6" i="11"/>
  <c r="C2" i="14"/>
  <c r="M142" i="14" s="1"/>
  <c r="Y6" i="11" l="1"/>
  <c r="AB27" i="11"/>
  <c r="AA6" i="11"/>
  <c r="Z6" i="11"/>
  <c r="AC27" i="11" l="1"/>
  <c r="AB6" i="11"/>
  <c r="T6" i="11"/>
  <c r="AC6" i="11" l="1"/>
  <c r="AD27" i="11"/>
  <c r="U6" i="11"/>
  <c r="AD6" i="11" l="1"/>
  <c r="AE27" i="11"/>
  <c r="AF27" i="11" l="1"/>
  <c r="AE6" i="11"/>
  <c r="AS73" i="5"/>
  <c r="AP17" i="5"/>
  <c r="AP19" i="5" s="1"/>
  <c r="AO14" i="5"/>
  <c r="AO15" i="5" s="1"/>
  <c r="C23" i="38"/>
  <c r="I31" i="38"/>
  <c r="I32" i="38" s="1"/>
  <c r="J31" i="38" s="1"/>
  <c r="F29" i="38"/>
  <c r="E27" i="38"/>
  <c r="D25" i="38"/>
  <c r="BH105" i="5"/>
  <c r="BC105" i="5"/>
  <c r="AX105" i="5"/>
  <c r="AS105" i="5"/>
  <c r="AS90" i="5"/>
  <c r="D13" i="38"/>
  <c r="AX90" i="5" s="1"/>
  <c r="G14" i="38"/>
  <c r="BM105" i="5" s="1"/>
  <c r="N5" i="38"/>
  <c r="C34" i="38"/>
  <c r="C9" i="38"/>
  <c r="H11" i="38"/>
  <c r="I11" i="38" s="1"/>
  <c r="J11" i="38" s="1"/>
  <c r="K11" i="38" s="1"/>
  <c r="L11" i="38" s="1"/>
  <c r="M11" i="38" s="1"/>
  <c r="N11" i="38" s="1"/>
  <c r="O11" i="38" s="1"/>
  <c r="D10" i="38"/>
  <c r="E10" i="38" s="1"/>
  <c r="F10" i="38" s="1"/>
  <c r="G10" i="38" s="1"/>
  <c r="H10" i="38" s="1"/>
  <c r="I10" i="38" s="1"/>
  <c r="J10" i="38" s="1"/>
  <c r="B45" i="38"/>
  <c r="B46" i="38" s="1"/>
  <c r="D12" i="38"/>
  <c r="C12" i="38"/>
  <c r="D3" i="38"/>
  <c r="D34" i="38" s="1"/>
  <c r="AN138" i="5"/>
  <c r="L38" i="6"/>
  <c r="O19" i="6"/>
  <c r="P19" i="6" s="1"/>
  <c r="Q19" i="6" s="1"/>
  <c r="L59" i="7"/>
  <c r="L28" i="7"/>
  <c r="L23" i="6"/>
  <c r="L74" i="6" s="1"/>
  <c r="L24" i="6"/>
  <c r="L125" i="6"/>
  <c r="L77" i="6"/>
  <c r="L83" i="6"/>
  <c r="L98" i="6"/>
  <c r="L92" i="6"/>
  <c r="L95" i="6"/>
  <c r="L89" i="6"/>
  <c r="L80" i="6"/>
  <c r="L71" i="6"/>
  <c r="L123" i="6"/>
  <c r="L111" i="6" s="1"/>
  <c r="M111" i="6" s="1"/>
  <c r="N111" i="6" s="1"/>
  <c r="O111" i="6" s="1"/>
  <c r="P111" i="6" s="1"/>
  <c r="Q111" i="6" s="1"/>
  <c r="L68" i="6"/>
  <c r="L65" i="6"/>
  <c r="L62" i="6"/>
  <c r="L46" i="6"/>
  <c r="L43" i="6"/>
  <c r="AN58" i="5"/>
  <c r="AN55" i="5"/>
  <c r="AN23" i="5"/>
  <c r="AN24" i="5"/>
  <c r="AN6" i="5"/>
  <c r="K78" i="14" s="1"/>
  <c r="N155" i="14"/>
  <c r="O155" i="14" s="1"/>
  <c r="P155" i="14" s="1"/>
  <c r="AL73" i="5"/>
  <c r="AN73" i="5" s="1"/>
  <c r="AL14" i="5"/>
  <c r="AN133" i="5"/>
  <c r="AS133" i="5" s="1"/>
  <c r="AX133" i="5" s="1"/>
  <c r="BC133" i="5" s="1"/>
  <c r="BH133" i="5" s="1"/>
  <c r="BM133" i="5" s="1"/>
  <c r="AS156" i="5"/>
  <c r="AX156" i="5" s="1"/>
  <c r="AN158" i="5"/>
  <c r="AS157" i="5"/>
  <c r="AX157" i="5" s="1"/>
  <c r="BC157" i="5" s="1"/>
  <c r="BH157" i="5" s="1"/>
  <c r="BM157" i="5" s="1"/>
  <c r="AD137" i="5"/>
  <c r="AD138" i="5"/>
  <c r="AD150" i="5" s="1"/>
  <c r="K50" i="14"/>
  <c r="L50" i="14" s="1"/>
  <c r="M50" i="14" s="1"/>
  <c r="N50" i="14" s="1"/>
  <c r="O50" i="14" s="1"/>
  <c r="P50" i="14" s="1"/>
  <c r="K71" i="14"/>
  <c r="L71" i="14" s="1"/>
  <c r="M71" i="14" s="1"/>
  <c r="N71" i="14" s="1"/>
  <c r="O71" i="14" s="1"/>
  <c r="P71" i="14" s="1"/>
  <c r="AJ7" i="5"/>
  <c r="L155" i="6"/>
  <c r="AJ79" i="5"/>
  <c r="AN68" i="5"/>
  <c r="L149" i="6" s="1"/>
  <c r="AJ46" i="5"/>
  <c r="AN46" i="5" s="1"/>
  <c r="AH12" i="5"/>
  <c r="AH14" i="5" s="1"/>
  <c r="AH17" i="5" s="1"/>
  <c r="AH20" i="5" s="1"/>
  <c r="AN18" i="5"/>
  <c r="K123" i="6"/>
  <c r="O7" i="6"/>
  <c r="P7" i="6" s="1"/>
  <c r="Q7" i="6" s="1"/>
  <c r="AD202" i="5"/>
  <c r="AI191" i="5"/>
  <c r="AI193" i="5" s="1"/>
  <c r="AD191" i="5"/>
  <c r="AD193" i="5" s="1"/>
  <c r="AI138" i="5"/>
  <c r="AI150" i="5" s="1"/>
  <c r="AI153" i="5" s="1"/>
  <c r="AI135" i="5"/>
  <c r="AN135" i="5" s="1"/>
  <c r="K155" i="6"/>
  <c r="K156" i="6"/>
  <c r="K157" i="6" s="1"/>
  <c r="K158" i="6" s="1"/>
  <c r="L154" i="6"/>
  <c r="K125" i="6"/>
  <c r="K68" i="6"/>
  <c r="K71" i="6"/>
  <c r="K77" i="6"/>
  <c r="K80" i="6"/>
  <c r="K83" i="6"/>
  <c r="K86" i="6"/>
  <c r="K89" i="6"/>
  <c r="K92" i="6"/>
  <c r="K95" i="6"/>
  <c r="K98" i="6"/>
  <c r="K65" i="6"/>
  <c r="K62" i="6"/>
  <c r="K43" i="6"/>
  <c r="K23" i="6"/>
  <c r="K74" i="6" s="1"/>
  <c r="AJ14" i="5"/>
  <c r="AI79" i="5"/>
  <c r="AG12" i="5"/>
  <c r="AG14" i="5" s="1"/>
  <c r="AG17" i="5" s="1"/>
  <c r="AG22" i="5" s="1"/>
  <c r="AE12" i="5"/>
  <c r="AN21" i="5"/>
  <c r="AN20" i="5"/>
  <c r="AH23" i="5"/>
  <c r="AI21" i="5"/>
  <c r="AI18" i="5"/>
  <c r="AI13" i="5"/>
  <c r="J90" i="14" s="1"/>
  <c r="AG87" i="5"/>
  <c r="AH79" i="5"/>
  <c r="AG79" i="5"/>
  <c r="AH68" i="5"/>
  <c r="AH54" i="5"/>
  <c r="AI54" i="5" s="1"/>
  <c r="AH41" i="5"/>
  <c r="AH36" i="5"/>
  <c r="AH34" i="5"/>
  <c r="AG23" i="5"/>
  <c r="AI24" i="5"/>
  <c r="Z114" i="5"/>
  <c r="AA114" i="5"/>
  <c r="AF114" i="5" s="1"/>
  <c r="AB114" i="5"/>
  <c r="AG114" i="5" s="1"/>
  <c r="AG166" i="5" s="1"/>
  <c r="AC114" i="5"/>
  <c r="AC166" i="5" s="1"/>
  <c r="Y114" i="5"/>
  <c r="AD114" i="5" s="1"/>
  <c r="AI58" i="5"/>
  <c r="T79" i="5"/>
  <c r="H158" i="6" s="1"/>
  <c r="AB79" i="5"/>
  <c r="AG46" i="5"/>
  <c r="AF46" i="5"/>
  <c r="AC12" i="5"/>
  <c r="AC14" i="5" s="1"/>
  <c r="AC17" i="5" s="1"/>
  <c r="AC20" i="5" s="1"/>
  <c r="AC46" i="5" s="1"/>
  <c r="AB12" i="5"/>
  <c r="AB14" i="5" s="1"/>
  <c r="AB17" i="5" s="1"/>
  <c r="AB20" i="5" s="1"/>
  <c r="AA12" i="5"/>
  <c r="AA14" i="5" s="1"/>
  <c r="AA17" i="5" s="1"/>
  <c r="AA20" i="5" s="1"/>
  <c r="Z12" i="5"/>
  <c r="U79" i="5"/>
  <c r="S79" i="5"/>
  <c r="R79" i="5"/>
  <c r="Q79" i="5"/>
  <c r="P79" i="5"/>
  <c r="AD23" i="5"/>
  <c r="K79" i="5"/>
  <c r="N79" i="5"/>
  <c r="M79" i="5"/>
  <c r="F79" i="5"/>
  <c r="L79" i="5"/>
  <c r="G79" i="5"/>
  <c r="H79" i="5"/>
  <c r="I79" i="5" s="1"/>
  <c r="AO126" i="5"/>
  <c r="AP126" i="5"/>
  <c r="AQ126" i="5"/>
  <c r="AR126" i="5"/>
  <c r="AT126" i="5"/>
  <c r="AU126" i="5"/>
  <c r="AV126" i="5"/>
  <c r="AW126" i="5"/>
  <c r="AY126" i="5"/>
  <c r="AZ126" i="5"/>
  <c r="BA126" i="5"/>
  <c r="BB126" i="5"/>
  <c r="BD126" i="5"/>
  <c r="BE126" i="5"/>
  <c r="BF126" i="5"/>
  <c r="BG126" i="5"/>
  <c r="BI126" i="5"/>
  <c r="BJ126" i="5"/>
  <c r="BK126" i="5"/>
  <c r="BL126" i="5"/>
  <c r="H156" i="6"/>
  <c r="I155" i="6" s="1"/>
  <c r="G156" i="6"/>
  <c r="H155" i="6" s="1"/>
  <c r="O25" i="5"/>
  <c r="O232" i="5" s="1"/>
  <c r="AI6" i="5"/>
  <c r="J78" i="14" s="1"/>
  <c r="AD8" i="5"/>
  <c r="AD6" i="5"/>
  <c r="AD134" i="5" s="1"/>
  <c r="H73" i="5"/>
  <c r="I73" i="5" s="1"/>
  <c r="I58" i="5"/>
  <c r="M73" i="5"/>
  <c r="N73" i="5" s="1"/>
  <c r="N55" i="5"/>
  <c r="AF34" i="5"/>
  <c r="AF12" i="5"/>
  <c r="AF14" i="5" s="1"/>
  <c r="AF17" i="5" s="1"/>
  <c r="AF22" i="5" s="1"/>
  <c r="AD18" i="5"/>
  <c r="AD13" i="5"/>
  <c r="AI8" i="5"/>
  <c r="AI55" i="5"/>
  <c r="AG41" i="5"/>
  <c r="AF41" i="5"/>
  <c r="AE41" i="5"/>
  <c r="AI32" i="5"/>
  <c r="AG36" i="5"/>
  <c r="AF36" i="5"/>
  <c r="AE36" i="5"/>
  <c r="F166" i="5"/>
  <c r="E166" i="5"/>
  <c r="G166" i="5"/>
  <c r="H166" i="5"/>
  <c r="I166" i="5"/>
  <c r="N166" i="5"/>
  <c r="M166" i="5"/>
  <c r="L166" i="5"/>
  <c r="K166" i="5"/>
  <c r="S166" i="5"/>
  <c r="R166" i="5"/>
  <c r="Q166" i="5"/>
  <c r="P166" i="5"/>
  <c r="X166" i="5"/>
  <c r="W166" i="5"/>
  <c r="V166" i="5"/>
  <c r="U166" i="5"/>
  <c r="AD58" i="5"/>
  <c r="AD55" i="5"/>
  <c r="AD127" i="5" s="1"/>
  <c r="AD54" i="5"/>
  <c r="AC41" i="5"/>
  <c r="AB41" i="5"/>
  <c r="AA41" i="5"/>
  <c r="Z41" i="5"/>
  <c r="AC36" i="5"/>
  <c r="AB36" i="5"/>
  <c r="AA36" i="5"/>
  <c r="Z36" i="5"/>
  <c r="AE38" i="5" s="1"/>
  <c r="AD32" i="5"/>
  <c r="J59" i="6" s="1"/>
  <c r="AD24" i="5"/>
  <c r="AB25" i="5"/>
  <c r="AG68" i="5"/>
  <c r="AF68" i="5"/>
  <c r="AE68" i="5"/>
  <c r="AC68" i="5"/>
  <c r="AB68" i="5"/>
  <c r="AA68" i="5"/>
  <c r="Z68" i="5"/>
  <c r="M68" i="5"/>
  <c r="L68" i="5"/>
  <c r="K68" i="5"/>
  <c r="H68" i="5"/>
  <c r="G68" i="5"/>
  <c r="F68" i="5"/>
  <c r="I55" i="5"/>
  <c r="I54" i="5"/>
  <c r="E50" i="5"/>
  <c r="E69" i="5" s="1"/>
  <c r="J50" i="5"/>
  <c r="J69" i="5" s="1"/>
  <c r="T54" i="5"/>
  <c r="T70" i="5"/>
  <c r="S68" i="5"/>
  <c r="R68" i="5"/>
  <c r="Q68" i="5"/>
  <c r="P68" i="5"/>
  <c r="R58" i="5"/>
  <c r="T58" i="5" s="1"/>
  <c r="P55" i="5"/>
  <c r="T55" i="5" s="1"/>
  <c r="T127" i="5" s="1"/>
  <c r="AF78" i="5"/>
  <c r="AF79" i="5" s="1"/>
  <c r="AE78" i="5"/>
  <c r="AE79" i="5" s="1"/>
  <c r="AA79" i="5"/>
  <c r="AC78" i="5"/>
  <c r="AC79" i="5" s="1"/>
  <c r="Z78" i="5"/>
  <c r="Z79" i="5" s="1"/>
  <c r="O79" i="5"/>
  <c r="G158" i="6" s="1"/>
  <c r="I78" i="5"/>
  <c r="Y58" i="5"/>
  <c r="Y78" i="5"/>
  <c r="Y79" i="5" s="1"/>
  <c r="V79" i="5"/>
  <c r="X78" i="5"/>
  <c r="I156" i="6" s="1"/>
  <c r="J155" i="6" s="1"/>
  <c r="X68" i="5"/>
  <c r="W68" i="5"/>
  <c r="V68" i="5"/>
  <c r="U68" i="5"/>
  <c r="Y55" i="5"/>
  <c r="Y54" i="5"/>
  <c r="Y46" i="5"/>
  <c r="X41" i="5"/>
  <c r="W41" i="5"/>
  <c r="V41" i="5"/>
  <c r="U41" i="5"/>
  <c r="X36" i="5"/>
  <c r="X50" i="5" s="1"/>
  <c r="X69" i="5" s="1"/>
  <c r="W36" i="5"/>
  <c r="V36" i="5"/>
  <c r="U36" i="5"/>
  <c r="Y32" i="5"/>
  <c r="I59" i="6" s="1"/>
  <c r="Y24" i="5"/>
  <c r="Y23" i="5"/>
  <c r="Y22" i="5"/>
  <c r="Y25" i="5"/>
  <c r="Y232" i="5" s="1"/>
  <c r="Y8" i="5"/>
  <c r="Y7" i="5"/>
  <c r="Y6" i="5"/>
  <c r="I55" i="6" s="1"/>
  <c r="S41" i="5"/>
  <c r="R41" i="5"/>
  <c r="Q41" i="5"/>
  <c r="P41" i="5"/>
  <c r="S36" i="5"/>
  <c r="R36" i="5"/>
  <c r="Q36" i="5"/>
  <c r="Q50" i="5" s="1"/>
  <c r="P36" i="5"/>
  <c r="M41" i="5"/>
  <c r="L41" i="5"/>
  <c r="Q43" i="5" s="1"/>
  <c r="K41" i="5"/>
  <c r="M36" i="5"/>
  <c r="L36" i="5"/>
  <c r="K36" i="5"/>
  <c r="H41" i="5"/>
  <c r="G41" i="5"/>
  <c r="F41" i="5"/>
  <c r="H36" i="5"/>
  <c r="G36" i="5"/>
  <c r="F36" i="5"/>
  <c r="S25" i="5"/>
  <c r="S29" i="5" s="1"/>
  <c r="Q25" i="5"/>
  <c r="Q29" i="5" s="1"/>
  <c r="I28" i="5"/>
  <c r="I25" i="5"/>
  <c r="N87" i="5"/>
  <c r="M87" i="5"/>
  <c r="L87" i="5"/>
  <c r="K87" i="5"/>
  <c r="S87" i="5"/>
  <c r="R87" i="5"/>
  <c r="Q87" i="5"/>
  <c r="P87" i="5"/>
  <c r="X87" i="5"/>
  <c r="W87" i="5"/>
  <c r="V87" i="5"/>
  <c r="U87" i="5"/>
  <c r="AC87" i="5"/>
  <c r="AB87" i="5"/>
  <c r="AA87" i="5"/>
  <c r="Z87" i="5"/>
  <c r="AH87" i="5"/>
  <c r="AF87" i="5"/>
  <c r="AE87" i="5"/>
  <c r="J43" i="5"/>
  <c r="J38" i="5"/>
  <c r="AG34" i="5"/>
  <c r="X9" i="5"/>
  <c r="X33" i="5" s="1"/>
  <c r="W9" i="5"/>
  <c r="V9" i="5"/>
  <c r="U9" i="5"/>
  <c r="AB9" i="5"/>
  <c r="AB33" i="5" s="1"/>
  <c r="AA9" i="5"/>
  <c r="AA33" i="5" s="1"/>
  <c r="Z9" i="5"/>
  <c r="Z33" i="5" s="1"/>
  <c r="AH9" i="5"/>
  <c r="AH33" i="5" s="1"/>
  <c r="AG9" i="5"/>
  <c r="AG33" i="5" s="1"/>
  <c r="AF9" i="5"/>
  <c r="AF33" i="5" s="1"/>
  <c r="X29" i="5"/>
  <c r="W29" i="5"/>
  <c r="V29" i="5"/>
  <c r="V39" i="5" s="1"/>
  <c r="U29" i="5"/>
  <c r="R29" i="5"/>
  <c r="P29" i="5"/>
  <c r="N29" i="5"/>
  <c r="M29" i="5"/>
  <c r="L29" i="5"/>
  <c r="L39" i="5" s="1"/>
  <c r="K29" i="5"/>
  <c r="G29" i="5"/>
  <c r="H29" i="5"/>
  <c r="F29" i="5"/>
  <c r="F44" i="5" s="1"/>
  <c r="E29" i="5"/>
  <c r="AN109" i="5"/>
  <c r="H95" i="14"/>
  <c r="H92" i="14"/>
  <c r="H96" i="14" s="1"/>
  <c r="H102" i="14"/>
  <c r="I102" i="14" s="1"/>
  <c r="I100" i="14"/>
  <c r="J18" i="14"/>
  <c r="K18" i="14" s="1"/>
  <c r="J7" i="14"/>
  <c r="I93" i="14"/>
  <c r="J93" i="14" s="1"/>
  <c r="K93" i="14" s="1"/>
  <c r="L93" i="14" s="1"/>
  <c r="M93" i="14" s="1"/>
  <c r="N93" i="14" s="1"/>
  <c r="O93" i="14" s="1"/>
  <c r="P93" i="14" s="1"/>
  <c r="K105" i="14"/>
  <c r="K113" i="14" s="1"/>
  <c r="N105" i="14"/>
  <c r="N112" i="14" s="1"/>
  <c r="O105" i="14"/>
  <c r="O111" i="14" s="1"/>
  <c r="P105" i="14"/>
  <c r="P111" i="14" s="1"/>
  <c r="O41" i="5"/>
  <c r="F130" i="14"/>
  <c r="G130" i="14"/>
  <c r="H130" i="14"/>
  <c r="H131" i="14" s="1"/>
  <c r="P4" i="14"/>
  <c r="O4" i="14"/>
  <c r="N4" i="14"/>
  <c r="M4" i="14"/>
  <c r="L4" i="14"/>
  <c r="K4" i="14"/>
  <c r="J4" i="14"/>
  <c r="I4" i="14"/>
  <c r="H4" i="14"/>
  <c r="G4" i="14"/>
  <c r="F4" i="14"/>
  <c r="E4" i="14"/>
  <c r="D4" i="14"/>
  <c r="P14" i="14"/>
  <c r="O14" i="14"/>
  <c r="N14" i="14"/>
  <c r="M14" i="14"/>
  <c r="L14" i="14"/>
  <c r="K14" i="14"/>
  <c r="J14" i="14"/>
  <c r="I14" i="14"/>
  <c r="H14" i="14"/>
  <c r="G14" i="14"/>
  <c r="F14" i="14"/>
  <c r="E14" i="14"/>
  <c r="D14" i="14"/>
  <c r="P56" i="14"/>
  <c r="O56" i="14"/>
  <c r="N56" i="14"/>
  <c r="M56" i="14"/>
  <c r="L56" i="14"/>
  <c r="K56" i="14"/>
  <c r="J56" i="14"/>
  <c r="I56" i="14"/>
  <c r="H56" i="14"/>
  <c r="G56" i="14"/>
  <c r="F56" i="14"/>
  <c r="E56" i="14"/>
  <c r="D56" i="14"/>
  <c r="P80" i="14"/>
  <c r="O80" i="14"/>
  <c r="N80" i="14"/>
  <c r="M80" i="14"/>
  <c r="L80" i="14"/>
  <c r="K80" i="14"/>
  <c r="J80" i="14"/>
  <c r="I80" i="14"/>
  <c r="H80" i="14"/>
  <c r="G80" i="14"/>
  <c r="F80" i="14"/>
  <c r="E80" i="14"/>
  <c r="D80" i="14"/>
  <c r="P134" i="14"/>
  <c r="O134" i="14"/>
  <c r="N134" i="14"/>
  <c r="M134" i="14"/>
  <c r="L134" i="14"/>
  <c r="K134" i="14"/>
  <c r="J134" i="14"/>
  <c r="I134" i="14"/>
  <c r="H134" i="14"/>
  <c r="G134" i="14"/>
  <c r="F134" i="14"/>
  <c r="E134" i="14"/>
  <c r="D134" i="14"/>
  <c r="P166" i="14"/>
  <c r="O166" i="14"/>
  <c r="N166" i="14"/>
  <c r="M166" i="14"/>
  <c r="L166" i="14"/>
  <c r="K166" i="14"/>
  <c r="J166" i="14"/>
  <c r="I166" i="14"/>
  <c r="H166" i="14"/>
  <c r="G166" i="14"/>
  <c r="F166" i="14"/>
  <c r="E166" i="14"/>
  <c r="D166" i="14"/>
  <c r="P157" i="14"/>
  <c r="O157" i="14"/>
  <c r="N157" i="14"/>
  <c r="M157" i="14"/>
  <c r="L157" i="14"/>
  <c r="K157" i="14"/>
  <c r="J157" i="14"/>
  <c r="I157" i="14"/>
  <c r="H157" i="14"/>
  <c r="G157" i="14"/>
  <c r="F157" i="14"/>
  <c r="E157" i="14"/>
  <c r="D157" i="14"/>
  <c r="F160" i="6"/>
  <c r="F157" i="6"/>
  <c r="G155" i="6"/>
  <c r="G151" i="6"/>
  <c r="G149" i="6"/>
  <c r="F149" i="6"/>
  <c r="F153" i="6" s="1"/>
  <c r="G146" i="6"/>
  <c r="J144" i="6"/>
  <c r="I144" i="6"/>
  <c r="H142" i="6"/>
  <c r="G142" i="6"/>
  <c r="F142" i="6"/>
  <c r="H139" i="6"/>
  <c r="G139" i="6"/>
  <c r="J141" i="6"/>
  <c r="I141" i="6"/>
  <c r="J137" i="6"/>
  <c r="M129" i="6"/>
  <c r="N129" i="6" s="1"/>
  <c r="O129" i="6" s="1"/>
  <c r="P129" i="6" s="1"/>
  <c r="Q129" i="6" s="1"/>
  <c r="H136" i="6"/>
  <c r="G136" i="6"/>
  <c r="F136" i="6"/>
  <c r="H134" i="6"/>
  <c r="G134" i="6"/>
  <c r="F134" i="6"/>
  <c r="H132" i="6"/>
  <c r="G132" i="6"/>
  <c r="F132" i="6"/>
  <c r="J135" i="6"/>
  <c r="I135" i="6"/>
  <c r="I136" i="6" s="1"/>
  <c r="J133" i="6"/>
  <c r="I133" i="6"/>
  <c r="I134" i="6" s="1"/>
  <c r="J131" i="6"/>
  <c r="I131" i="6"/>
  <c r="I132" i="6" s="1"/>
  <c r="K122" i="6"/>
  <c r="J122" i="6"/>
  <c r="I122" i="6"/>
  <c r="H122" i="6"/>
  <c r="G122" i="6"/>
  <c r="J125" i="6"/>
  <c r="I125" i="6"/>
  <c r="H125" i="6"/>
  <c r="G125" i="6"/>
  <c r="F125" i="6"/>
  <c r="J123" i="6"/>
  <c r="J109" i="6" s="1"/>
  <c r="K109" i="6" s="1"/>
  <c r="L109" i="6" s="1"/>
  <c r="M109" i="6" s="1"/>
  <c r="N109" i="6" s="1"/>
  <c r="O109" i="6" s="1"/>
  <c r="P109" i="6" s="1"/>
  <c r="Q109" i="6" s="1"/>
  <c r="I123" i="6"/>
  <c r="I108" i="6" s="1"/>
  <c r="J108" i="6" s="1"/>
  <c r="K108" i="6" s="1"/>
  <c r="L108" i="6" s="1"/>
  <c r="M108" i="6" s="1"/>
  <c r="N108" i="6" s="1"/>
  <c r="O108" i="6" s="1"/>
  <c r="P108" i="6" s="1"/>
  <c r="Q108" i="6" s="1"/>
  <c r="H123" i="6"/>
  <c r="H107" i="6" s="1"/>
  <c r="I107" i="6" s="1"/>
  <c r="J107" i="6" s="1"/>
  <c r="K107" i="6" s="1"/>
  <c r="L107" i="6" s="1"/>
  <c r="M107" i="6" s="1"/>
  <c r="N107" i="6" s="1"/>
  <c r="O107" i="6" s="1"/>
  <c r="P107" i="6" s="1"/>
  <c r="Q107" i="6" s="1"/>
  <c r="G123" i="6"/>
  <c r="F123" i="6"/>
  <c r="F105" i="6" s="1"/>
  <c r="G105" i="6" s="1"/>
  <c r="H105" i="6" s="1"/>
  <c r="I105" i="6" s="1"/>
  <c r="H118" i="6"/>
  <c r="G118" i="6"/>
  <c r="F118" i="6"/>
  <c r="Q103" i="6"/>
  <c r="P103" i="6"/>
  <c r="O103" i="6"/>
  <c r="N103" i="6"/>
  <c r="M103" i="6"/>
  <c r="L103" i="6"/>
  <c r="K103" i="6"/>
  <c r="J103" i="6"/>
  <c r="I103" i="6"/>
  <c r="H103" i="6"/>
  <c r="G103" i="6"/>
  <c r="F103" i="6"/>
  <c r="E104" i="6"/>
  <c r="F104" i="6" s="1"/>
  <c r="G104" i="6" s="1"/>
  <c r="H104" i="6" s="1"/>
  <c r="I104" i="6" s="1"/>
  <c r="J104" i="6" s="1"/>
  <c r="K104" i="6" s="1"/>
  <c r="L104" i="6" s="1"/>
  <c r="M104" i="6" s="1"/>
  <c r="N104" i="6" s="1"/>
  <c r="E103" i="6"/>
  <c r="D103" i="6"/>
  <c r="J98" i="6"/>
  <c r="I98" i="6"/>
  <c r="H98" i="6"/>
  <c r="G98" i="6"/>
  <c r="F98" i="6"/>
  <c r="J95" i="6"/>
  <c r="I95" i="6"/>
  <c r="H95" i="6"/>
  <c r="G95" i="6"/>
  <c r="F95" i="6"/>
  <c r="J92" i="6"/>
  <c r="I92" i="6"/>
  <c r="H92" i="6"/>
  <c r="G92" i="6"/>
  <c r="F92" i="6"/>
  <c r="J89" i="6"/>
  <c r="I89" i="6"/>
  <c r="H89" i="6"/>
  <c r="G89" i="6"/>
  <c r="F89" i="6"/>
  <c r="J86" i="6"/>
  <c r="I86" i="6"/>
  <c r="H86" i="6"/>
  <c r="G86" i="6"/>
  <c r="F86" i="6"/>
  <c r="J83" i="6"/>
  <c r="I83" i="6"/>
  <c r="H83" i="6"/>
  <c r="G83" i="6"/>
  <c r="F83" i="6"/>
  <c r="J80" i="6"/>
  <c r="I80" i="6"/>
  <c r="H80" i="6"/>
  <c r="G80" i="6"/>
  <c r="F80" i="6"/>
  <c r="J77" i="6"/>
  <c r="I77" i="6"/>
  <c r="H77" i="6"/>
  <c r="G77" i="6"/>
  <c r="F77" i="6"/>
  <c r="H74" i="6"/>
  <c r="G74" i="6"/>
  <c r="F74" i="6"/>
  <c r="J71" i="6"/>
  <c r="I71" i="6"/>
  <c r="H71" i="6"/>
  <c r="G71" i="6"/>
  <c r="F71" i="6"/>
  <c r="P69" i="6"/>
  <c r="J68" i="6"/>
  <c r="I68" i="6"/>
  <c r="H68" i="6"/>
  <c r="G68" i="6"/>
  <c r="F68" i="6"/>
  <c r="J65" i="6"/>
  <c r="I65" i="6"/>
  <c r="H65" i="6"/>
  <c r="G65" i="6"/>
  <c r="J62" i="6"/>
  <c r="I62" i="6"/>
  <c r="H62" i="6"/>
  <c r="G62" i="6"/>
  <c r="H59" i="6"/>
  <c r="G59" i="6"/>
  <c r="F59" i="6"/>
  <c r="F58" i="6"/>
  <c r="H55" i="6"/>
  <c r="G55" i="6"/>
  <c r="F55" i="6"/>
  <c r="F48" i="6"/>
  <c r="O46" i="6"/>
  <c r="P46" i="6" s="1"/>
  <c r="Q46" i="6" s="1"/>
  <c r="J43" i="6"/>
  <c r="I43" i="6"/>
  <c r="I48" i="6" s="1"/>
  <c r="H43" i="6"/>
  <c r="H48" i="6" s="1"/>
  <c r="H50" i="6" s="1"/>
  <c r="G43" i="6"/>
  <c r="G48" i="6" s="1"/>
  <c r="O36" i="6"/>
  <c r="P36" i="6" s="1"/>
  <c r="Q36" i="6" s="1"/>
  <c r="H31" i="6"/>
  <c r="H40" i="6" s="1"/>
  <c r="G31" i="6"/>
  <c r="G40" i="6" s="1"/>
  <c r="F31" i="6"/>
  <c r="F40" i="6" s="1"/>
  <c r="J23" i="6"/>
  <c r="J74" i="6"/>
  <c r="I23" i="6"/>
  <c r="F14" i="6"/>
  <c r="F21" i="6" s="1"/>
  <c r="M12" i="6"/>
  <c r="O12" i="6" s="1"/>
  <c r="P12" i="6" s="1"/>
  <c r="Q12" i="6" s="1"/>
  <c r="E6" i="6"/>
  <c r="J124" i="5" s="1"/>
  <c r="J126" i="5" s="1"/>
  <c r="J23" i="14"/>
  <c r="J24" i="14" s="1"/>
  <c r="J94" i="14"/>
  <c r="J101" i="14" s="1"/>
  <c r="J47" i="14"/>
  <c r="K47" i="14" s="1"/>
  <c r="K52" i="14" s="1"/>
  <c r="AI88" i="5"/>
  <c r="AN88" i="5" s="1"/>
  <c r="AS88" i="5" s="1"/>
  <c r="AX88" i="5" s="1"/>
  <c r="BC88" i="5" s="1"/>
  <c r="BH88" i="5" s="1"/>
  <c r="BM88" i="5" s="1"/>
  <c r="AD91" i="5"/>
  <c r="I111" i="14"/>
  <c r="I112" i="14"/>
  <c r="I101" i="14"/>
  <c r="I99" i="14" s="1"/>
  <c r="AD102" i="5" s="1"/>
  <c r="AS220" i="5"/>
  <c r="AN226" i="5" s="1"/>
  <c r="AX220" i="5"/>
  <c r="AX229" i="5" s="1"/>
  <c r="BC220" i="5"/>
  <c r="BC229" i="5" s="1"/>
  <c r="AN220" i="5"/>
  <c r="AI226" i="5" s="1"/>
  <c r="AS219" i="5"/>
  <c r="AS225" i="5"/>
  <c r="I7" i="14"/>
  <c r="I44" i="14"/>
  <c r="N100" i="14"/>
  <c r="O100" i="14" s="1"/>
  <c r="L105" i="14"/>
  <c r="L106" i="14"/>
  <c r="H11" i="14"/>
  <c r="I66" i="14"/>
  <c r="I113" i="14"/>
  <c r="Y2" i="5"/>
  <c r="T91" i="5"/>
  <c r="Y91" i="5" s="1"/>
  <c r="AI86" i="5"/>
  <c r="AI87" i="5" s="1"/>
  <c r="I142" i="14"/>
  <c r="J52" i="14"/>
  <c r="BM104" i="5"/>
  <c r="O106" i="14"/>
  <c r="K106" i="14"/>
  <c r="AI104" i="5"/>
  <c r="AI103" i="5" s="1"/>
  <c r="AN104" i="5"/>
  <c r="AI220" i="5"/>
  <c r="AI221" i="5"/>
  <c r="AI222" i="5"/>
  <c r="AI219" i="5"/>
  <c r="AI223" i="5" s="1"/>
  <c r="AI206" i="5"/>
  <c r="AD208" i="5" s="1"/>
  <c r="AI194" i="5"/>
  <c r="O106" i="5"/>
  <c r="H47" i="14"/>
  <c r="H52" i="14"/>
  <c r="E34" i="14"/>
  <c r="E135" i="14"/>
  <c r="E136" i="14" s="1"/>
  <c r="K145" i="14"/>
  <c r="L145" i="14"/>
  <c r="M145" i="14" s="1"/>
  <c r="N145" i="14" s="1"/>
  <c r="O145" i="14" s="1"/>
  <c r="P145" i="14" s="1"/>
  <c r="BH211" i="5"/>
  <c r="BH194" i="5"/>
  <c r="BM229" i="5"/>
  <c r="BM211" i="5"/>
  <c r="BM194" i="5"/>
  <c r="O162" i="14"/>
  <c r="P162" i="14"/>
  <c r="BH86" i="5"/>
  <c r="BH87" i="5" s="1"/>
  <c r="BM86" i="5"/>
  <c r="BM87" i="5" s="1"/>
  <c r="BH104" i="5"/>
  <c r="G46" i="7"/>
  <c r="G62" i="7"/>
  <c r="J29" i="5"/>
  <c r="F8" i="7"/>
  <c r="F46" i="7"/>
  <c r="F62" i="7"/>
  <c r="H54" i="7"/>
  <c r="H62" i="7" s="1"/>
  <c r="H46" i="7"/>
  <c r="O127" i="5"/>
  <c r="Y117" i="5"/>
  <c r="T117" i="5"/>
  <c r="T119" i="5" s="1"/>
  <c r="T121" i="5" s="1"/>
  <c r="O117" i="5"/>
  <c r="O120" i="5" s="1"/>
  <c r="J117" i="5"/>
  <c r="J119" i="5" s="1"/>
  <c r="J121" i="5" s="1"/>
  <c r="T103" i="5"/>
  <c r="J160" i="14"/>
  <c r="J163" i="14" s="1"/>
  <c r="K160" i="14"/>
  <c r="AN8" i="5" s="1"/>
  <c r="AJ8" i="5" s="1"/>
  <c r="J220" i="5"/>
  <c r="J229" i="5" s="1"/>
  <c r="O220" i="5"/>
  <c r="J226" i="5" s="1"/>
  <c r="T220" i="5"/>
  <c r="O226" i="5" s="1"/>
  <c r="Y220" i="5"/>
  <c r="AD220" i="5"/>
  <c r="AN224" i="5"/>
  <c r="AN211" i="5"/>
  <c r="AN194" i="5"/>
  <c r="AS211" i="5"/>
  <c r="AS194" i="5"/>
  <c r="AX211" i="5"/>
  <c r="AX194" i="5"/>
  <c r="BC211" i="5"/>
  <c r="BC194" i="5"/>
  <c r="J162" i="14"/>
  <c r="K162" i="14"/>
  <c r="AN86" i="5"/>
  <c r="AN87" i="5" s="1"/>
  <c r="L162" i="14"/>
  <c r="AS86" i="5"/>
  <c r="AS87" i="5" s="1"/>
  <c r="AS104" i="5"/>
  <c r="M162" i="14"/>
  <c r="AX86" i="5"/>
  <c r="AX87" i="5" s="1"/>
  <c r="AX104" i="5"/>
  <c r="N162" i="14"/>
  <c r="BC86" i="5"/>
  <c r="BC87" i="5" s="1"/>
  <c r="BC104" i="5"/>
  <c r="AD203" i="5"/>
  <c r="AD204" i="5"/>
  <c r="T208" i="5"/>
  <c r="T203" i="5"/>
  <c r="T204" i="5"/>
  <c r="O203" i="5"/>
  <c r="J202" i="5"/>
  <c r="J203" i="5"/>
  <c r="J211" i="5" s="1"/>
  <c r="O202" i="5"/>
  <c r="O204" i="5"/>
  <c r="T202" i="5"/>
  <c r="AD206" i="5"/>
  <c r="AD221" i="5"/>
  <c r="Y221" i="5"/>
  <c r="J219" i="5"/>
  <c r="T219" i="5"/>
  <c r="T221" i="5"/>
  <c r="Y219" i="5"/>
  <c r="Y222" i="5"/>
  <c r="AD219" i="5"/>
  <c r="AD223" i="5" s="1"/>
  <c r="AD222" i="5"/>
  <c r="AI208" i="5"/>
  <c r="AN191" i="5"/>
  <c r="AS191" i="5" s="1"/>
  <c r="AN208" i="5"/>
  <c r="AS208" i="5" s="1"/>
  <c r="AX208" i="5" s="1"/>
  <c r="BC208" i="5" s="1"/>
  <c r="BH208" i="5" s="1"/>
  <c r="BM208" i="5" s="1"/>
  <c r="AN219" i="5"/>
  <c r="I46" i="7"/>
  <c r="H66" i="14"/>
  <c r="H44" i="14"/>
  <c r="Y183" i="5"/>
  <c r="E184" i="5"/>
  <c r="J184" i="5"/>
  <c r="O184" i="5"/>
  <c r="T184" i="5"/>
  <c r="Y185" i="5"/>
  <c r="D182" i="5"/>
  <c r="J183" i="5" s="1"/>
  <c r="T185" i="5"/>
  <c r="O185" i="5"/>
  <c r="E193" i="5"/>
  <c r="J185" i="5"/>
  <c r="T188" i="5"/>
  <c r="Y189" i="5"/>
  <c r="Y191" i="5"/>
  <c r="AD132" i="5"/>
  <c r="AD161" i="5" s="1"/>
  <c r="J55" i="7"/>
  <c r="J62" i="7" s="1"/>
  <c r="AD194" i="5"/>
  <c r="AD103" i="5"/>
  <c r="O166" i="5"/>
  <c r="H111" i="14"/>
  <c r="H113" i="14"/>
  <c r="H112" i="14"/>
  <c r="H99" i="14"/>
  <c r="Y102" i="5" s="1"/>
  <c r="P60" i="14"/>
  <c r="P62" i="14"/>
  <c r="O60" i="14"/>
  <c r="O62" i="14"/>
  <c r="N60" i="14"/>
  <c r="N62" i="14"/>
  <c r="M60" i="14"/>
  <c r="M62" i="14"/>
  <c r="L60" i="14"/>
  <c r="L62" i="14"/>
  <c r="K60" i="14"/>
  <c r="K62" i="14"/>
  <c r="J60" i="14"/>
  <c r="J62" i="14"/>
  <c r="I60" i="14"/>
  <c r="I62" i="14"/>
  <c r="H60" i="14"/>
  <c r="H62" i="14"/>
  <c r="I160" i="14"/>
  <c r="F28" i="14"/>
  <c r="G29" i="14" s="1"/>
  <c r="H29" i="14" s="1"/>
  <c r="I29" i="14" s="1"/>
  <c r="J29" i="14" s="1"/>
  <c r="K29" i="14" s="1"/>
  <c r="L29" i="14" s="1"/>
  <c r="M29" i="14" s="1"/>
  <c r="N29" i="14" s="1"/>
  <c r="O29" i="14" s="1"/>
  <c r="P29" i="14" s="1"/>
  <c r="F11" i="14"/>
  <c r="G12" i="14" s="1"/>
  <c r="H12" i="14" s="1"/>
  <c r="I12" i="14" s="1"/>
  <c r="J12" i="14" s="1"/>
  <c r="K12" i="14" s="1"/>
  <c r="L12" i="14" s="1"/>
  <c r="M12" i="14" s="1"/>
  <c r="N12" i="14" s="1"/>
  <c r="O12" i="14" s="1"/>
  <c r="P12" i="14" s="1"/>
  <c r="P7" i="7"/>
  <c r="Q7" i="7"/>
  <c r="P50" i="7"/>
  <c r="Q50" i="7"/>
  <c r="P54" i="7"/>
  <c r="Q54" i="7"/>
  <c r="J22" i="14"/>
  <c r="Y104" i="5"/>
  <c r="Y103" i="5" s="1"/>
  <c r="G10" i="14"/>
  <c r="I162" i="14"/>
  <c r="O36" i="5"/>
  <c r="O50" i="5" s="1"/>
  <c r="Y211" i="5"/>
  <c r="Y236" i="5"/>
  <c r="T236" i="5"/>
  <c r="O236" i="5"/>
  <c r="J236" i="5"/>
  <c r="E236" i="5"/>
  <c r="D236" i="5"/>
  <c r="Y235" i="5"/>
  <c r="T235" i="5"/>
  <c r="O235" i="5"/>
  <c r="J235" i="5"/>
  <c r="E235" i="5"/>
  <c r="E234" i="5"/>
  <c r="D234" i="5"/>
  <c r="E233" i="5"/>
  <c r="D233" i="5"/>
  <c r="J232" i="5"/>
  <c r="BN217" i="5"/>
  <c r="BN200" i="5"/>
  <c r="D193" i="5"/>
  <c r="E182" i="5"/>
  <c r="AN182" i="5"/>
  <c r="AI182" i="5"/>
  <c r="AD182" i="5"/>
  <c r="Y182" i="5"/>
  <c r="T182" i="5"/>
  <c r="O182" i="5"/>
  <c r="J182" i="5"/>
  <c r="BN178" i="5"/>
  <c r="J167" i="5"/>
  <c r="E167" i="5"/>
  <c r="D167" i="5"/>
  <c r="T166" i="5"/>
  <c r="J166" i="5"/>
  <c r="D166" i="5"/>
  <c r="J127" i="5"/>
  <c r="O61" i="5"/>
  <c r="G8" i="7" s="1"/>
  <c r="O63" i="5"/>
  <c r="J56" i="5"/>
  <c r="J111" i="5"/>
  <c r="T102" i="5"/>
  <c r="O102" i="5"/>
  <c r="J102" i="5"/>
  <c r="J99" i="5"/>
  <c r="Y86" i="5"/>
  <c r="Y87" i="5" s="1"/>
  <c r="T86" i="5"/>
  <c r="T87" i="5" s="1"/>
  <c r="O86" i="5"/>
  <c r="O87" i="5" s="1"/>
  <c r="O98" i="5" s="1"/>
  <c r="J86" i="5"/>
  <c r="J87" i="5" s="1"/>
  <c r="J98" i="5" s="1"/>
  <c r="O95" i="5"/>
  <c r="J79" i="5"/>
  <c r="F158" i="6" s="1"/>
  <c r="E79" i="5"/>
  <c r="H157" i="6"/>
  <c r="N50" i="7"/>
  <c r="O50" i="7"/>
  <c r="I54" i="7"/>
  <c r="I62" i="7" s="1"/>
  <c r="H142" i="14"/>
  <c r="H70" i="7"/>
  <c r="O54" i="7"/>
  <c r="H27" i="14"/>
  <c r="I27" i="14" s="1"/>
  <c r="D136" i="14"/>
  <c r="D139" i="14"/>
  <c r="G44" i="14"/>
  <c r="G60" i="14"/>
  <c r="G64" i="14"/>
  <c r="G62" i="14"/>
  <c r="G27" i="14"/>
  <c r="G66" i="14"/>
  <c r="F44" i="14"/>
  <c r="F60" i="14"/>
  <c r="F62" i="14"/>
  <c r="F66" i="14"/>
  <c r="E44" i="14"/>
  <c r="E60" i="14"/>
  <c r="E62" i="14"/>
  <c r="E66" i="14"/>
  <c r="D62" i="14"/>
  <c r="D60" i="14"/>
  <c r="E142" i="14"/>
  <c r="F142" i="14"/>
  <c r="G142" i="14"/>
  <c r="O7" i="7"/>
  <c r="Q4" i="11"/>
  <c r="R4" i="11" s="1"/>
  <c r="S4" i="11" s="1"/>
  <c r="T4" i="11" s="1"/>
  <c r="U4" i="11" s="1"/>
  <c r="V4" i="11" s="1"/>
  <c r="W4" i="11" s="1"/>
  <c r="X4" i="11" s="1"/>
  <c r="Y4" i="11" s="1"/>
  <c r="Z4" i="11" s="1"/>
  <c r="M54" i="7"/>
  <c r="N54" i="7"/>
  <c r="I70" i="7"/>
  <c r="G70" i="7"/>
  <c r="I47" i="14"/>
  <c r="I11" i="14"/>
  <c r="I10" i="14"/>
  <c r="H10" i="14"/>
  <c r="M105" i="14"/>
  <c r="M111" i="14" s="1"/>
  <c r="J31" i="6"/>
  <c r="J40" i="6" s="1"/>
  <c r="T167" i="5"/>
  <c r="AD236" i="5"/>
  <c r="AD235" i="5"/>
  <c r="J46" i="7"/>
  <c r="J70" i="7"/>
  <c r="H168" i="14"/>
  <c r="F170" i="14"/>
  <c r="M106" i="14"/>
  <c r="E170" i="14"/>
  <c r="G170" i="14"/>
  <c r="K161" i="14"/>
  <c r="H98" i="14"/>
  <c r="H103" i="14" s="1"/>
  <c r="H122" i="14" s="1"/>
  <c r="J142" i="14"/>
  <c r="E139" i="14"/>
  <c r="F135" i="14"/>
  <c r="F136" i="14"/>
  <c r="F139" i="14" s="1"/>
  <c r="H64" i="14"/>
  <c r="O111" i="5"/>
  <c r="G42" i="14"/>
  <c r="J66" i="14"/>
  <c r="I142" i="6"/>
  <c r="I95" i="14"/>
  <c r="H42" i="14"/>
  <c r="I64" i="14"/>
  <c r="I42" i="14"/>
  <c r="J64" i="14"/>
  <c r="K64" i="14"/>
  <c r="L64" i="14"/>
  <c r="M64" i="14"/>
  <c r="N64" i="14"/>
  <c r="O64" i="14"/>
  <c r="P64" i="14"/>
  <c r="G135" i="14"/>
  <c r="I139" i="6"/>
  <c r="I160" i="6" s="1"/>
  <c r="I7" i="11" s="1"/>
  <c r="I130" i="14"/>
  <c r="I129" i="14" s="1"/>
  <c r="J17" i="14"/>
  <c r="K22" i="14" s="1"/>
  <c r="J19" i="14"/>
  <c r="K23" i="14"/>
  <c r="K142" i="14"/>
  <c r="J139" i="6"/>
  <c r="J160" i="6" s="1"/>
  <c r="J7" i="11" s="1"/>
  <c r="J130" i="14"/>
  <c r="J131" i="14" s="1"/>
  <c r="K130" i="14"/>
  <c r="K131" i="14" s="1"/>
  <c r="Y167" i="5"/>
  <c r="J11" i="14"/>
  <c r="J10" i="14"/>
  <c r="J69" i="14"/>
  <c r="J73" i="14" s="1"/>
  <c r="L130" i="14"/>
  <c r="M130" i="14" s="1"/>
  <c r="N130" i="14" s="1"/>
  <c r="J42" i="14"/>
  <c r="M131" i="14"/>
  <c r="H69" i="14"/>
  <c r="H73" i="14"/>
  <c r="G157" i="6"/>
  <c r="H160" i="6"/>
  <c r="Y70" i="5"/>
  <c r="AD70" i="5"/>
  <c r="K17" i="14"/>
  <c r="L22" i="14" s="1"/>
  <c r="K24" i="14"/>
  <c r="J100" i="14"/>
  <c r="K94" i="14"/>
  <c r="L94" i="14" s="1"/>
  <c r="L6" i="14"/>
  <c r="O43" i="5"/>
  <c r="AK79" i="5"/>
  <c r="AM79" i="5"/>
  <c r="AI235" i="5"/>
  <c r="K46" i="7"/>
  <c r="AI236" i="5"/>
  <c r="K70" i="7"/>
  <c r="K139" i="6"/>
  <c r="K160" i="6" s="1"/>
  <c r="K7" i="11" s="1"/>
  <c r="M137" i="6"/>
  <c r="N137" i="6" s="1"/>
  <c r="O137" i="6" s="1"/>
  <c r="P137" i="6" s="1"/>
  <c r="Q137" i="6" s="1"/>
  <c r="K31" i="6"/>
  <c r="K40" i="6" s="1"/>
  <c r="K48" i="6"/>
  <c r="L122" i="6"/>
  <c r="AI94" i="5"/>
  <c r="AI91" i="5"/>
  <c r="AN91" i="5" s="1"/>
  <c r="AK14" i="5"/>
  <c r="AK15" i="5" s="1"/>
  <c r="AJ43" i="5"/>
  <c r="L145" i="6"/>
  <c r="L146" i="6" s="1"/>
  <c r="J130" i="6"/>
  <c r="J136" i="6" s="1"/>
  <c r="AL79" i="5"/>
  <c r="L44" i="14"/>
  <c r="L8" i="14"/>
  <c r="AN13" i="5"/>
  <c r="K90" i="14" s="1"/>
  <c r="J112" i="14"/>
  <c r="J44" i="14"/>
  <c r="J6" i="14"/>
  <c r="J8" i="14"/>
  <c r="AM14" i="5"/>
  <c r="J111" i="14"/>
  <c r="J113" i="14"/>
  <c r="AN32" i="5"/>
  <c r="K11" i="14"/>
  <c r="P100" i="14"/>
  <c r="J99" i="14"/>
  <c r="AI102" i="5" s="1"/>
  <c r="K10" i="14"/>
  <c r="K42" i="14"/>
  <c r="L95" i="14"/>
  <c r="L10" i="14"/>
  <c r="M11" i="14"/>
  <c r="M42" i="14" s="1"/>
  <c r="L42" i="14"/>
  <c r="M95" i="14"/>
  <c r="N95" i="14" s="1"/>
  <c r="O95" i="14" s="1"/>
  <c r="P95" i="14" s="1"/>
  <c r="N11" i="14"/>
  <c r="O11" i="14" s="1"/>
  <c r="M10" i="14"/>
  <c r="AN236" i="5"/>
  <c r="L46" i="7"/>
  <c r="L70" i="7"/>
  <c r="AN167" i="5"/>
  <c r="O16" i="6"/>
  <c r="O28" i="7" s="1"/>
  <c r="L156" i="6"/>
  <c r="M155" i="6" s="1"/>
  <c r="L139" i="6"/>
  <c r="L160" i="6" s="1"/>
  <c r="L7" i="11" s="1"/>
  <c r="AN70" i="5"/>
  <c r="AM70" i="5" s="1"/>
  <c r="M122" i="6"/>
  <c r="L31" i="6"/>
  <c r="L40" i="6" s="1"/>
  <c r="G160" i="6"/>
  <c r="K62" i="7"/>
  <c r="L62" i="7"/>
  <c r="AQ79" i="5"/>
  <c r="AP79" i="5"/>
  <c r="AO79" i="5"/>
  <c r="D26" i="38"/>
  <c r="E25" i="38" s="1"/>
  <c r="E28" i="38"/>
  <c r="F27" i="38" s="1"/>
  <c r="F28" i="38" s="1"/>
  <c r="G27" i="38" s="1"/>
  <c r="C24" i="38"/>
  <c r="D23" i="38" s="1"/>
  <c r="D33" i="38" s="1"/>
  <c r="AO43" i="5"/>
  <c r="O104" i="6"/>
  <c r="P104" i="6" s="1"/>
  <c r="Q104" i="6" s="1"/>
  <c r="AP50" i="5"/>
  <c r="K130" i="6" l="1"/>
  <c r="K134" i="6" s="1"/>
  <c r="J134" i="6"/>
  <c r="F50" i="6"/>
  <c r="F52" i="6" s="1"/>
  <c r="K142" i="6"/>
  <c r="AF50" i="5"/>
  <c r="F57" i="6"/>
  <c r="F96" i="6" s="1"/>
  <c r="F124" i="6"/>
  <c r="J132" i="6"/>
  <c r="K163" i="14"/>
  <c r="F141" i="14"/>
  <c r="J161" i="14"/>
  <c r="G153" i="6"/>
  <c r="N42" i="14"/>
  <c r="AN150" i="5"/>
  <c r="AN153" i="5" s="1"/>
  <c r="AS131" i="5"/>
  <c r="AM17" i="5"/>
  <c r="AM22" i="5" s="1"/>
  <c r="AM15" i="5"/>
  <c r="AJ17" i="5"/>
  <c r="AJ19" i="5" s="1"/>
  <c r="AJ15" i="5"/>
  <c r="AL17" i="5"/>
  <c r="AL22" i="5" s="1"/>
  <c r="AL15" i="5"/>
  <c r="K136" i="6"/>
  <c r="K50" i="6"/>
  <c r="L5" i="38"/>
  <c r="K5" i="38"/>
  <c r="P16" i="6"/>
  <c r="AO17" i="5"/>
  <c r="AS14" i="5"/>
  <c r="AP22" i="5"/>
  <c r="AP29" i="5" s="1"/>
  <c r="Y208" i="5"/>
  <c r="AU78" i="5"/>
  <c r="AW78" i="5" s="1"/>
  <c r="P20" i="11"/>
  <c r="AS229" i="5"/>
  <c r="AS231" i="5" s="1"/>
  <c r="J142" i="6"/>
  <c r="L153" i="6"/>
  <c r="L157" i="6"/>
  <c r="L158" i="6" s="1"/>
  <c r="H89" i="14"/>
  <c r="I114" i="14"/>
  <c r="J114" i="14"/>
  <c r="K69" i="14"/>
  <c r="K73" i="14" s="1"/>
  <c r="AH114" i="5"/>
  <c r="AH166" i="5" s="1"/>
  <c r="X44" i="5"/>
  <c r="F50" i="5"/>
  <c r="F51" i="5" s="1"/>
  <c r="F57" i="5" s="1"/>
  <c r="F60" i="5" s="1"/>
  <c r="F62" i="5" s="1"/>
  <c r="F64" i="5" s="1"/>
  <c r="M39" i="5"/>
  <c r="P43" i="5"/>
  <c r="F39" i="5"/>
  <c r="AH38" i="5"/>
  <c r="AP43" i="5"/>
  <c r="T226" i="5"/>
  <c r="E51" i="5"/>
  <c r="E57" i="5" s="1"/>
  <c r="E60" i="5" s="1"/>
  <c r="E62" i="5" s="1"/>
  <c r="E64" i="5" s="1"/>
  <c r="E65" i="5" s="1"/>
  <c r="V43" i="5"/>
  <c r="AA38" i="5"/>
  <c r="I68" i="5"/>
  <c r="AM50" i="5"/>
  <c r="AM69" i="5" s="1"/>
  <c r="AN41" i="5"/>
  <c r="AP38" i="5"/>
  <c r="H39" i="5"/>
  <c r="AA43" i="5"/>
  <c r="AM38" i="5"/>
  <c r="I157" i="6"/>
  <c r="I158" i="6" s="1"/>
  <c r="R44" i="5"/>
  <c r="X39" i="5"/>
  <c r="V50" i="5"/>
  <c r="V69" i="5" s="1"/>
  <c r="AN54" i="5"/>
  <c r="AB166" i="5"/>
  <c r="E183" i="5"/>
  <c r="E194" i="5" s="1"/>
  <c r="V38" i="5"/>
  <c r="O183" i="5"/>
  <c r="O194" i="5" s="1"/>
  <c r="J120" i="5"/>
  <c r="O119" i="5"/>
  <c r="O121" i="5" s="1"/>
  <c r="K55" i="6"/>
  <c r="AO38" i="5"/>
  <c r="D183" i="5"/>
  <c r="D194" i="5" s="1"/>
  <c r="Y36" i="5"/>
  <c r="I58" i="6" s="1"/>
  <c r="I87" i="6" s="1"/>
  <c r="T25" i="5"/>
  <c r="T29" i="5" s="1"/>
  <c r="H124" i="6" s="1"/>
  <c r="T183" i="5"/>
  <c r="O191" i="5" s="1"/>
  <c r="L43" i="5"/>
  <c r="P38" i="5"/>
  <c r="AO50" i="5"/>
  <c r="AO69" i="5" s="1"/>
  <c r="AK8" i="5"/>
  <c r="AK43" i="5"/>
  <c r="M44" i="5"/>
  <c r="N36" i="5"/>
  <c r="N39" i="5" s="1"/>
  <c r="S44" i="5"/>
  <c r="W44" i="5"/>
  <c r="AD68" i="5"/>
  <c r="J149" i="6" s="1"/>
  <c r="J153" i="6" s="1"/>
  <c r="V44" i="5"/>
  <c r="M43" i="5"/>
  <c r="K43" i="5"/>
  <c r="W39" i="5"/>
  <c r="AH43" i="5"/>
  <c r="AL8" i="5"/>
  <c r="G39" i="5"/>
  <c r="Q69" i="5"/>
  <c r="Y29" i="5"/>
  <c r="I56" i="6" s="1"/>
  <c r="I63" i="6" s="1"/>
  <c r="U38" i="5"/>
  <c r="X38" i="5"/>
  <c r="AL70" i="5"/>
  <c r="AI41" i="5"/>
  <c r="M50" i="5"/>
  <c r="M69" i="5" s="1"/>
  <c r="AC38" i="5"/>
  <c r="M38" i="5"/>
  <c r="K50" i="5"/>
  <c r="K69" i="5" s="1"/>
  <c r="Q38" i="5"/>
  <c r="AF43" i="5"/>
  <c r="AD36" i="5"/>
  <c r="F56" i="6"/>
  <c r="AC50" i="5"/>
  <c r="AC69" i="5" s="1"/>
  <c r="R43" i="5"/>
  <c r="AB38" i="5"/>
  <c r="AD41" i="5"/>
  <c r="AD111" i="5" s="1"/>
  <c r="AL43" i="5"/>
  <c r="G57" i="6"/>
  <c r="G81" i="6" s="1"/>
  <c r="O69" i="5"/>
  <c r="G119" i="6"/>
  <c r="AH46" i="5"/>
  <c r="AH50" i="5" s="1"/>
  <c r="AH69" i="5" s="1"/>
  <c r="AH22" i="5"/>
  <c r="AH25" i="5" s="1"/>
  <c r="AI36" i="5"/>
  <c r="K58" i="6" s="1"/>
  <c r="K87" i="6" s="1"/>
  <c r="Y41" i="5"/>
  <c r="AM43" i="5"/>
  <c r="AJ38" i="5"/>
  <c r="O99" i="5"/>
  <c r="J227" i="5"/>
  <c r="J228" i="5" s="1"/>
  <c r="O227" i="5" s="1"/>
  <c r="O228" i="5" s="1"/>
  <c r="H44" i="5"/>
  <c r="U39" i="5"/>
  <c r="AA166" i="5"/>
  <c r="AC22" i="5"/>
  <c r="AC25" i="5" s="1"/>
  <c r="AD25" i="5" s="1"/>
  <c r="AD232" i="5" s="1"/>
  <c r="S50" i="5"/>
  <c r="S69" i="5" s="1"/>
  <c r="AS132" i="5"/>
  <c r="L55" i="6"/>
  <c r="AN36" i="5"/>
  <c r="AN99" i="5" s="1"/>
  <c r="AK50" i="5"/>
  <c r="AK69" i="5" s="1"/>
  <c r="AL38" i="5"/>
  <c r="O38" i="5"/>
  <c r="T229" i="5"/>
  <c r="AB43" i="5"/>
  <c r="O29" i="5"/>
  <c r="G124" i="6" s="1"/>
  <c r="G58" i="6"/>
  <c r="G87" i="6" s="1"/>
  <c r="H78" i="14"/>
  <c r="N41" i="5"/>
  <c r="AK38" i="5"/>
  <c r="L38" i="5"/>
  <c r="S39" i="5"/>
  <c r="AG43" i="5"/>
  <c r="AC43" i="5"/>
  <c r="AP69" i="5"/>
  <c r="X51" i="5"/>
  <c r="X57" i="5" s="1"/>
  <c r="X59" i="5" s="1"/>
  <c r="J51" i="5"/>
  <c r="J57" i="5" s="1"/>
  <c r="J59" i="5" s="1"/>
  <c r="F138" i="6" s="1"/>
  <c r="AN12" i="5"/>
  <c r="X79" i="5"/>
  <c r="AI134" i="5"/>
  <c r="K44" i="5"/>
  <c r="P44" i="5"/>
  <c r="AG38" i="5"/>
  <c r="P50" i="5"/>
  <c r="Y9" i="5"/>
  <c r="Y33" i="5" s="1"/>
  <c r="W50" i="5"/>
  <c r="W69" i="5" s="1"/>
  <c r="AD78" i="5"/>
  <c r="AN134" i="5"/>
  <c r="AL50" i="5"/>
  <c r="AL69" i="5" s="1"/>
  <c r="F81" i="6"/>
  <c r="AN192" i="5"/>
  <c r="AN193" i="5" s="1"/>
  <c r="AS192" i="5" s="1"/>
  <c r="AS193" i="5" s="1"/>
  <c r="O211" i="5"/>
  <c r="P39" i="5"/>
  <c r="AS135" i="5"/>
  <c r="K39" i="5"/>
  <c r="F90" i="6"/>
  <c r="J39" i="5"/>
  <c r="AN229" i="5"/>
  <c r="AN231" i="5" s="1"/>
  <c r="Y166" i="5"/>
  <c r="J55" i="6"/>
  <c r="E39" i="5"/>
  <c r="AG50" i="5"/>
  <c r="AG69" i="5" s="1"/>
  <c r="E44" i="5"/>
  <c r="I78" i="14"/>
  <c r="E124" i="6"/>
  <c r="J208" i="5"/>
  <c r="J209" i="5" s="1"/>
  <c r="J210" i="5" s="1"/>
  <c r="T232" i="5"/>
  <c r="J44" i="5"/>
  <c r="AS158" i="5"/>
  <c r="Y226" i="5"/>
  <c r="Q44" i="5"/>
  <c r="Q39" i="5"/>
  <c r="Q51" i="5"/>
  <c r="Q57" i="5" s="1"/>
  <c r="Q59" i="5" s="1"/>
  <c r="AI233" i="5"/>
  <c r="H50" i="5"/>
  <c r="H69" i="5" s="1"/>
  <c r="W43" i="5"/>
  <c r="AN98" i="5"/>
  <c r="T211" i="5"/>
  <c r="Y229" i="5"/>
  <c r="L50" i="5"/>
  <c r="T41" i="5"/>
  <c r="I29" i="5"/>
  <c r="U43" i="5"/>
  <c r="X43" i="5"/>
  <c r="Y184" i="5"/>
  <c r="Y194" i="5" s="1"/>
  <c r="T120" i="5"/>
  <c r="BM231" i="5"/>
  <c r="BM25" i="5" s="1"/>
  <c r="AD226" i="5"/>
  <c r="AD233" i="5" s="1"/>
  <c r="AF69" i="5"/>
  <c r="AE43" i="5"/>
  <c r="AS103" i="5"/>
  <c r="AN233" i="5"/>
  <c r="BH220" i="5"/>
  <c r="BH229" i="5" s="1"/>
  <c r="BH231" i="5" s="1"/>
  <c r="BH25" i="5" s="1"/>
  <c r="AL114" i="5"/>
  <c r="AQ114" i="5" s="1"/>
  <c r="AV114" i="5" s="1"/>
  <c r="BA114" i="5" s="1"/>
  <c r="BF114" i="5" s="1"/>
  <c r="BK114" i="5" s="1"/>
  <c r="AI211" i="5"/>
  <c r="O229" i="5"/>
  <c r="O208" i="5"/>
  <c r="BC231" i="5"/>
  <c r="BC25" i="5" s="1"/>
  <c r="K111" i="14"/>
  <c r="K114" i="14" s="1"/>
  <c r="J32" i="38"/>
  <c r="K31" i="38" s="1"/>
  <c r="K32" i="38" s="1"/>
  <c r="L31" i="38" s="1"/>
  <c r="T98" i="5"/>
  <c r="D24" i="38"/>
  <c r="E23" i="38" s="1"/>
  <c r="E3" i="38"/>
  <c r="H14" i="38"/>
  <c r="I14" i="38" s="1"/>
  <c r="J14" i="38" s="1"/>
  <c r="K14" i="38" s="1"/>
  <c r="L14" i="38" s="1"/>
  <c r="M14" i="38" s="1"/>
  <c r="N14" i="38" s="1"/>
  <c r="C33" i="38"/>
  <c r="C15" i="38"/>
  <c r="AB22" i="5"/>
  <c r="AB29" i="5" s="1"/>
  <c r="AB44" i="5" s="1"/>
  <c r="AB46" i="5"/>
  <c r="AB50" i="5" s="1"/>
  <c r="AB69" i="5" s="1"/>
  <c r="AF166" i="5"/>
  <c r="AK114" i="5"/>
  <c r="AK166" i="5" s="1"/>
  <c r="AG25" i="5"/>
  <c r="J194" i="5"/>
  <c r="J231" i="5" s="1"/>
  <c r="AA46" i="5"/>
  <c r="AA50" i="5" s="1"/>
  <c r="AA69" i="5" s="1"/>
  <c r="AA22" i="5"/>
  <c r="AA29" i="5" s="1"/>
  <c r="AA44" i="5" s="1"/>
  <c r="AD166" i="5"/>
  <c r="AI114" i="5"/>
  <c r="AD211" i="5"/>
  <c r="AI229" i="5"/>
  <c r="F87" i="6"/>
  <c r="F99" i="6"/>
  <c r="AJ50" i="5"/>
  <c r="AJ69" i="5" s="1"/>
  <c r="AX231" i="5"/>
  <c r="N111" i="14"/>
  <c r="N113" i="14"/>
  <c r="BC103" i="5"/>
  <c r="K112" i="14"/>
  <c r="AN103" i="5"/>
  <c r="AX103" i="5"/>
  <c r="M113" i="14"/>
  <c r="M114" i="14" s="1"/>
  <c r="M112" i="14"/>
  <c r="P112" i="14"/>
  <c r="P113" i="14"/>
  <c r="P114" i="14" s="1"/>
  <c r="E141" i="14"/>
  <c r="Y98" i="5"/>
  <c r="D9" i="38"/>
  <c r="D15" i="38" s="1"/>
  <c r="BM103" i="5"/>
  <c r="O112" i="14"/>
  <c r="BH103" i="5"/>
  <c r="O113" i="14"/>
  <c r="O114" i="14" s="1"/>
  <c r="L111" i="14"/>
  <c r="AX91" i="5"/>
  <c r="L112" i="14"/>
  <c r="L113" i="14"/>
  <c r="I92" i="14"/>
  <c r="J95" i="14"/>
  <c r="J92" i="14" s="1"/>
  <c r="K59" i="6"/>
  <c r="G28" i="38"/>
  <c r="H27" i="38" s="1"/>
  <c r="H28" i="38" s="1"/>
  <c r="I27" i="38" s="1"/>
  <c r="N10" i="14"/>
  <c r="K100" i="14"/>
  <c r="L100" i="14" s="1"/>
  <c r="I52" i="14"/>
  <c r="J48" i="14"/>
  <c r="I69" i="14"/>
  <c r="I161" i="14"/>
  <c r="I163" i="14"/>
  <c r="J48" i="6"/>
  <c r="J50" i="6" s="1"/>
  <c r="AD167" i="5"/>
  <c r="AI167" i="5"/>
  <c r="Q69" i="6"/>
  <c r="J102" i="14"/>
  <c r="K102" i="14" s="1"/>
  <c r="L102" i="14" s="1"/>
  <c r="M102" i="14" s="1"/>
  <c r="N102" i="14" s="1"/>
  <c r="O102" i="14" s="1"/>
  <c r="P102" i="14" s="1"/>
  <c r="I98" i="14"/>
  <c r="AD12" i="5"/>
  <c r="Z14" i="5"/>
  <c r="AE114" i="5"/>
  <c r="Z166" i="5"/>
  <c r="AI68" i="5"/>
  <c r="AE14" i="5"/>
  <c r="AI12" i="5"/>
  <c r="AJ22" i="5"/>
  <c r="L59" i="6"/>
  <c r="AN14" i="5"/>
  <c r="AN15" i="5" s="1"/>
  <c r="AK17" i="5"/>
  <c r="K101" i="14"/>
  <c r="K92" i="14"/>
  <c r="N131" i="14"/>
  <c r="O130" i="14"/>
  <c r="F34" i="14"/>
  <c r="E58" i="14"/>
  <c r="E59" i="14" s="1"/>
  <c r="E61" i="14" s="1"/>
  <c r="E63" i="14" s="1"/>
  <c r="E65" i="14" s="1"/>
  <c r="E35" i="14"/>
  <c r="E37" i="14" s="1"/>
  <c r="E39" i="14" s="1"/>
  <c r="E41" i="14" s="1"/>
  <c r="E43" i="14" s="1"/>
  <c r="K7" i="14"/>
  <c r="K66" i="14"/>
  <c r="K19" i="14"/>
  <c r="L23" i="14"/>
  <c r="Y127" i="5"/>
  <c r="AK7" i="5"/>
  <c r="AJ34" i="5"/>
  <c r="AJ9" i="5"/>
  <c r="AJ33" i="5" s="1"/>
  <c r="BC156" i="5"/>
  <c r="AX158" i="5"/>
  <c r="O43" i="6"/>
  <c r="P43" i="6" s="1"/>
  <c r="Q43" i="6" s="1"/>
  <c r="L48" i="6"/>
  <c r="K10" i="38"/>
  <c r="C17" i="38"/>
  <c r="C16" i="38" s="1"/>
  <c r="C18" i="38" s="1"/>
  <c r="C20" i="38" s="1"/>
  <c r="F30" i="38"/>
  <c r="G29" i="38" s="1"/>
  <c r="H135" i="14"/>
  <c r="G136" i="14"/>
  <c r="G139" i="14" s="1"/>
  <c r="G141" i="14" s="1"/>
  <c r="T106" i="5"/>
  <c r="Y106" i="5" s="1"/>
  <c r="AD106" i="5" s="1"/>
  <c r="O110" i="5"/>
  <c r="E33" i="38"/>
  <c r="BC48" i="5" s="1"/>
  <c r="E24" i="38"/>
  <c r="F23" i="38" s="1"/>
  <c r="P11" i="14"/>
  <c r="O10" i="14"/>
  <c r="O42" i="14"/>
  <c r="AX191" i="5"/>
  <c r="AS233" i="5"/>
  <c r="L101" i="14"/>
  <c r="M94" i="14"/>
  <c r="L92" i="14"/>
  <c r="AD86" i="5"/>
  <c r="AD87" i="5" s="1"/>
  <c r="AD98" i="5" s="1"/>
  <c r="I131" i="14"/>
  <c r="Y120" i="5"/>
  <c r="Y119" i="5"/>
  <c r="Y121" i="5" s="1"/>
  <c r="AD115" i="5"/>
  <c r="K38" i="5"/>
  <c r="I36" i="5"/>
  <c r="G50" i="5"/>
  <c r="G44" i="5"/>
  <c r="R50" i="5"/>
  <c r="R51" i="5" s="1"/>
  <c r="R57" i="5" s="1"/>
  <c r="R59" i="5" s="1"/>
  <c r="W38" i="5"/>
  <c r="T36" i="5"/>
  <c r="R39" i="5"/>
  <c r="R38" i="5"/>
  <c r="AD229" i="5"/>
  <c r="N48" i="14"/>
  <c r="O48" i="14" s="1"/>
  <c r="P48" i="14" s="1"/>
  <c r="L47" i="14"/>
  <c r="Z43" i="5"/>
  <c r="AI127" i="5"/>
  <c r="E26" i="38"/>
  <c r="F25" i="38" s="1"/>
  <c r="L50" i="6"/>
  <c r="L131" i="14"/>
  <c r="AD95" i="5"/>
  <c r="Y68" i="5"/>
  <c r="T68" i="5"/>
  <c r="AF38" i="5"/>
  <c r="AK70" i="5"/>
  <c r="H114" i="14"/>
  <c r="AI98" i="5"/>
  <c r="I74" i="6"/>
  <c r="I31" i="6"/>
  <c r="I40" i="6" s="1"/>
  <c r="I50" i="6" s="1"/>
  <c r="I41" i="5"/>
  <c r="U50" i="5"/>
  <c r="O167" i="5"/>
  <c r="L44" i="5"/>
  <c r="U44" i="5"/>
  <c r="Z38" i="5"/>
  <c r="G50" i="6"/>
  <c r="E13" i="38"/>
  <c r="AU79" i="5"/>
  <c r="AW79" i="5" s="1"/>
  <c r="J105" i="6"/>
  <c r="G106" i="6"/>
  <c r="H106" i="6" s="1"/>
  <c r="I106" i="6" s="1"/>
  <c r="J106" i="6" s="1"/>
  <c r="K106" i="6" s="1"/>
  <c r="L106" i="6" s="1"/>
  <c r="M106" i="6" s="1"/>
  <c r="N106" i="6" s="1"/>
  <c r="O106" i="6" s="1"/>
  <c r="P106" i="6" s="1"/>
  <c r="Q106" i="6" s="1"/>
  <c r="AI131" i="5"/>
  <c r="AI132" i="5" s="1"/>
  <c r="AN131" i="5"/>
  <c r="AN132" i="5" s="1"/>
  <c r="J156" i="6"/>
  <c r="J157" i="6" s="1"/>
  <c r="J158" i="6" s="1"/>
  <c r="K110" i="6"/>
  <c r="L110" i="6" s="1"/>
  <c r="M110" i="6" s="1"/>
  <c r="N110" i="6" s="1"/>
  <c r="O110" i="6" s="1"/>
  <c r="P110" i="6" s="1"/>
  <c r="Q110" i="6" s="1"/>
  <c r="K132" i="6" l="1"/>
  <c r="L130" i="6"/>
  <c r="F75" i="6"/>
  <c r="F93" i="6"/>
  <c r="F78" i="6"/>
  <c r="F84" i="6"/>
  <c r="F69" i="5"/>
  <c r="AL19" i="5"/>
  <c r="X60" i="5"/>
  <c r="X62" i="5" s="1"/>
  <c r="X64" i="5" s="1"/>
  <c r="X66" i="5" s="1"/>
  <c r="AX78" i="5"/>
  <c r="AY78" i="5"/>
  <c r="AY25" i="5"/>
  <c r="BB25" i="5"/>
  <c r="BA25" i="5"/>
  <c r="AZ25" i="5"/>
  <c r="L32" i="38"/>
  <c r="M31" i="38" s="1"/>
  <c r="M32" i="38" s="1"/>
  <c r="N31" i="38" s="1"/>
  <c r="N32" i="38" s="1"/>
  <c r="O31" i="38" s="1"/>
  <c r="T227" i="5"/>
  <c r="T228" i="5" s="1"/>
  <c r="Y227" i="5" s="1"/>
  <c r="Y228" i="5" s="1"/>
  <c r="AD227" i="5" s="1"/>
  <c r="AD228" i="5" s="1"/>
  <c r="AI227" i="5" s="1"/>
  <c r="AI228" i="5" s="1"/>
  <c r="AN227" i="5" s="1"/>
  <c r="AN228" i="5" s="1"/>
  <c r="AS227" i="5" s="1"/>
  <c r="AS228" i="5" s="1"/>
  <c r="AX227" i="5" s="1"/>
  <c r="AX228" i="5" s="1"/>
  <c r="BC227" i="5" s="1"/>
  <c r="BC228" i="5" s="1"/>
  <c r="BH227" i="5" s="1"/>
  <c r="BH228" i="5" s="1"/>
  <c r="BM227" i="5" s="1"/>
  <c r="BM228" i="5" s="1"/>
  <c r="AM19" i="5"/>
  <c r="AL29" i="5"/>
  <c r="AL51" i="5" s="1"/>
  <c r="AL57" i="5" s="1"/>
  <c r="H56" i="6"/>
  <c r="H66" i="6" s="1"/>
  <c r="T44" i="5"/>
  <c r="Y233" i="5"/>
  <c r="AN159" i="5"/>
  <c r="AN154" i="5" s="1"/>
  <c r="AS17" i="5"/>
  <c r="AS19" i="5" s="1"/>
  <c r="Q16" i="6"/>
  <c r="Q28" i="7" s="1"/>
  <c r="P28" i="7"/>
  <c r="I124" i="6"/>
  <c r="AN50" i="5"/>
  <c r="L57" i="6" s="1"/>
  <c r="L75" i="6" s="1"/>
  <c r="AK22" i="5"/>
  <c r="AK19" i="5"/>
  <c r="S51" i="5"/>
  <c r="S57" i="5" s="1"/>
  <c r="S60" i="5" s="1"/>
  <c r="S62" i="5" s="1"/>
  <c r="S64" i="5" s="1"/>
  <c r="S65" i="5" s="1"/>
  <c r="AO22" i="5"/>
  <c r="AO29" i="5" s="1"/>
  <c r="AO39" i="5" s="1"/>
  <c r="AO19" i="5"/>
  <c r="AN38" i="5"/>
  <c r="AM114" i="5"/>
  <c r="AM166" i="5" s="1"/>
  <c r="AX232" i="5"/>
  <c r="J191" i="5"/>
  <c r="J233" i="5" s="1"/>
  <c r="T191" i="5"/>
  <c r="T233" i="5" s="1"/>
  <c r="L58" i="6"/>
  <c r="L87" i="6" s="1"/>
  <c r="AI43" i="5"/>
  <c r="Q60" i="5"/>
  <c r="Q62" i="5" s="1"/>
  <c r="Q64" i="5" s="1"/>
  <c r="Q65" i="5" s="1"/>
  <c r="AI99" i="5"/>
  <c r="AI92" i="5" s="1"/>
  <c r="Y39" i="5"/>
  <c r="Y99" i="5"/>
  <c r="Y50" i="5"/>
  <c r="Y69" i="5" s="1"/>
  <c r="AN111" i="5"/>
  <c r="S38" i="5"/>
  <c r="E59" i="5"/>
  <c r="I66" i="6"/>
  <c r="G99" i="6"/>
  <c r="G90" i="6"/>
  <c r="AS232" i="5"/>
  <c r="Y44" i="5"/>
  <c r="I72" i="6"/>
  <c r="K51" i="5"/>
  <c r="K57" i="5" s="1"/>
  <c r="K59" i="5" s="1"/>
  <c r="V51" i="5"/>
  <c r="V57" i="5" s="1"/>
  <c r="Y43" i="5"/>
  <c r="G75" i="6"/>
  <c r="I69" i="6"/>
  <c r="H51" i="5"/>
  <c r="H57" i="5" s="1"/>
  <c r="H59" i="5" s="1"/>
  <c r="AD43" i="5"/>
  <c r="AN43" i="5"/>
  <c r="Y111" i="5"/>
  <c r="AM8" i="5"/>
  <c r="T194" i="5"/>
  <c r="T231" i="5" s="1"/>
  <c r="M149" i="6"/>
  <c r="AI38" i="5"/>
  <c r="AA51" i="5"/>
  <c r="AA57" i="5" s="1"/>
  <c r="AA60" i="5" s="1"/>
  <c r="AA62" i="5" s="1"/>
  <c r="AA64" i="5" s="1"/>
  <c r="AA71" i="5" s="1"/>
  <c r="AP114" i="5"/>
  <c r="AU114" i="5" s="1"/>
  <c r="AZ114" i="5" s="1"/>
  <c r="BE114" i="5" s="1"/>
  <c r="BJ114" i="5" s="1"/>
  <c r="AD99" i="5"/>
  <c r="O231" i="5"/>
  <c r="W51" i="5"/>
  <c r="W57" i="5" s="1"/>
  <c r="J58" i="6"/>
  <c r="J87" i="6" s="1"/>
  <c r="AD38" i="5"/>
  <c r="F69" i="6"/>
  <c r="F72" i="6"/>
  <c r="G78" i="6"/>
  <c r="G84" i="6"/>
  <c r="J60" i="5"/>
  <c r="J62" i="5" s="1"/>
  <c r="J64" i="5" s="1"/>
  <c r="J65" i="5" s="1"/>
  <c r="AI111" i="5"/>
  <c r="AH29" i="5"/>
  <c r="AD79" i="5"/>
  <c r="M51" i="5"/>
  <c r="M57" i="5" s="1"/>
  <c r="G96" i="6"/>
  <c r="G93" i="6"/>
  <c r="AI231" i="5"/>
  <c r="AS161" i="5"/>
  <c r="AX135" i="5"/>
  <c r="BC135" i="5" s="1"/>
  <c r="BH135" i="5" s="1"/>
  <c r="BM135" i="5" s="1"/>
  <c r="P69" i="5"/>
  <c r="P51" i="5"/>
  <c r="P57" i="5" s="1"/>
  <c r="N44" i="5"/>
  <c r="S43" i="5"/>
  <c r="AA39" i="5"/>
  <c r="O209" i="5"/>
  <c r="O210" i="5" s="1"/>
  <c r="T209" i="5" s="1"/>
  <c r="T210" i="5" s="1"/>
  <c r="Y209" i="5" s="1"/>
  <c r="Y210" i="5" s="1"/>
  <c r="AD209" i="5" s="1"/>
  <c r="AD210" i="5" s="1"/>
  <c r="AI209" i="5" s="1"/>
  <c r="N50" i="5"/>
  <c r="O39" i="5"/>
  <c r="G56" i="6"/>
  <c r="O51" i="5"/>
  <c r="O57" i="5" s="1"/>
  <c r="O44" i="5"/>
  <c r="Y231" i="5"/>
  <c r="AB51" i="5"/>
  <c r="AB57" i="5" s="1"/>
  <c r="AB60" i="5" s="1"/>
  <c r="AB62" i="5" s="1"/>
  <c r="AB64" i="5" s="1"/>
  <c r="AB71" i="5" s="1"/>
  <c r="O233" i="5"/>
  <c r="AP39" i="5"/>
  <c r="AP44" i="5"/>
  <c r="AP51" i="5"/>
  <c r="AP57" i="5" s="1"/>
  <c r="AP60" i="5" s="1"/>
  <c r="AP62" i="5" s="1"/>
  <c r="AP64" i="5" s="1"/>
  <c r="AB39" i="5"/>
  <c r="T43" i="5"/>
  <c r="T111" i="5"/>
  <c r="L51" i="5"/>
  <c r="L57" i="5" s="1"/>
  <c r="L69" i="5"/>
  <c r="Y110" i="5"/>
  <c r="AL166" i="5"/>
  <c r="O14" i="38"/>
  <c r="O12" i="38" s="1"/>
  <c r="N12" i="38"/>
  <c r="E34" i="38"/>
  <c r="F3" i="38"/>
  <c r="F59" i="5"/>
  <c r="AD231" i="5"/>
  <c r="AN114" i="5"/>
  <c r="AI166" i="5"/>
  <c r="AG29" i="5"/>
  <c r="M124" i="6" s="1"/>
  <c r="X71" i="5"/>
  <c r="X72" i="5" s="1"/>
  <c r="F71" i="5"/>
  <c r="F74" i="5" s="1"/>
  <c r="F76" i="5" s="1"/>
  <c r="F66" i="5"/>
  <c r="E66" i="5"/>
  <c r="R60" i="5"/>
  <c r="R62" i="5" s="1"/>
  <c r="R64" i="5" s="1"/>
  <c r="N114" i="14"/>
  <c r="E4" i="38"/>
  <c r="BC27" i="5" s="1"/>
  <c r="BB27" i="5" s="1"/>
  <c r="AS98" i="5"/>
  <c r="L114" i="14"/>
  <c r="AM51" i="5"/>
  <c r="AM57" i="5" s="1"/>
  <c r="AM44" i="5"/>
  <c r="AM39" i="5"/>
  <c r="F65" i="5"/>
  <c r="U69" i="5"/>
  <c r="U51" i="5"/>
  <c r="U57" i="5" s="1"/>
  <c r="L52" i="14"/>
  <c r="M47" i="14"/>
  <c r="L69" i="14"/>
  <c r="L73" i="14" s="1"/>
  <c r="H58" i="6"/>
  <c r="H87" i="6" s="1"/>
  <c r="Y38" i="5"/>
  <c r="T38" i="5"/>
  <c r="T50" i="5"/>
  <c r="T69" i="5" s="1"/>
  <c r="T39" i="5"/>
  <c r="T99" i="5"/>
  <c r="G51" i="5"/>
  <c r="G57" i="5" s="1"/>
  <c r="G69" i="5"/>
  <c r="F26" i="38"/>
  <c r="G25" i="38" s="1"/>
  <c r="G26" i="38" s="1"/>
  <c r="H25" i="38" s="1"/>
  <c r="H26" i="38" s="1"/>
  <c r="I25" i="38" s="1"/>
  <c r="L142" i="14"/>
  <c r="L24" i="14"/>
  <c r="L19" i="14"/>
  <c r="L66" i="14"/>
  <c r="G34" i="14"/>
  <c r="F58" i="14"/>
  <c r="F59" i="14" s="1"/>
  <c r="F61" i="14" s="1"/>
  <c r="F63" i="14" s="1"/>
  <c r="F65" i="14" s="1"/>
  <c r="F35" i="14"/>
  <c r="F37" i="14" s="1"/>
  <c r="F39" i="14" s="1"/>
  <c r="F41" i="14" s="1"/>
  <c r="F43" i="14" s="1"/>
  <c r="K96" i="14"/>
  <c r="AL44" i="5"/>
  <c r="AI14" i="5"/>
  <c r="AE17" i="5"/>
  <c r="AE166" i="5"/>
  <c r="AJ114" i="5"/>
  <c r="I28" i="38"/>
  <c r="J27" i="38" s="1"/>
  <c r="J28" i="38" s="1"/>
  <c r="K27" i="38" s="1"/>
  <c r="K28" i="38" s="1"/>
  <c r="L27" i="38" s="1"/>
  <c r="O32" i="38"/>
  <c r="J96" i="14"/>
  <c r="BC90" i="5"/>
  <c r="E12" i="38"/>
  <c r="F13" i="38"/>
  <c r="E71" i="5"/>
  <c r="E74" i="5" s="1"/>
  <c r="N43" i="5"/>
  <c r="I44" i="5"/>
  <c r="H149" i="6"/>
  <c r="H153" i="6" s="1"/>
  <c r="I50" i="5"/>
  <c r="N38" i="5"/>
  <c r="I39" i="5"/>
  <c r="AX192" i="5"/>
  <c r="AX193" i="5" s="1"/>
  <c r="R69" i="5"/>
  <c r="I135" i="14"/>
  <c r="H136" i="14"/>
  <c r="H139" i="14" s="1"/>
  <c r="H141" i="14" s="1"/>
  <c r="BC91" i="5"/>
  <c r="AX98" i="5"/>
  <c r="AC29" i="5"/>
  <c r="AN17" i="5"/>
  <c r="AN19" i="5" s="1"/>
  <c r="K149" i="6"/>
  <c r="K153" i="6" s="1"/>
  <c r="K16" i="7"/>
  <c r="Z17" i="5"/>
  <c r="AD14" i="5"/>
  <c r="J98" i="14"/>
  <c r="J89" i="14" s="1"/>
  <c r="I96" i="14"/>
  <c r="I89" i="14"/>
  <c r="I149" i="6"/>
  <c r="I153" i="6" s="1"/>
  <c r="L96" i="14"/>
  <c r="P42" i="14"/>
  <c r="P10" i="14"/>
  <c r="AL7" i="5"/>
  <c r="AK34" i="5"/>
  <c r="AK9" i="5"/>
  <c r="AK33" i="5" s="1"/>
  <c r="O131" i="14"/>
  <c r="P130" i="14"/>
  <c r="P131" i="14" s="1"/>
  <c r="AK29" i="5"/>
  <c r="AJ29" i="5"/>
  <c r="AN22" i="5"/>
  <c r="I73" i="14"/>
  <c r="I144" i="14"/>
  <c r="K98" i="14"/>
  <c r="K99" i="14"/>
  <c r="AN102" i="5" s="1"/>
  <c r="D17" i="38"/>
  <c r="D16" i="38" s="1"/>
  <c r="D18" i="38" s="1"/>
  <c r="D20" i="38" s="1"/>
  <c r="N94" i="14"/>
  <c r="M92" i="14"/>
  <c r="M101" i="14"/>
  <c r="AX233" i="5"/>
  <c r="N29" i="6" s="1"/>
  <c r="BC191" i="5"/>
  <c r="F33" i="38"/>
  <c r="BH48" i="5" s="1"/>
  <c r="AI106" i="5"/>
  <c r="AD110" i="5"/>
  <c r="G30" i="38"/>
  <c r="H29" i="38" s="1"/>
  <c r="L10" i="38"/>
  <c r="BH156" i="5"/>
  <c r="BC158" i="5"/>
  <c r="K44" i="14"/>
  <c r="K8" i="14"/>
  <c r="K6" i="14"/>
  <c r="O5" i="38"/>
  <c r="I122" i="14"/>
  <c r="I103" i="14"/>
  <c r="F24" i="38"/>
  <c r="G23" i="38" s="1"/>
  <c r="T110" i="5"/>
  <c r="I118" i="6"/>
  <c r="C37" i="38"/>
  <c r="S71" i="5"/>
  <c r="AN136" i="5"/>
  <c r="AN137" i="5" s="1"/>
  <c r="AN161" i="5"/>
  <c r="K105" i="6"/>
  <c r="J118" i="6"/>
  <c r="AI161" i="5"/>
  <c r="AI136" i="5"/>
  <c r="AI137" i="5" s="1"/>
  <c r="AD151" i="5" s="1"/>
  <c r="AD153" i="5" s="1"/>
  <c r="L132" i="6" l="1"/>
  <c r="M132" i="6" s="1"/>
  <c r="N132" i="6" s="1"/>
  <c r="O132" i="6" s="1"/>
  <c r="P132" i="6" s="1"/>
  <c r="Q132" i="6" s="1"/>
  <c r="L142" i="6"/>
  <c r="L134" i="6"/>
  <c r="M134" i="6" s="1"/>
  <c r="M130" i="6"/>
  <c r="L136" i="6"/>
  <c r="I57" i="6"/>
  <c r="AH39" i="5"/>
  <c r="N124" i="6"/>
  <c r="X65" i="5"/>
  <c r="AZ79" i="5"/>
  <c r="AZ78" i="5"/>
  <c r="BA78" i="5" s="1"/>
  <c r="AY79" i="5"/>
  <c r="Y51" i="5"/>
  <c r="Y57" i="5" s="1"/>
  <c r="Y60" i="5" s="1"/>
  <c r="Y62" i="5" s="1"/>
  <c r="Y64" i="5" s="1"/>
  <c r="AR114" i="5"/>
  <c r="AW114" i="5" s="1"/>
  <c r="BB114" i="5" s="1"/>
  <c r="BG114" i="5" s="1"/>
  <c r="BL114" i="5" s="1"/>
  <c r="AB66" i="5"/>
  <c r="AL39" i="5"/>
  <c r="S66" i="5"/>
  <c r="AW38" i="5"/>
  <c r="H69" i="6"/>
  <c r="H72" i="6"/>
  <c r="H63" i="6"/>
  <c r="L90" i="6"/>
  <c r="L78" i="6"/>
  <c r="P78" i="6" s="1"/>
  <c r="Q78" i="6" s="1"/>
  <c r="L93" i="6"/>
  <c r="L84" i="6"/>
  <c r="AA65" i="5"/>
  <c r="AH51" i="5"/>
  <c r="AH57" i="5" s="1"/>
  <c r="AH59" i="5" s="1"/>
  <c r="S59" i="5"/>
  <c r="AN69" i="5"/>
  <c r="L99" i="6"/>
  <c r="L81" i="6"/>
  <c r="L96" i="6"/>
  <c r="AO51" i="5"/>
  <c r="AO57" i="5" s="1"/>
  <c r="AO59" i="5" s="1"/>
  <c r="AO44" i="5"/>
  <c r="AS22" i="5"/>
  <c r="AS26" i="5" s="1"/>
  <c r="J192" i="5"/>
  <c r="J234" i="5" s="1"/>
  <c r="AP59" i="5"/>
  <c r="H60" i="5"/>
  <c r="H62" i="5" s="1"/>
  <c r="H64" i="5" s="1"/>
  <c r="H65" i="5" s="1"/>
  <c r="I119" i="6"/>
  <c r="Q71" i="5"/>
  <c r="Q66" i="5"/>
  <c r="K60" i="5"/>
  <c r="K62" i="5" s="1"/>
  <c r="K64" i="5" s="1"/>
  <c r="V60" i="5"/>
  <c r="V62" i="5" s="1"/>
  <c r="V64" i="5" s="1"/>
  <c r="V59" i="5"/>
  <c r="AA66" i="5"/>
  <c r="AH44" i="5"/>
  <c r="AB65" i="5"/>
  <c r="AA59" i="5"/>
  <c r="AD234" i="5"/>
  <c r="W60" i="5"/>
  <c r="W62" i="5" s="1"/>
  <c r="W64" i="5" s="1"/>
  <c r="W59" i="5"/>
  <c r="AB59" i="5"/>
  <c r="M59" i="5"/>
  <c r="M60" i="5"/>
  <c r="M62" i="5" s="1"/>
  <c r="M64" i="5" s="1"/>
  <c r="J66" i="5"/>
  <c r="J71" i="5"/>
  <c r="O59" i="5"/>
  <c r="G138" i="6" s="1"/>
  <c r="O60" i="5"/>
  <c r="O62" i="5" s="1"/>
  <c r="O64" i="5" s="1"/>
  <c r="N69" i="5"/>
  <c r="N51" i="5"/>
  <c r="N57" i="5" s="1"/>
  <c r="P59" i="5"/>
  <c r="P60" i="5"/>
  <c r="P62" i="5" s="1"/>
  <c r="P64" i="5" s="1"/>
  <c r="G69" i="6"/>
  <c r="G72" i="6"/>
  <c r="G63" i="6"/>
  <c r="G66" i="6"/>
  <c r="X74" i="5"/>
  <c r="X75" i="5" s="1"/>
  <c r="F75" i="5"/>
  <c r="L60" i="5"/>
  <c r="L62" i="5" s="1"/>
  <c r="L64" i="5" s="1"/>
  <c r="L59" i="5"/>
  <c r="BC192" i="5"/>
  <c r="BC193" i="5" s="1"/>
  <c r="G3" i="38"/>
  <c r="F34" i="38"/>
  <c r="AS114" i="5"/>
  <c r="AN166" i="5"/>
  <c r="AG44" i="5"/>
  <c r="AG39" i="5"/>
  <c r="AG51" i="5"/>
  <c r="AG57" i="5" s="1"/>
  <c r="R65" i="5"/>
  <c r="R71" i="5"/>
  <c r="R66" i="5"/>
  <c r="F4" i="38"/>
  <c r="G4" i="38" s="1"/>
  <c r="E9" i="38"/>
  <c r="E15" i="38" s="1"/>
  <c r="E17" i="38" s="1"/>
  <c r="E16" i="38" s="1"/>
  <c r="E18" i="38" s="1"/>
  <c r="E20" i="38" s="1"/>
  <c r="M58" i="6"/>
  <c r="M87" i="6" s="1"/>
  <c r="AS99" i="5"/>
  <c r="AS38" i="5"/>
  <c r="L28" i="38"/>
  <c r="M27" i="38" s="1"/>
  <c r="M28" i="38" s="1"/>
  <c r="N27" i="38" s="1"/>
  <c r="AJ39" i="5"/>
  <c r="AN29" i="5"/>
  <c r="AJ44" i="5"/>
  <c r="AJ51" i="5"/>
  <c r="AJ57" i="5" s="1"/>
  <c r="AK39" i="5"/>
  <c r="AK44" i="5"/>
  <c r="AK51" i="5"/>
  <c r="AK57" i="5" s="1"/>
  <c r="AN106" i="5"/>
  <c r="AX106" i="5" s="1"/>
  <c r="BC106" i="5" s="1"/>
  <c r="AI110" i="5"/>
  <c r="O94" i="14"/>
  <c r="N101" i="14"/>
  <c r="N92" i="14"/>
  <c r="Z20" i="5"/>
  <c r="AD17" i="5"/>
  <c r="AX38" i="5"/>
  <c r="N58" i="6"/>
  <c r="N87" i="6" s="1"/>
  <c r="O87" i="6" s="1"/>
  <c r="P87" i="6" s="1"/>
  <c r="Q87" i="6" s="1"/>
  <c r="AX99" i="5"/>
  <c r="Y59" i="5"/>
  <c r="I138" i="6" s="1"/>
  <c r="N47" i="14"/>
  <c r="M69" i="14"/>
  <c r="M73" i="14" s="1"/>
  <c r="M52" i="14"/>
  <c r="U60" i="5"/>
  <c r="U62" i="5" s="1"/>
  <c r="U64" i="5" s="1"/>
  <c r="U59" i="5"/>
  <c r="G33" i="38"/>
  <c r="BM48" i="5" s="1"/>
  <c r="G24" i="38"/>
  <c r="H23" i="38" s="1"/>
  <c r="H33" i="38" s="1"/>
  <c r="L98" i="14"/>
  <c r="L99" i="14"/>
  <c r="AS102" i="5" s="1"/>
  <c r="AC51" i="5"/>
  <c r="AC57" i="5" s="1"/>
  <c r="AC39" i="5"/>
  <c r="AC44" i="5"/>
  <c r="BH91" i="5"/>
  <c r="BC98" i="5"/>
  <c r="BC36" i="5" s="1"/>
  <c r="I136" i="14"/>
  <c r="I139" i="14" s="1"/>
  <c r="I141" i="14" s="1"/>
  <c r="J135" i="14"/>
  <c r="E75" i="5"/>
  <c r="E76" i="5"/>
  <c r="AE20" i="5"/>
  <c r="AI17" i="5"/>
  <c r="AI210" i="5"/>
  <c r="AN209" i="5" s="1"/>
  <c r="AI234" i="5"/>
  <c r="AQ38" i="5"/>
  <c r="G58" i="14"/>
  <c r="G59" i="14" s="1"/>
  <c r="G61" i="14" s="1"/>
  <c r="G63" i="14" s="1"/>
  <c r="G65" i="14" s="1"/>
  <c r="G35" i="14"/>
  <c r="G37" i="14" s="1"/>
  <c r="G39" i="14" s="1"/>
  <c r="G41" i="14" s="1"/>
  <c r="G43" i="14" s="1"/>
  <c r="H34" i="14"/>
  <c r="H119" i="6"/>
  <c r="H57" i="6"/>
  <c r="T51" i="5"/>
  <c r="T57" i="5" s="1"/>
  <c r="AM59" i="5"/>
  <c r="AM60" i="5"/>
  <c r="AM62" i="5" s="1"/>
  <c r="AM64" i="5" s="1"/>
  <c r="M10" i="38"/>
  <c r="H30" i="38"/>
  <c r="I29" i="38" s="1"/>
  <c r="I30" i="38" s="1"/>
  <c r="J29" i="38" s="1"/>
  <c r="M98" i="14"/>
  <c r="M89" i="14" s="1"/>
  <c r="M99" i="14"/>
  <c r="AX102" i="5" s="1"/>
  <c r="I26" i="38"/>
  <c r="J25" i="38" s="1"/>
  <c r="K103" i="14"/>
  <c r="K122" i="14"/>
  <c r="AL9" i="5"/>
  <c r="AL33" i="5" s="1"/>
  <c r="AL34" i="5"/>
  <c r="J122" i="14"/>
  <c r="J103" i="14"/>
  <c r="BH90" i="5"/>
  <c r="F12" i="38"/>
  <c r="G13" i="38"/>
  <c r="K89" i="14"/>
  <c r="M24" i="14"/>
  <c r="M17" i="14"/>
  <c r="M66" i="14" s="1"/>
  <c r="M19" i="14"/>
  <c r="G59" i="5"/>
  <c r="G60" i="5"/>
  <c r="G62" i="5" s="1"/>
  <c r="G64" i="5" s="1"/>
  <c r="BM156" i="5"/>
  <c r="BH158" i="5"/>
  <c r="BC233" i="5"/>
  <c r="O29" i="6" s="1"/>
  <c r="BH191" i="5"/>
  <c r="M96" i="14"/>
  <c r="J144" i="14"/>
  <c r="I149" i="14"/>
  <c r="AN25" i="5"/>
  <c r="I69" i="5"/>
  <c r="I51" i="5"/>
  <c r="I57" i="5" s="1"/>
  <c r="AJ166" i="5"/>
  <c r="AO114" i="5"/>
  <c r="AT114" i="5" s="1"/>
  <c r="AY114" i="5" s="1"/>
  <c r="BD114" i="5" s="1"/>
  <c r="BI114" i="5" s="1"/>
  <c r="I84" i="6"/>
  <c r="I96" i="6"/>
  <c r="I75" i="6"/>
  <c r="I81" i="6"/>
  <c r="I99" i="6"/>
  <c r="I90" i="6"/>
  <c r="I78" i="6"/>
  <c r="I93" i="6"/>
  <c r="AL59" i="5"/>
  <c r="AL60" i="5"/>
  <c r="AL62" i="5" s="1"/>
  <c r="AL64" i="5" s="1"/>
  <c r="AP65" i="5"/>
  <c r="AP66" i="5"/>
  <c r="AB74" i="5"/>
  <c r="AB72" i="5"/>
  <c r="S72" i="5"/>
  <c r="S74" i="5"/>
  <c r="AA74" i="5"/>
  <c r="AA72" i="5"/>
  <c r="L105" i="6"/>
  <c r="K118" i="6"/>
  <c r="M141" i="6" l="1"/>
  <c r="M135" i="6"/>
  <c r="M131" i="6"/>
  <c r="N134" i="6"/>
  <c r="M133" i="6"/>
  <c r="BA79" i="5"/>
  <c r="BB78" i="5"/>
  <c r="BA36" i="5"/>
  <c r="AZ36" i="5"/>
  <c r="AY36" i="5"/>
  <c r="AH60" i="5"/>
  <c r="AH62" i="5" s="1"/>
  <c r="AH64" i="5" s="1"/>
  <c r="AH65" i="5" s="1"/>
  <c r="AN232" i="5"/>
  <c r="AN26" i="5"/>
  <c r="H71" i="5"/>
  <c r="H74" i="5" s="1"/>
  <c r="H75" i="5" s="1"/>
  <c r="AO60" i="5"/>
  <c r="AO62" i="5" s="1"/>
  <c r="AO64" i="5" s="1"/>
  <c r="AO65" i="5" s="1"/>
  <c r="J193" i="5"/>
  <c r="O192" i="5" s="1"/>
  <c r="O193" i="5" s="1"/>
  <c r="T192" i="5" s="1"/>
  <c r="T193" i="5" s="1"/>
  <c r="Y192" i="5" s="1"/>
  <c r="Y234" i="5" s="1"/>
  <c r="BH27" i="5"/>
  <c r="H66" i="5"/>
  <c r="Q72" i="5"/>
  <c r="Q74" i="5"/>
  <c r="K65" i="5"/>
  <c r="K71" i="5"/>
  <c r="K66" i="5"/>
  <c r="V65" i="5"/>
  <c r="V71" i="5"/>
  <c r="V66" i="5"/>
  <c r="W66" i="5"/>
  <c r="W71" i="5"/>
  <c r="W65" i="5"/>
  <c r="J74" i="5"/>
  <c r="J72" i="5"/>
  <c r="M71" i="5"/>
  <c r="M65" i="5"/>
  <c r="M66" i="5"/>
  <c r="N60" i="5"/>
  <c r="N62" i="5" s="1"/>
  <c r="N64" i="5" s="1"/>
  <c r="N59" i="5"/>
  <c r="P65" i="5"/>
  <c r="P71" i="5"/>
  <c r="P66" i="5"/>
  <c r="O65" i="5"/>
  <c r="O71" i="5"/>
  <c r="O66" i="5"/>
  <c r="X76" i="5"/>
  <c r="L66" i="5"/>
  <c r="L71" i="5"/>
  <c r="L65" i="5"/>
  <c r="G34" i="38"/>
  <c r="H3" i="38"/>
  <c r="BH192" i="5"/>
  <c r="BH193" i="5" s="1"/>
  <c r="AG60" i="5"/>
  <c r="AG62" i="5" s="1"/>
  <c r="AG64" i="5" s="1"/>
  <c r="AG59" i="5"/>
  <c r="AX114" i="5"/>
  <c r="AS166" i="5"/>
  <c r="AO166" i="5" s="1"/>
  <c r="AP166" i="5" s="1"/>
  <c r="AQ166" i="5" s="1"/>
  <c r="AR166" i="5" s="1"/>
  <c r="R72" i="5"/>
  <c r="R74" i="5"/>
  <c r="F9" i="38"/>
  <c r="F15" i="38" s="1"/>
  <c r="F17" i="38" s="1"/>
  <c r="F16" i="38" s="1"/>
  <c r="F18" i="38" s="1"/>
  <c r="F20" i="38" s="1"/>
  <c r="AS110" i="5"/>
  <c r="AS43" i="5" s="1"/>
  <c r="AX110" i="5"/>
  <c r="AN110" i="5"/>
  <c r="BM158" i="5"/>
  <c r="M6" i="14"/>
  <c r="M44" i="14"/>
  <c r="M8" i="14"/>
  <c r="G9" i="38"/>
  <c r="BM27" i="5"/>
  <c r="H4" i="38"/>
  <c r="AM71" i="5"/>
  <c r="AM74" i="5" s="1"/>
  <c r="AM65" i="5"/>
  <c r="AM66" i="5"/>
  <c r="O58" i="6"/>
  <c r="O86" i="6" s="1"/>
  <c r="O24" i="6" s="1"/>
  <c r="O32" i="7" s="1"/>
  <c r="BC99" i="5"/>
  <c r="BC38" i="5"/>
  <c r="AC59" i="5"/>
  <c r="AC60" i="5"/>
  <c r="AC62" i="5" s="1"/>
  <c r="AC64" i="5" s="1"/>
  <c r="U71" i="5"/>
  <c r="U66" i="5"/>
  <c r="U65" i="5"/>
  <c r="AJ59" i="5"/>
  <c r="AJ60" i="5"/>
  <c r="AJ62" i="5" s="1"/>
  <c r="AJ64" i="5" s="1"/>
  <c r="N142" i="14"/>
  <c r="N24" i="14"/>
  <c r="AR38" i="5"/>
  <c r="M103" i="14"/>
  <c r="M122" i="14"/>
  <c r="AN234" i="5"/>
  <c r="AN210" i="5"/>
  <c r="AS209" i="5" s="1"/>
  <c r="BH98" i="5"/>
  <c r="BH36" i="5" s="1"/>
  <c r="BM91" i="5"/>
  <c r="N96" i="14"/>
  <c r="AK60" i="5"/>
  <c r="AK62" i="5" s="1"/>
  <c r="AK64" i="5" s="1"/>
  <c r="AK59" i="5"/>
  <c r="N28" i="38"/>
  <c r="O27" i="38" s="1"/>
  <c r="O28" i="38" s="1"/>
  <c r="J149" i="14"/>
  <c r="K144" i="14"/>
  <c r="G66" i="5"/>
  <c r="G71" i="5"/>
  <c r="G74" i="5" s="1"/>
  <c r="G65" i="5"/>
  <c r="N19" i="14"/>
  <c r="N17" i="14"/>
  <c r="N66" i="14"/>
  <c r="BM90" i="5"/>
  <c r="G12" i="38"/>
  <c r="H13" i="38"/>
  <c r="T59" i="5"/>
  <c r="H138" i="6" s="1"/>
  <c r="T60" i="5"/>
  <c r="T62" i="5" s="1"/>
  <c r="T64" i="5" s="1"/>
  <c r="J30" i="38"/>
  <c r="K29" i="38" s="1"/>
  <c r="J136" i="14"/>
  <c r="J139" i="14" s="1"/>
  <c r="J141" i="14" s="1"/>
  <c r="J151" i="14" s="1"/>
  <c r="K135" i="14"/>
  <c r="L103" i="14"/>
  <c r="L122" i="14"/>
  <c r="L89" i="14"/>
  <c r="H24" i="38"/>
  <c r="I23" i="38" s="1"/>
  <c r="Y71" i="5"/>
  <c r="Y65" i="5"/>
  <c r="Y66" i="5"/>
  <c r="N98" i="14"/>
  <c r="N89" i="14" s="1"/>
  <c r="N99" i="14"/>
  <c r="BC102" i="5" s="1"/>
  <c r="BC110" i="5" s="1"/>
  <c r="BC41" i="5" s="1"/>
  <c r="L56" i="6"/>
  <c r="AN47" i="5"/>
  <c r="AN44" i="5"/>
  <c r="AN39" i="5"/>
  <c r="AN51" i="5"/>
  <c r="J26" i="38"/>
  <c r="K25" i="38" s="1"/>
  <c r="AL71" i="5"/>
  <c r="AL65" i="5"/>
  <c r="AL66" i="5"/>
  <c r="I59" i="5"/>
  <c r="I60" i="5"/>
  <c r="I62" i="5" s="1"/>
  <c r="I64" i="5" s="1"/>
  <c r="BM191" i="5"/>
  <c r="BH233" i="5"/>
  <c r="P29" i="6" s="1"/>
  <c r="N10" i="38"/>
  <c r="H99" i="6"/>
  <c r="H81" i="6"/>
  <c r="H78" i="6"/>
  <c r="H96" i="6"/>
  <c r="H84" i="6"/>
  <c r="H90" i="6"/>
  <c r="H93" i="6"/>
  <c r="H75" i="6"/>
  <c r="H58" i="14"/>
  <c r="H59" i="14" s="1"/>
  <c r="H61" i="14" s="1"/>
  <c r="H63" i="14" s="1"/>
  <c r="H65" i="14" s="1"/>
  <c r="H75" i="14" s="1"/>
  <c r="H35" i="14"/>
  <c r="H37" i="14" s="1"/>
  <c r="H39" i="14" s="1"/>
  <c r="H41" i="14" s="1"/>
  <c r="H43" i="14" s="1"/>
  <c r="H54" i="14" s="1"/>
  <c r="I34" i="14"/>
  <c r="AE22" i="5"/>
  <c r="AI20" i="5"/>
  <c r="AE46" i="5"/>
  <c r="I151" i="14"/>
  <c r="N69" i="14"/>
  <c r="N73" i="14" s="1"/>
  <c r="O47" i="14"/>
  <c r="N52" i="14"/>
  <c r="Z22" i="5"/>
  <c r="Z46" i="5"/>
  <c r="AD20" i="5"/>
  <c r="P94" i="14"/>
  <c r="O92" i="14"/>
  <c r="O101" i="14"/>
  <c r="AA76" i="5"/>
  <c r="AA75" i="5"/>
  <c r="AB75" i="5"/>
  <c r="AB76" i="5"/>
  <c r="S76" i="5"/>
  <c r="S75" i="5"/>
  <c r="L118" i="6"/>
  <c r="L119" i="6" s="1"/>
  <c r="M105" i="6"/>
  <c r="BH106" i="5"/>
  <c r="O134" i="6" l="1"/>
  <c r="P134" i="6" s="1"/>
  <c r="Q134" i="6" s="1"/>
  <c r="N133" i="6"/>
  <c r="M139" i="6"/>
  <c r="M160" i="6" s="1"/>
  <c r="M156" i="6"/>
  <c r="N130" i="6"/>
  <c r="BB79" i="5"/>
  <c r="BC78" i="5"/>
  <c r="BH78" i="5" s="1"/>
  <c r="BM78" i="5" s="1"/>
  <c r="AZ38" i="5"/>
  <c r="AY38" i="5"/>
  <c r="AY41" i="5"/>
  <c r="BA41" i="5"/>
  <c r="AZ41" i="5"/>
  <c r="BB36" i="5"/>
  <c r="BA38" i="5"/>
  <c r="AH71" i="5"/>
  <c r="AH72" i="5" s="1"/>
  <c r="AH66" i="5"/>
  <c r="H76" i="5"/>
  <c r="AO66" i="5"/>
  <c r="Y193" i="5"/>
  <c r="O234" i="5"/>
  <c r="T234" i="5"/>
  <c r="Q76" i="5"/>
  <c r="Q75" i="5"/>
  <c r="K72" i="5"/>
  <c r="K74" i="5"/>
  <c r="V74" i="5"/>
  <c r="V72" i="5"/>
  <c r="W72" i="5"/>
  <c r="W74" i="5"/>
  <c r="M74" i="5"/>
  <c r="M72" i="5"/>
  <c r="J76" i="5"/>
  <c r="F6" i="7" s="1"/>
  <c r="F9" i="7" s="1"/>
  <c r="F37" i="7" s="1"/>
  <c r="F64" i="7" s="1"/>
  <c r="F66" i="7" s="1"/>
  <c r="G65" i="7" s="1"/>
  <c r="J75" i="5"/>
  <c r="P74" i="5"/>
  <c r="P72" i="5"/>
  <c r="O74" i="5"/>
  <c r="O72" i="5"/>
  <c r="BM192" i="5"/>
  <c r="BM193" i="5" s="1"/>
  <c r="N65" i="5"/>
  <c r="N71" i="5"/>
  <c r="N66" i="5"/>
  <c r="L72" i="5"/>
  <c r="L74" i="5"/>
  <c r="G15" i="38"/>
  <c r="G17" i="38" s="1"/>
  <c r="G16" i="38" s="1"/>
  <c r="G18" i="38" s="1"/>
  <c r="G20" i="38" s="1"/>
  <c r="H34" i="38"/>
  <c r="I3" i="38"/>
  <c r="BC114" i="5"/>
  <c r="AX166" i="5"/>
  <c r="AT166" i="5" s="1"/>
  <c r="AU166" i="5" s="1"/>
  <c r="AV166" i="5" s="1"/>
  <c r="AW166" i="5" s="1"/>
  <c r="AG66" i="5"/>
  <c r="AG65" i="5"/>
  <c r="AG71" i="5"/>
  <c r="R76" i="5"/>
  <c r="R75" i="5"/>
  <c r="AX111" i="5"/>
  <c r="AR43" i="5"/>
  <c r="AS111" i="5"/>
  <c r="AX43" i="5"/>
  <c r="H77" i="14"/>
  <c r="H85" i="14" s="1"/>
  <c r="P101" i="14"/>
  <c r="P92" i="14"/>
  <c r="I152" i="14"/>
  <c r="I168" i="14"/>
  <c r="I155" i="14"/>
  <c r="AC7" i="5" s="1"/>
  <c r="J34" i="14"/>
  <c r="I35" i="14"/>
  <c r="I37" i="14" s="1"/>
  <c r="I39" i="14" s="1"/>
  <c r="I41" i="14" s="1"/>
  <c r="I43" i="14" s="1"/>
  <c r="I54" i="14" s="1"/>
  <c r="I58" i="14"/>
  <c r="I59" i="14" s="1"/>
  <c r="I61" i="14" s="1"/>
  <c r="I63" i="14" s="1"/>
  <c r="I65" i="14" s="1"/>
  <c r="I75" i="14" s="1"/>
  <c r="O10" i="38"/>
  <c r="AN57" i="5"/>
  <c r="J155" i="14"/>
  <c r="AE7" i="5" s="1"/>
  <c r="J168" i="14"/>
  <c r="J152" i="14"/>
  <c r="I13" i="38"/>
  <c r="H12" i="38"/>
  <c r="O19" i="14"/>
  <c r="O17" i="14"/>
  <c r="O66" i="14" s="1"/>
  <c r="K149" i="14"/>
  <c r="L144" i="14"/>
  <c r="BH99" i="5"/>
  <c r="BH38" i="5"/>
  <c r="P58" i="6"/>
  <c r="P86" i="6" s="1"/>
  <c r="P24" i="6" s="1"/>
  <c r="P32" i="7" s="1"/>
  <c r="AJ71" i="5"/>
  <c r="AJ65" i="5"/>
  <c r="AJ66" i="5"/>
  <c r="P47" i="14"/>
  <c r="O69" i="14"/>
  <c r="O73" i="14" s="1"/>
  <c r="O52" i="14"/>
  <c r="AI46" i="5"/>
  <c r="AI50" i="5" s="1"/>
  <c r="AE50" i="5"/>
  <c r="AE69" i="5" s="1"/>
  <c r="L63" i="6"/>
  <c r="L66" i="6"/>
  <c r="L69" i="6"/>
  <c r="L72" i="6"/>
  <c r="AK71" i="5"/>
  <c r="AK65" i="5"/>
  <c r="AK66" i="5"/>
  <c r="AS210" i="5"/>
  <c r="AX209" i="5" s="1"/>
  <c r="AS234" i="5"/>
  <c r="U72" i="5"/>
  <c r="U74" i="5"/>
  <c r="O98" i="14"/>
  <c r="O89" i="14" s="1"/>
  <c r="O99" i="14"/>
  <c r="BH102" i="5" s="1"/>
  <c r="BH110" i="5" s="1"/>
  <c r="BH41" i="5" s="1"/>
  <c r="Z50" i="5"/>
  <c r="Z69" i="5" s="1"/>
  <c r="AD46" i="5"/>
  <c r="AD50" i="5" s="1"/>
  <c r="BM233" i="5"/>
  <c r="Q29" i="6" s="1"/>
  <c r="K26" i="38"/>
  <c r="L25" i="38" s="1"/>
  <c r="L26" i="38" s="1"/>
  <c r="M25" i="38" s="1"/>
  <c r="T65" i="5"/>
  <c r="T71" i="5"/>
  <c r="T66" i="5"/>
  <c r="O142" i="14"/>
  <c r="O24" i="14"/>
  <c r="G75" i="5"/>
  <c r="G76" i="5"/>
  <c r="AC66" i="5"/>
  <c r="AC71" i="5"/>
  <c r="AC65" i="5"/>
  <c r="H9" i="38"/>
  <c r="H15" i="38" s="1"/>
  <c r="I4" i="38"/>
  <c r="O96" i="14"/>
  <c r="AD22" i="5"/>
  <c r="Z29" i="5"/>
  <c r="AE25" i="5"/>
  <c r="AI22" i="5"/>
  <c r="I65" i="5"/>
  <c r="I66" i="5"/>
  <c r="I71" i="5"/>
  <c r="I74" i="5" s="1"/>
  <c r="AL72" i="5"/>
  <c r="AL74" i="5"/>
  <c r="N103" i="14"/>
  <c r="N122" i="14"/>
  <c r="Y72" i="5"/>
  <c r="Y74" i="5"/>
  <c r="I33" i="38"/>
  <c r="I24" i="38"/>
  <c r="J23" i="38" s="1"/>
  <c r="J24" i="38" s="1"/>
  <c r="K23" i="38" s="1"/>
  <c r="K136" i="14"/>
  <c r="K139" i="14" s="1"/>
  <c r="K141" i="14" s="1"/>
  <c r="K151" i="14" s="1"/>
  <c r="L135" i="14"/>
  <c r="N44" i="14"/>
  <c r="N8" i="14"/>
  <c r="N6" i="14"/>
  <c r="BM98" i="5"/>
  <c r="BM36" i="5" s="1"/>
  <c r="K30" i="38"/>
  <c r="L29" i="38" s="1"/>
  <c r="AM72" i="5"/>
  <c r="N105" i="6"/>
  <c r="BC111" i="5"/>
  <c r="BC43" i="5"/>
  <c r="BM106" i="5"/>
  <c r="N155" i="6" l="1"/>
  <c r="M157" i="6"/>
  <c r="M158" i="6" s="1"/>
  <c r="N141" i="6"/>
  <c r="N131" i="6"/>
  <c r="N135" i="6"/>
  <c r="N139" i="6" s="1"/>
  <c r="N160" i="6" s="1"/>
  <c r="O130" i="6"/>
  <c r="AZ43" i="5"/>
  <c r="BB41" i="5"/>
  <c r="BA43" i="5"/>
  <c r="AY43" i="5"/>
  <c r="BB38" i="5"/>
  <c r="AH74" i="5"/>
  <c r="AH75" i="5" s="1"/>
  <c r="AW43" i="5"/>
  <c r="K76" i="5"/>
  <c r="K75" i="5"/>
  <c r="V76" i="5"/>
  <c r="V75" i="5"/>
  <c r="W76" i="5"/>
  <c r="W75" i="5"/>
  <c r="M76" i="5"/>
  <c r="M75" i="5"/>
  <c r="N72" i="5"/>
  <c r="N74" i="5"/>
  <c r="O76" i="5"/>
  <c r="G6" i="7" s="1"/>
  <c r="G9" i="7" s="1"/>
  <c r="G37" i="7" s="1"/>
  <c r="O75" i="5"/>
  <c r="P76" i="5"/>
  <c r="P75" i="5"/>
  <c r="L75" i="5"/>
  <c r="L76" i="5"/>
  <c r="J3" i="38"/>
  <c r="I34" i="38"/>
  <c r="AG72" i="5"/>
  <c r="AG74" i="5"/>
  <c r="BH114" i="5"/>
  <c r="BC166" i="5"/>
  <c r="AY166" i="5" s="1"/>
  <c r="AZ166" i="5" s="1"/>
  <c r="BA166" i="5" s="1"/>
  <c r="BB166" i="5" s="1"/>
  <c r="AQ43" i="5"/>
  <c r="I154" i="14"/>
  <c r="J154" i="14"/>
  <c r="H167" i="14"/>
  <c r="H170" i="14" s="1"/>
  <c r="I77" i="14"/>
  <c r="I170" i="14" s="1"/>
  <c r="K33" i="38"/>
  <c r="K24" i="38"/>
  <c r="L23" i="38" s="1"/>
  <c r="L33" i="38" s="1"/>
  <c r="K168" i="14"/>
  <c r="AN7" i="5"/>
  <c r="K152" i="14"/>
  <c r="K154" i="14" s="1"/>
  <c r="O103" i="14"/>
  <c r="O122" i="14"/>
  <c r="AK72" i="5"/>
  <c r="AK74" i="5"/>
  <c r="H82" i="14"/>
  <c r="H116" i="14" s="1"/>
  <c r="H119" i="14" s="1"/>
  <c r="H125" i="14" s="1"/>
  <c r="H87" i="14"/>
  <c r="H126" i="14" s="1"/>
  <c r="Z44" i="5"/>
  <c r="Z39" i="5"/>
  <c r="Z51" i="5"/>
  <c r="Z57" i="5" s="1"/>
  <c r="AD29" i="5"/>
  <c r="J4" i="38"/>
  <c r="I9" i="38"/>
  <c r="AC74" i="5"/>
  <c r="AC72" i="5"/>
  <c r="M26" i="38"/>
  <c r="N25" i="38" s="1"/>
  <c r="N26" i="38" s="1"/>
  <c r="O25" i="38" s="1"/>
  <c r="O26" i="38" s="1"/>
  <c r="T72" i="5"/>
  <c r="T74" i="5"/>
  <c r="J57" i="6"/>
  <c r="AD69" i="5"/>
  <c r="J119" i="6"/>
  <c r="AX210" i="5"/>
  <c r="BC209" i="5" s="1"/>
  <c r="AX234" i="5"/>
  <c r="L30" i="38"/>
  <c r="M29" i="38" s="1"/>
  <c r="M30" i="38" s="1"/>
  <c r="N29" i="38" s="1"/>
  <c r="N30" i="38" s="1"/>
  <c r="O29" i="38" s="1"/>
  <c r="P69" i="14"/>
  <c r="P73" i="14" s="1"/>
  <c r="P52" i="14"/>
  <c r="O44" i="14"/>
  <c r="O6" i="14"/>
  <c r="P17" i="14"/>
  <c r="P66" i="14"/>
  <c r="AE9" i="5"/>
  <c r="AE33" i="5" s="1"/>
  <c r="AI7" i="5"/>
  <c r="AF23" i="5"/>
  <c r="AE34" i="5"/>
  <c r="AM76" i="5"/>
  <c r="AM75" i="5"/>
  <c r="J33" i="38"/>
  <c r="AL75" i="5"/>
  <c r="AL76" i="5"/>
  <c r="AS236" i="5"/>
  <c r="BM99" i="5"/>
  <c r="BM38" i="5"/>
  <c r="Q58" i="6"/>
  <c r="Q86" i="6" s="1"/>
  <c r="Q24" i="6" s="1"/>
  <c r="Q32" i="7" s="1"/>
  <c r="Y75" i="5"/>
  <c r="Y76" i="5"/>
  <c r="I6" i="7" s="1"/>
  <c r="I9" i="7" s="1"/>
  <c r="I37" i="7" s="1"/>
  <c r="I76" i="5"/>
  <c r="I75" i="5"/>
  <c r="H17" i="38"/>
  <c r="H16" i="38" s="1"/>
  <c r="H18" i="38" s="1"/>
  <c r="H20" i="38" s="1"/>
  <c r="U75" i="5"/>
  <c r="U76" i="5"/>
  <c r="K57" i="6"/>
  <c r="AI69" i="5"/>
  <c r="K119" i="6"/>
  <c r="P24" i="14"/>
  <c r="P142" i="14"/>
  <c r="L136" i="14"/>
  <c r="L139" i="14" s="1"/>
  <c r="L141" i="14" s="1"/>
  <c r="M135" i="14"/>
  <c r="AE29" i="5"/>
  <c r="M144" i="14"/>
  <c r="L149" i="14"/>
  <c r="AN60" i="5"/>
  <c r="AN62" i="5" s="1"/>
  <c r="AN64" i="5" s="1"/>
  <c r="AN116" i="5"/>
  <c r="AN59" i="5"/>
  <c r="L138" i="6" s="1"/>
  <c r="AC34" i="5"/>
  <c r="AD7" i="5"/>
  <c r="AC9" i="5"/>
  <c r="AC33" i="5" s="1"/>
  <c r="P96" i="14"/>
  <c r="AJ74" i="5"/>
  <c r="AJ72" i="5"/>
  <c r="J13" i="38"/>
  <c r="I12" i="38"/>
  <c r="K34" i="14"/>
  <c r="J58" i="14"/>
  <c r="J59" i="14" s="1"/>
  <c r="J61" i="14" s="1"/>
  <c r="J63" i="14" s="1"/>
  <c r="J65" i="14" s="1"/>
  <c r="J75" i="14" s="1"/>
  <c r="J35" i="14"/>
  <c r="J37" i="14" s="1"/>
  <c r="J39" i="14" s="1"/>
  <c r="J41" i="14" s="1"/>
  <c r="J43" i="14" s="1"/>
  <c r="J54" i="14" s="1"/>
  <c r="P99" i="14"/>
  <c r="BM102" i="5" s="1"/>
  <c r="BM110" i="5" s="1"/>
  <c r="BM41" i="5" s="1"/>
  <c r="P98" i="14"/>
  <c r="O105" i="6"/>
  <c r="BH43" i="5"/>
  <c r="BH111" i="5"/>
  <c r="O135" i="6" l="1"/>
  <c r="O139" i="6" s="1"/>
  <c r="O131" i="6"/>
  <c r="O141" i="6"/>
  <c r="P130" i="6" s="1"/>
  <c r="N156" i="6"/>
  <c r="O155" i="6" s="1"/>
  <c r="N157" i="6"/>
  <c r="N158" i="6" s="1"/>
  <c r="O133" i="6"/>
  <c r="BB43" i="5"/>
  <c r="AH76" i="5"/>
  <c r="G69" i="7"/>
  <c r="G71" i="7" s="1"/>
  <c r="G64" i="7"/>
  <c r="G66" i="7" s="1"/>
  <c r="N75" i="5"/>
  <c r="N76" i="5"/>
  <c r="L24" i="38"/>
  <c r="M23" i="38" s="1"/>
  <c r="M33" i="38" s="1"/>
  <c r="I15" i="38"/>
  <c r="I17" i="38" s="1"/>
  <c r="I16" i="38" s="1"/>
  <c r="I18" i="38" s="1"/>
  <c r="I20" i="38" s="1"/>
  <c r="J34" i="38"/>
  <c r="K3" i="38"/>
  <c r="BH166" i="5"/>
  <c r="BM114" i="5"/>
  <c r="BM166" i="5" s="1"/>
  <c r="AG76" i="5"/>
  <c r="AG75" i="5"/>
  <c r="I167" i="14"/>
  <c r="I171" i="14"/>
  <c r="J77" i="14"/>
  <c r="J85" i="14" s="1"/>
  <c r="I85" i="14"/>
  <c r="I82" i="14" s="1"/>
  <c r="I116" i="14" s="1"/>
  <c r="I119" i="14" s="1"/>
  <c r="I125" i="14" s="1"/>
  <c r="BM43" i="5"/>
  <c r="BM111" i="5"/>
  <c r="AJ75" i="5"/>
  <c r="AJ76" i="5"/>
  <c r="AD9" i="5"/>
  <c r="AD33" i="5" s="1"/>
  <c r="AD34" i="5"/>
  <c r="AN71" i="5"/>
  <c r="AN65" i="5"/>
  <c r="AE51" i="5"/>
  <c r="AE57" i="5" s="1"/>
  <c r="AE39" i="5"/>
  <c r="AE44" i="5"/>
  <c r="K124" i="6"/>
  <c r="AI9" i="5"/>
  <c r="AI33" i="5" s="1"/>
  <c r="AI34" i="5"/>
  <c r="AX236" i="5"/>
  <c r="J90" i="6"/>
  <c r="J81" i="6"/>
  <c r="J84" i="6"/>
  <c r="J96" i="6"/>
  <c r="J75" i="6"/>
  <c r="J93" i="6"/>
  <c r="J78" i="6"/>
  <c r="J99" i="6"/>
  <c r="K4" i="38"/>
  <c r="J9" i="38"/>
  <c r="P103" i="14"/>
  <c r="P122" i="14"/>
  <c r="P89" i="14"/>
  <c r="K78" i="6"/>
  <c r="K96" i="6"/>
  <c r="K84" i="6"/>
  <c r="K90" i="6"/>
  <c r="K81" i="6"/>
  <c r="K99" i="6"/>
  <c r="K75" i="6"/>
  <c r="K93" i="6"/>
  <c r="I69" i="7"/>
  <c r="I71" i="7" s="1"/>
  <c r="I5" i="11" s="1"/>
  <c r="I64" i="7"/>
  <c r="BC210" i="5"/>
  <c r="BH209" i="5" s="1"/>
  <c r="BC234" i="5"/>
  <c r="O35" i="6" s="1"/>
  <c r="T76" i="5"/>
  <c r="H6" i="7" s="1"/>
  <c r="H9" i="7" s="1"/>
  <c r="H37" i="7" s="1"/>
  <c r="T75" i="5"/>
  <c r="AC76" i="5"/>
  <c r="AC75" i="5"/>
  <c r="AD39" i="5"/>
  <c r="AD51" i="5"/>
  <c r="AD57" i="5" s="1"/>
  <c r="J56" i="6"/>
  <c r="J124" i="6"/>
  <c r="AD44" i="5"/>
  <c r="K13" i="38"/>
  <c r="J12" i="38"/>
  <c r="M149" i="14"/>
  <c r="N144" i="14"/>
  <c r="N135" i="14"/>
  <c r="M136" i="14"/>
  <c r="M139" i="14" s="1"/>
  <c r="M141" i="14" s="1"/>
  <c r="M151" i="14" s="1"/>
  <c r="Z60" i="5"/>
  <c r="Z62" i="5" s="1"/>
  <c r="Z64" i="5" s="1"/>
  <c r="Z59" i="5"/>
  <c r="AK76" i="5"/>
  <c r="AK75" i="5"/>
  <c r="AM7" i="5"/>
  <c r="AN9" i="5"/>
  <c r="AN33" i="5" s="1"/>
  <c r="AN34" i="5"/>
  <c r="L34" i="14"/>
  <c r="K58" i="14"/>
  <c r="K59" i="14" s="1"/>
  <c r="K61" i="14" s="1"/>
  <c r="K63" i="14" s="1"/>
  <c r="K65" i="14" s="1"/>
  <c r="K75" i="14" s="1"/>
  <c r="K35" i="14"/>
  <c r="K37" i="14" s="1"/>
  <c r="K39" i="14" s="1"/>
  <c r="K41" i="14" s="1"/>
  <c r="K43" i="14" s="1"/>
  <c r="K54" i="14" s="1"/>
  <c r="L151" i="14"/>
  <c r="AI23" i="5"/>
  <c r="AF25" i="5"/>
  <c r="AI25" i="5" s="1"/>
  <c r="AI232" i="5" s="1"/>
  <c r="P6" i="14"/>
  <c r="P44" i="14" s="1"/>
  <c r="O30" i="38"/>
  <c r="P105" i="6"/>
  <c r="P135" i="6" l="1"/>
  <c r="P139" i="6" s="1"/>
  <c r="P133" i="6"/>
  <c r="P131" i="6"/>
  <c r="P141" i="6"/>
  <c r="O156" i="6"/>
  <c r="P155" i="6" s="1"/>
  <c r="O157" i="6"/>
  <c r="O158" i="6" s="1"/>
  <c r="O51" i="7"/>
  <c r="O160" i="6"/>
  <c r="M24" i="38"/>
  <c r="N23" i="38" s="1"/>
  <c r="H65" i="7"/>
  <c r="G6" i="6"/>
  <c r="J15" i="38"/>
  <c r="J17" i="38" s="1"/>
  <c r="J16" i="38" s="1"/>
  <c r="J18" i="38" s="1"/>
  <c r="J20" i="38" s="1"/>
  <c r="K34" i="38"/>
  <c r="L3" i="38"/>
  <c r="I87" i="14"/>
  <c r="I126" i="14" s="1"/>
  <c r="J170" i="14"/>
  <c r="J171" i="14" s="1"/>
  <c r="J167" i="14"/>
  <c r="BC236" i="5"/>
  <c r="O33" i="7"/>
  <c r="L4" i="38"/>
  <c r="K9" i="38"/>
  <c r="M34" i="14"/>
  <c r="L35" i="14"/>
  <c r="L37" i="14" s="1"/>
  <c r="L39" i="14" s="1"/>
  <c r="L41" i="14" s="1"/>
  <c r="L43" i="14" s="1"/>
  <c r="L54" i="14" s="1"/>
  <c r="L58" i="14"/>
  <c r="L59" i="14" s="1"/>
  <c r="L61" i="14" s="1"/>
  <c r="L63" i="14" s="1"/>
  <c r="L65" i="14" s="1"/>
  <c r="L75" i="14" s="1"/>
  <c r="L160" i="14" s="1"/>
  <c r="AM9" i="5"/>
  <c r="AM33" i="5" s="1"/>
  <c r="AM34" i="5"/>
  <c r="Z66" i="5"/>
  <c r="Z65" i="5"/>
  <c r="Z71" i="5"/>
  <c r="O144" i="14"/>
  <c r="N149" i="14"/>
  <c r="J82" i="14"/>
  <c r="J116" i="14" s="1"/>
  <c r="J119" i="14" s="1"/>
  <c r="J125" i="14" s="1"/>
  <c r="J87" i="14"/>
  <c r="J126" i="14" s="1"/>
  <c r="J72" i="6"/>
  <c r="J69" i="6"/>
  <c r="J66" i="6"/>
  <c r="J63" i="6"/>
  <c r="BH210" i="5"/>
  <c r="BM209" i="5" s="1"/>
  <c r="BH234" i="5"/>
  <c r="P35" i="6" s="1"/>
  <c r="AE60" i="5"/>
  <c r="AE62" i="5" s="1"/>
  <c r="AE64" i="5" s="1"/>
  <c r="AE59" i="5"/>
  <c r="AN79" i="5"/>
  <c r="AN72" i="5" s="1"/>
  <c r="AN74" i="5"/>
  <c r="L168" i="14"/>
  <c r="L152" i="14"/>
  <c r="L154" i="14" s="1"/>
  <c r="AS7" i="5"/>
  <c r="AD60" i="5"/>
  <c r="AD62" i="5" s="1"/>
  <c r="AD64" i="5" s="1"/>
  <c r="AD59" i="5"/>
  <c r="J138" i="6" s="1"/>
  <c r="AD116" i="5"/>
  <c r="AD117" i="5" s="1"/>
  <c r="O135" i="14"/>
  <c r="N136" i="14"/>
  <c r="N139" i="14" s="1"/>
  <c r="N141" i="14" s="1"/>
  <c r="AF29" i="5"/>
  <c r="K77" i="14"/>
  <c r="M152" i="14"/>
  <c r="AX7" i="5"/>
  <c r="M168" i="14"/>
  <c r="H64" i="7"/>
  <c r="H69" i="7"/>
  <c r="H71" i="7" s="1"/>
  <c r="H5" i="11" s="1"/>
  <c r="I6" i="11" s="1"/>
  <c r="K12" i="38"/>
  <c r="L13" i="38"/>
  <c r="I8" i="11"/>
  <c r="Q105" i="6"/>
  <c r="P51" i="7" l="1"/>
  <c r="P160" i="6"/>
  <c r="Q130" i="6"/>
  <c r="P156" i="6"/>
  <c r="Q155" i="6" s="1"/>
  <c r="P157" i="6"/>
  <c r="P158" i="6" s="1"/>
  <c r="N24" i="38"/>
  <c r="O23" i="38" s="1"/>
  <c r="N33" i="38"/>
  <c r="M154" i="14"/>
  <c r="AW7" i="5"/>
  <c r="L77" i="14"/>
  <c r="L85" i="14" s="1"/>
  <c r="H66" i="7"/>
  <c r="I65" i="7" s="1"/>
  <c r="I66" i="7" s="1"/>
  <c r="G14" i="6"/>
  <c r="G21" i="6" s="1"/>
  <c r="G52" i="6" s="1"/>
  <c r="O124" i="5"/>
  <c r="O125" i="5" s="1"/>
  <c r="O126" i="5" s="1"/>
  <c r="AQ7" i="5"/>
  <c r="AP7" i="5"/>
  <c r="L34" i="38"/>
  <c r="M3" i="38"/>
  <c r="K15" i="38"/>
  <c r="K17" i="38" s="1"/>
  <c r="K16" i="38" s="1"/>
  <c r="K18" i="38" s="1"/>
  <c r="K20" i="38" s="1"/>
  <c r="AD65" i="5"/>
  <c r="AD71" i="5"/>
  <c r="AD66" i="5"/>
  <c r="M13" i="38"/>
  <c r="M12" i="38" s="1"/>
  <c r="L12" i="38"/>
  <c r="L124" i="6"/>
  <c r="AF51" i="5"/>
  <c r="AF57" i="5" s="1"/>
  <c r="AF39" i="5"/>
  <c r="AF44" i="5"/>
  <c r="AI29" i="5"/>
  <c r="AO7" i="5"/>
  <c r="AE66" i="5"/>
  <c r="AE71" i="5"/>
  <c r="AE65" i="5"/>
  <c r="BM210" i="5"/>
  <c r="BM234" i="5"/>
  <c r="Q35" i="6" s="1"/>
  <c r="O149" i="14"/>
  <c r="P144" i="14"/>
  <c r="P149" i="14" s="1"/>
  <c r="M35" i="14"/>
  <c r="M37" i="14" s="1"/>
  <c r="M39" i="14" s="1"/>
  <c r="M41" i="14" s="1"/>
  <c r="M43" i="14" s="1"/>
  <c r="M54" i="14" s="1"/>
  <c r="M58" i="14"/>
  <c r="M59" i="14" s="1"/>
  <c r="M61" i="14" s="1"/>
  <c r="M63" i="14" s="1"/>
  <c r="M65" i="14" s="1"/>
  <c r="M75" i="14" s="1"/>
  <c r="N34" i="14"/>
  <c r="N151" i="14"/>
  <c r="AD120" i="5"/>
  <c r="AD119" i="5"/>
  <c r="AD121" i="5" s="1"/>
  <c r="AI115" i="5"/>
  <c r="AN76" i="5"/>
  <c r="L9" i="7" s="1"/>
  <c r="L37" i="7" s="1"/>
  <c r="AN75" i="5"/>
  <c r="Z74" i="5"/>
  <c r="Z72" i="5"/>
  <c r="K85" i="14"/>
  <c r="K167" i="14"/>
  <c r="K170" i="14"/>
  <c r="K171" i="14" s="1"/>
  <c r="O136" i="14"/>
  <c r="O139" i="14" s="1"/>
  <c r="O141" i="14" s="1"/>
  <c r="O151" i="14" s="1"/>
  <c r="P135" i="14"/>
  <c r="P136" i="14" s="1"/>
  <c r="P139" i="14" s="1"/>
  <c r="P141" i="14" s="1"/>
  <c r="P151" i="14" s="1"/>
  <c r="AN66" i="5"/>
  <c r="L161" i="14"/>
  <c r="AS8" i="5"/>
  <c r="L163" i="14"/>
  <c r="M4" i="38"/>
  <c r="L9" i="38"/>
  <c r="BH236" i="5"/>
  <c r="P33" i="7"/>
  <c r="Q131" i="6" l="1"/>
  <c r="Q135" i="6"/>
  <c r="Q139" i="6" s="1"/>
  <c r="Q141" i="6"/>
  <c r="Q133" i="6"/>
  <c r="M159" i="14"/>
  <c r="M160" i="14" s="1"/>
  <c r="AX8" i="5" s="1"/>
  <c r="AW8" i="5" s="1"/>
  <c r="O24" i="38"/>
  <c r="O33" i="38"/>
  <c r="H6" i="6"/>
  <c r="T124" i="5" s="1"/>
  <c r="T125" i="5" s="1"/>
  <c r="T126" i="5" s="1"/>
  <c r="T122" i="5" s="1"/>
  <c r="L15" i="38"/>
  <c r="L17" i="38" s="1"/>
  <c r="L16" i="38" s="1"/>
  <c r="L18" i="38" s="1"/>
  <c r="L20" i="38" s="1"/>
  <c r="N3" i="38"/>
  <c r="M34" i="38"/>
  <c r="L167" i="14"/>
  <c r="L170" i="14"/>
  <c r="L171" i="14" s="1"/>
  <c r="AR7" i="5"/>
  <c r="M59" i="6"/>
  <c r="AS34" i="5"/>
  <c r="K56" i="6"/>
  <c r="AI51" i="5"/>
  <c r="AI57" i="5" s="1"/>
  <c r="AI44" i="5"/>
  <c r="AI39" i="5"/>
  <c r="O168" i="14"/>
  <c r="O152" i="14"/>
  <c r="O154" i="14" s="1"/>
  <c r="BH23" i="5" s="1"/>
  <c r="BH7" i="5"/>
  <c r="K82" i="14"/>
  <c r="K116" i="14" s="1"/>
  <c r="K119" i="14" s="1"/>
  <c r="K125" i="14" s="1"/>
  <c r="K87" i="14"/>
  <c r="K126" i="14" s="1"/>
  <c r="N35" i="14"/>
  <c r="N37" i="14" s="1"/>
  <c r="N39" i="14" s="1"/>
  <c r="N41" i="14" s="1"/>
  <c r="N43" i="14" s="1"/>
  <c r="N54" i="14" s="1"/>
  <c r="N58" i="14"/>
  <c r="N59" i="14" s="1"/>
  <c r="N61" i="14" s="1"/>
  <c r="N63" i="14" s="1"/>
  <c r="N65" i="14" s="1"/>
  <c r="N75" i="14" s="1"/>
  <c r="O34" i="14"/>
  <c r="AE72" i="5"/>
  <c r="AE74" i="5"/>
  <c r="AO34" i="5"/>
  <c r="AO9" i="5"/>
  <c r="AO33" i="5" s="1"/>
  <c r="BM7" i="5"/>
  <c r="P152" i="14"/>
  <c r="P154" i="14" s="1"/>
  <c r="BM23" i="5" s="1"/>
  <c r="P168" i="14"/>
  <c r="AQ9" i="5"/>
  <c r="AR8" i="5"/>
  <c r="BM236" i="5"/>
  <c r="Q33" i="7"/>
  <c r="N4" i="38"/>
  <c r="M9" i="38"/>
  <c r="M15" i="38" s="1"/>
  <c r="L82" i="14"/>
  <c r="L116" i="14" s="1"/>
  <c r="L119" i="14" s="1"/>
  <c r="L125" i="14" s="1"/>
  <c r="L87" i="14"/>
  <c r="L126" i="14" s="1"/>
  <c r="Z75" i="5"/>
  <c r="Z76" i="5"/>
  <c r="L69" i="7"/>
  <c r="L71" i="7" s="1"/>
  <c r="L5" i="11" s="1"/>
  <c r="L64" i="7"/>
  <c r="N168" i="14"/>
  <c r="BC7" i="5"/>
  <c r="N152" i="14"/>
  <c r="N154" i="14" s="1"/>
  <c r="BC23" i="5" s="1"/>
  <c r="M77" i="14"/>
  <c r="AF60" i="5"/>
  <c r="AF62" i="5" s="1"/>
  <c r="AF64" i="5" s="1"/>
  <c r="AF59" i="5"/>
  <c r="I6" i="6"/>
  <c r="J65" i="7"/>
  <c r="AP34" i="5"/>
  <c r="AP9" i="5"/>
  <c r="AP33" i="5" s="1"/>
  <c r="AD72" i="5"/>
  <c r="AD74" i="5"/>
  <c r="Q51" i="7" l="1"/>
  <c r="Q160" i="6"/>
  <c r="Q156" i="6"/>
  <c r="Q157" i="6" s="1"/>
  <c r="Q158" i="6" s="1"/>
  <c r="M163" i="14"/>
  <c r="N159" i="14"/>
  <c r="N160" i="14" s="1"/>
  <c r="M161" i="14"/>
  <c r="M170" i="14"/>
  <c r="M171" i="14" s="1"/>
  <c r="AZ7" i="5"/>
  <c r="AY7" i="5"/>
  <c r="BA7" i="5"/>
  <c r="H14" i="6"/>
  <c r="H21" i="6" s="1"/>
  <c r="H52" i="6" s="1"/>
  <c r="O3" i="38"/>
  <c r="O34" i="38" s="1"/>
  <c r="N34" i="38"/>
  <c r="N77" i="14"/>
  <c r="BC6" i="5" s="1"/>
  <c r="Y124" i="5"/>
  <c r="Y125" i="5" s="1"/>
  <c r="Y126" i="5" s="1"/>
  <c r="I14" i="6"/>
  <c r="I21" i="6" s="1"/>
  <c r="I52" i="6" s="1"/>
  <c r="AX6" i="5"/>
  <c r="M85" i="14"/>
  <c r="M167" i="14"/>
  <c r="O4" i="38"/>
  <c r="N9" i="38"/>
  <c r="N15" i="38" s="1"/>
  <c r="P34" i="14"/>
  <c r="O35" i="14"/>
  <c r="O37" i="14" s="1"/>
  <c r="O39" i="14" s="1"/>
  <c r="O41" i="14" s="1"/>
  <c r="O43" i="14" s="1"/>
  <c r="O54" i="14" s="1"/>
  <c r="O58" i="14"/>
  <c r="O59" i="14" s="1"/>
  <c r="O61" i="14" s="1"/>
  <c r="O63" i="14" s="1"/>
  <c r="O65" i="14" s="1"/>
  <c r="O75" i="14" s="1"/>
  <c r="AQ34" i="5"/>
  <c r="AQ33" i="5"/>
  <c r="AF65" i="5"/>
  <c r="AF71" i="5"/>
  <c r="AF66" i="5"/>
  <c r="L8" i="11"/>
  <c r="L9" i="11" s="1"/>
  <c r="AS46" i="5"/>
  <c r="AS50" i="5" s="1"/>
  <c r="M17" i="38"/>
  <c r="M16" i="38" s="1"/>
  <c r="M18" i="38" s="1"/>
  <c r="M20" i="38" s="1"/>
  <c r="AI116" i="5"/>
  <c r="AI117" i="5" s="1"/>
  <c r="AI59" i="5"/>
  <c r="K138" i="6" s="1"/>
  <c r="AI60" i="5"/>
  <c r="AI62" i="5" s="1"/>
  <c r="AI64" i="5" s="1"/>
  <c r="AD75" i="5"/>
  <c r="AD76" i="5"/>
  <c r="J6" i="7" s="1"/>
  <c r="J9" i="7" s="1"/>
  <c r="J37" i="7" s="1"/>
  <c r="AE76" i="5"/>
  <c r="AE75" i="5"/>
  <c r="K72" i="6"/>
  <c r="K69" i="6"/>
  <c r="K63" i="6"/>
  <c r="K66" i="6"/>
  <c r="AY6" i="5" l="1"/>
  <c r="AZ6" i="5"/>
  <c r="BA6" i="5"/>
  <c r="N163" i="14"/>
  <c r="BC24" i="5" s="1"/>
  <c r="AY24" i="5" s="1"/>
  <c r="AY26" i="5" s="1"/>
  <c r="N161" i="14"/>
  <c r="BC32" i="5" s="1"/>
  <c r="AZ32" i="5" s="1"/>
  <c r="BC8" i="5"/>
  <c r="BA8" i="5" s="1"/>
  <c r="O159" i="14"/>
  <c r="O160" i="14" s="1"/>
  <c r="BB7" i="5"/>
  <c r="BC12" i="5"/>
  <c r="BC14" i="5" s="1"/>
  <c r="BC17" i="5" s="1"/>
  <c r="N59" i="6"/>
  <c r="AX34" i="5"/>
  <c r="AR9" i="5"/>
  <c r="AR33" i="5" s="1"/>
  <c r="AS12" i="5"/>
  <c r="N85" i="14"/>
  <c r="N82" i="14" s="1"/>
  <c r="N116" i="14" s="1"/>
  <c r="N119" i="14" s="1"/>
  <c r="N125" i="14" s="1"/>
  <c r="N167" i="14"/>
  <c r="N170" i="14"/>
  <c r="N171" i="14" s="1"/>
  <c r="O77" i="14"/>
  <c r="N17" i="38"/>
  <c r="N16" i="38" s="1"/>
  <c r="N18" i="38" s="1"/>
  <c r="N20" i="38" s="1"/>
  <c r="J69" i="7"/>
  <c r="J71" i="7" s="1"/>
  <c r="J5" i="11" s="1"/>
  <c r="J64" i="7"/>
  <c r="J66" i="7" s="1"/>
  <c r="AI120" i="5"/>
  <c r="AI119" i="5"/>
  <c r="AI121" i="5" s="1"/>
  <c r="AN115" i="5"/>
  <c r="AN117" i="5" s="1"/>
  <c r="AF72" i="5"/>
  <c r="AF74" i="5"/>
  <c r="P35" i="14"/>
  <c r="P37" i="14" s="1"/>
  <c r="P39" i="14" s="1"/>
  <c r="P41" i="14" s="1"/>
  <c r="P43" i="14" s="1"/>
  <c r="P54" i="14" s="1"/>
  <c r="P58" i="14"/>
  <c r="P59" i="14" s="1"/>
  <c r="P61" i="14" s="1"/>
  <c r="P63" i="14" s="1"/>
  <c r="P65" i="14" s="1"/>
  <c r="P75" i="14" s="1"/>
  <c r="P159" i="14" s="1"/>
  <c r="P160" i="14" s="1"/>
  <c r="O9" i="38"/>
  <c r="O15" i="38" s="1"/>
  <c r="M87" i="14"/>
  <c r="M126" i="14" s="1"/>
  <c r="M82" i="14"/>
  <c r="M116" i="14" s="1"/>
  <c r="M119" i="14" s="1"/>
  <c r="M125" i="14" s="1"/>
  <c r="AR34" i="5"/>
  <c r="AX134" i="5"/>
  <c r="N55" i="6"/>
  <c r="AX9" i="5"/>
  <c r="AX33" i="5" s="1"/>
  <c r="AI65" i="5"/>
  <c r="AI66" i="5"/>
  <c r="AI71" i="5"/>
  <c r="AQ29" i="5"/>
  <c r="O55" i="6"/>
  <c r="BC134" i="5"/>
  <c r="BC26" i="5" l="1"/>
  <c r="O59" i="6"/>
  <c r="BB24" i="5"/>
  <c r="BB26" i="5" s="1"/>
  <c r="AZ24" i="5"/>
  <c r="AZ26" i="5" s="1"/>
  <c r="AY32" i="5"/>
  <c r="AY50" i="5" s="1"/>
  <c r="AY69" i="5" s="1"/>
  <c r="BA32" i="5"/>
  <c r="BA34" i="5" s="1"/>
  <c r="BC9" i="5"/>
  <c r="BC33" i="5" s="1"/>
  <c r="BC34" i="5"/>
  <c r="BA24" i="5"/>
  <c r="BA26" i="5" s="1"/>
  <c r="AY8" i="5"/>
  <c r="AY9" i="5" s="1"/>
  <c r="O161" i="14"/>
  <c r="BH32" i="5" s="1"/>
  <c r="P59" i="6" s="1"/>
  <c r="O163" i="14"/>
  <c r="BH24" i="5" s="1"/>
  <c r="BH26" i="5" s="1"/>
  <c r="BH8" i="5"/>
  <c r="O170" i="14"/>
  <c r="O171" i="14" s="1"/>
  <c r="AZ8" i="5"/>
  <c r="BB6" i="5"/>
  <c r="BB12" i="5" s="1"/>
  <c r="AZ50" i="5"/>
  <c r="AZ69" i="5" s="1"/>
  <c r="BA12" i="5"/>
  <c r="BA9" i="5"/>
  <c r="AY12" i="5"/>
  <c r="AZ12" i="5"/>
  <c r="AW34" i="5"/>
  <c r="AT34" i="5"/>
  <c r="AT33" i="5"/>
  <c r="AT50" i="5"/>
  <c r="AT69" i="5" s="1"/>
  <c r="AU34" i="5"/>
  <c r="AU33" i="5"/>
  <c r="AU50" i="5"/>
  <c r="AU69" i="5" s="1"/>
  <c r="AV34" i="5"/>
  <c r="AV33" i="5"/>
  <c r="AV50" i="5"/>
  <c r="AV69" i="5" s="1"/>
  <c r="AS6" i="5"/>
  <c r="AS15" i="5"/>
  <c r="AW9" i="5"/>
  <c r="AQ50" i="5"/>
  <c r="AQ69" i="5" s="1"/>
  <c r="N87" i="14"/>
  <c r="N126" i="14" s="1"/>
  <c r="O167" i="14"/>
  <c r="O85" i="14"/>
  <c r="O87" i="14" s="1"/>
  <c r="O126" i="14" s="1"/>
  <c r="BH6" i="5"/>
  <c r="O17" i="38"/>
  <c r="O16" i="38" s="1"/>
  <c r="O18" i="38" s="1"/>
  <c r="O20" i="38" s="1"/>
  <c r="C36" i="38" s="1"/>
  <c r="C38" i="38" s="1"/>
  <c r="AQ39" i="5"/>
  <c r="AQ44" i="5"/>
  <c r="AX46" i="5"/>
  <c r="AX50" i="5" s="1"/>
  <c r="J8" i="11"/>
  <c r="J6" i="11"/>
  <c r="P77" i="14"/>
  <c r="P170" i="14" s="1"/>
  <c r="P161" i="14"/>
  <c r="BM32" i="5" s="1"/>
  <c r="P163" i="14"/>
  <c r="BM24" i="5" s="1"/>
  <c r="BM26" i="5" s="1"/>
  <c r="BM8" i="5"/>
  <c r="M56" i="6"/>
  <c r="AS49" i="5"/>
  <c r="AS39" i="5"/>
  <c r="AS44" i="5"/>
  <c r="AS51" i="5"/>
  <c r="AF76" i="5"/>
  <c r="AF75" i="5"/>
  <c r="AS47" i="5"/>
  <c r="AN120" i="5"/>
  <c r="AS115" i="5"/>
  <c r="AN119" i="5"/>
  <c r="AN121" i="5" s="1"/>
  <c r="AI74" i="5"/>
  <c r="AI72" i="5"/>
  <c r="BC46" i="5"/>
  <c r="BC50" i="5" s="1"/>
  <c r="K65" i="7"/>
  <c r="J6" i="6"/>
  <c r="M57" i="6"/>
  <c r="AS69" i="5"/>
  <c r="M99" i="6" l="1"/>
  <c r="M96" i="6"/>
  <c r="M93" i="6"/>
  <c r="M90" i="6"/>
  <c r="M84" i="6"/>
  <c r="M81" i="6"/>
  <c r="M78" i="6"/>
  <c r="M75" i="6"/>
  <c r="M63" i="6"/>
  <c r="M66" i="6"/>
  <c r="M69" i="6"/>
  <c r="M72" i="6"/>
  <c r="BA33" i="5"/>
  <c r="BA50" i="5"/>
  <c r="BA69" i="5" s="1"/>
  <c r="BB32" i="5"/>
  <c r="BB50" i="5" s="1"/>
  <c r="BB69" i="5" s="1"/>
  <c r="AY33" i="5"/>
  <c r="P171" i="14"/>
  <c r="BB8" i="5"/>
  <c r="BB9" i="5" s="1"/>
  <c r="AY34" i="5"/>
  <c r="BH34" i="5"/>
  <c r="AZ9" i="5"/>
  <c r="AZ33" i="5" s="1"/>
  <c r="AZ34" i="5"/>
  <c r="AY14" i="5"/>
  <c r="AY17" i="5" s="1"/>
  <c r="AY18" i="5" s="1"/>
  <c r="AY22" i="5" s="1"/>
  <c r="AY29" i="5" s="1"/>
  <c r="BA14" i="5"/>
  <c r="BA17" i="5" s="1"/>
  <c r="BA18" i="5" s="1"/>
  <c r="BA22" i="5" s="1"/>
  <c r="BA29" i="5" s="1"/>
  <c r="AZ14" i="5"/>
  <c r="AZ17" i="5" s="1"/>
  <c r="AZ18" i="5" s="1"/>
  <c r="AZ22" i="5" s="1"/>
  <c r="AZ29" i="5" s="1"/>
  <c r="BB14" i="5"/>
  <c r="BB17" i="5" s="1"/>
  <c r="BB18" i="5" s="1"/>
  <c r="BH12" i="5"/>
  <c r="BH14" i="5" s="1"/>
  <c r="AW50" i="5"/>
  <c r="AW33" i="5"/>
  <c r="AS134" i="5"/>
  <c r="AS136" i="5" s="1"/>
  <c r="AS137" i="5" s="1"/>
  <c r="AS138" i="5" s="1"/>
  <c r="AS150" i="5" s="1"/>
  <c r="AS9" i="5"/>
  <c r="AS33" i="5" s="1"/>
  <c r="M55" i="6"/>
  <c r="AX132" i="5"/>
  <c r="AX161" i="5" s="1"/>
  <c r="BH144" i="5"/>
  <c r="BH146" i="5" s="1"/>
  <c r="BH147" i="5" s="1"/>
  <c r="AQ51" i="5"/>
  <c r="AQ57" i="5" s="1"/>
  <c r="AR50" i="5"/>
  <c r="AR69" i="5" s="1"/>
  <c r="P55" i="6"/>
  <c r="O82" i="14"/>
  <c r="O116" i="14" s="1"/>
  <c r="O119" i="14" s="1"/>
  <c r="O125" i="14" s="1"/>
  <c r="BH46" i="5" s="1"/>
  <c r="BH50" i="5" s="1"/>
  <c r="BH9" i="5"/>
  <c r="BH33" i="5" s="1"/>
  <c r="BH134" i="5"/>
  <c r="M112" i="6"/>
  <c r="J14" i="6"/>
  <c r="J21" i="6" s="1"/>
  <c r="J52" i="6" s="1"/>
  <c r="AD124" i="5"/>
  <c r="AD125" i="5" s="1"/>
  <c r="AD126" i="5" s="1"/>
  <c r="AI76" i="5"/>
  <c r="K6" i="7" s="1"/>
  <c r="K9" i="7" s="1"/>
  <c r="K37" i="7" s="1"/>
  <c r="AI75" i="5"/>
  <c r="Q59" i="6"/>
  <c r="BM34" i="5"/>
  <c r="AR44" i="5"/>
  <c r="AR39" i="5"/>
  <c r="P167" i="14"/>
  <c r="BM6" i="5"/>
  <c r="P85" i="14"/>
  <c r="BB33" i="5" l="1"/>
  <c r="BB34" i="5"/>
  <c r="BB13" i="5"/>
  <c r="AY49" i="5"/>
  <c r="AY39" i="5"/>
  <c r="AY51" i="5"/>
  <c r="AY57" i="5" s="1"/>
  <c r="AY60" i="5" s="1"/>
  <c r="AY62" i="5" s="1"/>
  <c r="AY64" i="5" s="1"/>
  <c r="AY44" i="5"/>
  <c r="BA13" i="5"/>
  <c r="BA49" i="5"/>
  <c r="BA39" i="5"/>
  <c r="BA51" i="5"/>
  <c r="BA57" i="5" s="1"/>
  <c r="BA60" i="5" s="1"/>
  <c r="BA62" i="5" s="1"/>
  <c r="BA64" i="5" s="1"/>
  <c r="BA44" i="5"/>
  <c r="BC18" i="5"/>
  <c r="BC19" i="5" s="1"/>
  <c r="BB22" i="5"/>
  <c r="BB29" i="5" s="1"/>
  <c r="AZ13" i="5"/>
  <c r="AY13" i="5"/>
  <c r="AZ49" i="5"/>
  <c r="AZ39" i="5"/>
  <c r="AZ44" i="5"/>
  <c r="AZ51" i="5"/>
  <c r="AZ57" i="5" s="1"/>
  <c r="AZ60" i="5" s="1"/>
  <c r="AZ62" i="5" s="1"/>
  <c r="AZ64" i="5" s="1"/>
  <c r="BM12" i="5"/>
  <c r="BM14" i="5" s="1"/>
  <c r="BM17" i="5" s="1"/>
  <c r="BM18" i="5" s="1"/>
  <c r="BM22" i="5" s="1"/>
  <c r="BM29" i="5" s="1"/>
  <c r="BH13" i="5"/>
  <c r="BH17" i="5"/>
  <c r="BH18" i="5" s="1"/>
  <c r="BH22" i="5" s="1"/>
  <c r="AU39" i="5"/>
  <c r="AU44" i="5"/>
  <c r="AU49" i="5"/>
  <c r="AU51" i="5"/>
  <c r="AV49" i="5"/>
  <c r="AV44" i="5"/>
  <c r="AV51" i="5"/>
  <c r="AV39" i="5"/>
  <c r="AX136" i="5"/>
  <c r="AX137" i="5" s="1"/>
  <c r="AS151" i="5" s="1"/>
  <c r="BH148" i="5"/>
  <c r="BM141" i="5" s="1"/>
  <c r="BM142" i="5" s="1"/>
  <c r="BM144" i="5"/>
  <c r="AR51" i="5"/>
  <c r="AR57" i="5" s="1"/>
  <c r="P87" i="14"/>
  <c r="P126" i="14" s="1"/>
  <c r="P82" i="14"/>
  <c r="P116" i="14" s="1"/>
  <c r="P119" i="14" s="1"/>
  <c r="P125" i="14" s="1"/>
  <c r="BM134" i="5"/>
  <c r="Q55" i="6"/>
  <c r="BM9" i="5"/>
  <c r="BM33" i="5" s="1"/>
  <c r="N112" i="6"/>
  <c r="M118" i="6"/>
  <c r="K64" i="7"/>
  <c r="K66" i="7" s="1"/>
  <c r="K69" i="7"/>
  <c r="K71" i="7" s="1"/>
  <c r="K5" i="11" s="1"/>
  <c r="M70" i="7"/>
  <c r="M46" i="7"/>
  <c r="N57" i="6"/>
  <c r="O57" i="6"/>
  <c r="N84" i="6" l="1"/>
  <c r="P84" i="6" s="1"/>
  <c r="Q84" i="6" s="1"/>
  <c r="N75" i="6"/>
  <c r="O75" i="6" s="1"/>
  <c r="P75" i="6" s="1"/>
  <c r="Q75" i="6" s="1"/>
  <c r="N96" i="6"/>
  <c r="O96" i="6" s="1"/>
  <c r="P96" i="6" s="1"/>
  <c r="Q96" i="6" s="1"/>
  <c r="N99" i="6"/>
  <c r="O99" i="6" s="1"/>
  <c r="P99" i="6" s="1"/>
  <c r="Q99" i="6" s="1"/>
  <c r="N93" i="6"/>
  <c r="O93" i="6" s="1"/>
  <c r="P93" i="6" s="1"/>
  <c r="Q93" i="6" s="1"/>
  <c r="N90" i="6"/>
  <c r="O90" i="6" s="1"/>
  <c r="P90" i="6" s="1"/>
  <c r="Q90" i="6" s="1"/>
  <c r="N81" i="6"/>
  <c r="O81" i="6" s="1"/>
  <c r="P81" i="6" s="1"/>
  <c r="Q81" i="6" s="1"/>
  <c r="N78" i="6"/>
  <c r="BC13" i="5"/>
  <c r="BA71" i="5"/>
  <c r="BA65" i="5"/>
  <c r="BA66" i="5"/>
  <c r="BB49" i="5"/>
  <c r="BB39" i="5"/>
  <c r="BB51" i="5"/>
  <c r="BB57" i="5" s="1"/>
  <c r="BB60" i="5" s="1"/>
  <c r="BB62" i="5" s="1"/>
  <c r="BB64" i="5" s="1"/>
  <c r="BB44" i="5"/>
  <c r="AY71" i="5"/>
  <c r="AY65" i="5"/>
  <c r="AY66" i="5"/>
  <c r="AZ66" i="5"/>
  <c r="AZ71" i="5"/>
  <c r="AZ65" i="5"/>
  <c r="BM13" i="5"/>
  <c r="BH29" i="5"/>
  <c r="BH47" i="5" s="1"/>
  <c r="AX138" i="5"/>
  <c r="AX150" i="5" s="1"/>
  <c r="BM146" i="5"/>
  <c r="BM147" i="5" s="1"/>
  <c r="AS153" i="5"/>
  <c r="AS154" i="5" s="1"/>
  <c r="AS152" i="5"/>
  <c r="K8" i="11"/>
  <c r="K6" i="11"/>
  <c r="L6" i="11"/>
  <c r="M119" i="6"/>
  <c r="O77" i="6"/>
  <c r="O10" i="6" s="1"/>
  <c r="O83" i="6"/>
  <c r="O39" i="6" s="1"/>
  <c r="O98" i="6"/>
  <c r="O34" i="6" s="1"/>
  <c r="L65" i="7"/>
  <c r="L66" i="7" s="1"/>
  <c r="K6" i="6"/>
  <c r="O112" i="6"/>
  <c r="P57" i="6"/>
  <c r="BM46" i="5"/>
  <c r="BM50" i="5" s="1"/>
  <c r="O74" i="6" l="1"/>
  <c r="O23" i="6" s="1"/>
  <c r="O89" i="6"/>
  <c r="O27" i="6" s="1"/>
  <c r="O80" i="6"/>
  <c r="O25" i="6" s="1"/>
  <c r="O92" i="6"/>
  <c r="O33" i="6" s="1"/>
  <c r="O95" i="6"/>
  <c r="O28" i="6" s="1"/>
  <c r="AZ72" i="5"/>
  <c r="AZ74" i="5"/>
  <c r="AZ75" i="5" s="1"/>
  <c r="AY72" i="5"/>
  <c r="AY74" i="5"/>
  <c r="AY75" i="5" s="1"/>
  <c r="BB71" i="5"/>
  <c r="BB66" i="5"/>
  <c r="BB65" i="5"/>
  <c r="BA72" i="5"/>
  <c r="BA74" i="5"/>
  <c r="BA75" i="5" s="1"/>
  <c r="BC131" i="5"/>
  <c r="BC132" i="5" s="1"/>
  <c r="BC161" i="5" s="1"/>
  <c r="M31" i="6"/>
  <c r="M40" i="6" s="1"/>
  <c r="BM148" i="5"/>
  <c r="P56" i="6"/>
  <c r="P68" i="6" s="1"/>
  <c r="P11" i="6" s="1"/>
  <c r="BH44" i="5"/>
  <c r="BH39" i="5"/>
  <c r="BH49" i="5"/>
  <c r="BH51" i="5"/>
  <c r="BH52" i="5" s="1"/>
  <c r="P123" i="6"/>
  <c r="P42" i="7" s="1"/>
  <c r="P112" i="6"/>
  <c r="O35" i="7"/>
  <c r="AI124" i="5"/>
  <c r="AI125" i="5" s="1"/>
  <c r="K14" i="6"/>
  <c r="K21" i="6" s="1"/>
  <c r="K52" i="6" s="1"/>
  <c r="M65" i="7"/>
  <c r="L14" i="6"/>
  <c r="L21" i="6" s="1"/>
  <c r="L52" i="6" s="1"/>
  <c r="P80" i="6"/>
  <c r="P25" i="6" s="1"/>
  <c r="P83" i="6"/>
  <c r="P39" i="6" s="1"/>
  <c r="P35" i="7" s="1"/>
  <c r="P77" i="6"/>
  <c r="P10" i="6" s="1"/>
  <c r="P92" i="6"/>
  <c r="P33" i="6" s="1"/>
  <c r="P98" i="6"/>
  <c r="P34" i="6" s="1"/>
  <c r="P89" i="6"/>
  <c r="P27" i="6" s="1"/>
  <c r="P95" i="6"/>
  <c r="P28" i="6" s="1"/>
  <c r="P74" i="6"/>
  <c r="P23" i="6" s="1"/>
  <c r="N122" i="6"/>
  <c r="O31" i="7" l="1"/>
  <c r="O34" i="7"/>
  <c r="BB74" i="5"/>
  <c r="BB75" i="5" s="1"/>
  <c r="BB72" i="5"/>
  <c r="BC136" i="5"/>
  <c r="BC137" i="5" s="1"/>
  <c r="AX151" i="5" s="1"/>
  <c r="AX153" i="5" s="1"/>
  <c r="AX159" i="5" s="1"/>
  <c r="P115" i="6"/>
  <c r="Q115" i="6" s="1"/>
  <c r="P65" i="6"/>
  <c r="P9" i="6" s="1"/>
  <c r="P62" i="6"/>
  <c r="P8" i="6" s="1"/>
  <c r="AI126" i="5"/>
  <c r="AN125" i="5"/>
  <c r="Q56" i="6"/>
  <c r="Q123" i="6"/>
  <c r="BM49" i="5"/>
  <c r="BM39" i="5"/>
  <c r="BM44" i="5"/>
  <c r="BM51" i="5"/>
  <c r="BM52" i="5" s="1"/>
  <c r="Q112" i="6"/>
  <c r="Q57" i="6"/>
  <c r="Q74" i="6" s="1"/>
  <c r="P46" i="7"/>
  <c r="P70" i="7"/>
  <c r="P31" i="7"/>
  <c r="AN124" i="5"/>
  <c r="BM47" i="5"/>
  <c r="P34" i="7"/>
  <c r="AX154" i="5" l="1"/>
  <c r="N26" i="6"/>
  <c r="AX152" i="5" s="1"/>
  <c r="O59" i="7"/>
  <c r="BC138" i="5"/>
  <c r="BC150" i="5" s="1"/>
  <c r="Q65" i="6"/>
  <c r="Q9" i="6" s="1"/>
  <c r="Q27" i="7" s="1"/>
  <c r="Q68" i="6"/>
  <c r="Q11" i="6" s="1"/>
  <c r="Q29" i="7" s="1"/>
  <c r="Q62" i="6"/>
  <c r="Q8" i="6" s="1"/>
  <c r="Q116" i="6"/>
  <c r="Q42" i="7"/>
  <c r="Q80" i="6"/>
  <c r="Q25" i="6" s="1"/>
  <c r="Q83" i="6"/>
  <c r="Q39" i="6" s="1"/>
  <c r="Q35" i="7" s="1"/>
  <c r="Q92" i="6"/>
  <c r="Q33" i="6" s="1"/>
  <c r="Q89" i="6"/>
  <c r="Q27" i="6" s="1"/>
  <c r="Q98" i="6"/>
  <c r="Q34" i="6" s="1"/>
  <c r="Q95" i="6"/>
  <c r="Q28" i="6" s="1"/>
  <c r="Q77" i="6"/>
  <c r="Q10" i="6" s="1"/>
  <c r="AN126" i="5"/>
  <c r="AS125" i="5"/>
  <c r="Q26" i="7" l="1"/>
  <c r="N31" i="6"/>
  <c r="N40" i="6" s="1"/>
  <c r="BH131" i="5"/>
  <c r="BH132" i="5" s="1"/>
  <c r="BH161" i="5" s="1"/>
  <c r="Q34" i="7"/>
  <c r="Q70" i="7"/>
  <c r="Q46" i="7"/>
  <c r="AX125" i="5"/>
  <c r="BC125" i="5" s="1"/>
  <c r="BH125" i="5" s="1"/>
  <c r="BM125" i="5" s="1"/>
  <c r="AS126" i="5"/>
  <c r="BH136" i="5" l="1"/>
  <c r="BH137" i="5" s="1"/>
  <c r="BH138" i="5" s="1"/>
  <c r="BH150" i="5" s="1"/>
  <c r="AS57" i="5"/>
  <c r="P59" i="7" l="1"/>
  <c r="BC151" i="5"/>
  <c r="AS116" i="5"/>
  <c r="AS117" i="5" s="1"/>
  <c r="BM131" i="5"/>
  <c r="BC153" i="5" l="1"/>
  <c r="BC159" i="5" s="1"/>
  <c r="O38" i="6" s="1"/>
  <c r="O26" i="6"/>
  <c r="BC152" i="5" s="1"/>
  <c r="BM132" i="5"/>
  <c r="BM161" i="5" s="1"/>
  <c r="AS120" i="5"/>
  <c r="AS119" i="5"/>
  <c r="AS121" i="5" s="1"/>
  <c r="AS58" i="5" s="1"/>
  <c r="AX115" i="5"/>
  <c r="BC154" i="5" l="1"/>
  <c r="O55" i="7"/>
  <c r="O31" i="6"/>
  <c r="O40" i="6" s="1"/>
  <c r="AQ58" i="5"/>
  <c r="AQ60" i="5" s="1"/>
  <c r="AS59" i="5"/>
  <c r="M138" i="6" s="1"/>
  <c r="M140" i="6" s="1"/>
  <c r="AS60" i="5"/>
  <c r="AS62" i="5" s="1"/>
  <c r="AS64" i="5" s="1"/>
  <c r="BM136" i="5"/>
  <c r="BM137" i="5" s="1"/>
  <c r="BH151" i="5" l="1"/>
  <c r="BM151" i="5" s="1"/>
  <c r="Q26" i="6" s="1"/>
  <c r="Q59" i="7"/>
  <c r="BM138" i="5"/>
  <c r="BM150" i="5" s="1"/>
  <c r="AQ62" i="5"/>
  <c r="AQ64" i="5" s="1"/>
  <c r="AQ59" i="5"/>
  <c r="AS65" i="5"/>
  <c r="M153" i="6"/>
  <c r="AS70" i="5"/>
  <c r="AS71" i="5" s="1"/>
  <c r="M7" i="11"/>
  <c r="M53" i="7"/>
  <c r="M62" i="7" s="1"/>
  <c r="AS167" i="5" l="1"/>
  <c r="BM152" i="5"/>
  <c r="BH153" i="5"/>
  <c r="BH159" i="5" s="1"/>
  <c r="P38" i="6" s="1"/>
  <c r="BM153" i="5"/>
  <c r="BM159" i="5" s="1"/>
  <c r="Q38" i="6" s="1"/>
  <c r="AR59" i="5"/>
  <c r="AR60" i="5"/>
  <c r="AR62" i="5" s="1"/>
  <c r="AR64" i="5" s="1"/>
  <c r="AQ66" i="5"/>
  <c r="AQ65" i="5"/>
  <c r="P26" i="6"/>
  <c r="BH152" i="5" s="1"/>
  <c r="AS74" i="5"/>
  <c r="AQ70" i="5"/>
  <c r="AQ71" i="5" s="1"/>
  <c r="AP70" i="5"/>
  <c r="AP71" i="5" s="1"/>
  <c r="AO70" i="5"/>
  <c r="AO71" i="5" s="1"/>
  <c r="BM154" i="5" l="1"/>
  <c r="Q55" i="7"/>
  <c r="BH154" i="5"/>
  <c r="P55" i="7"/>
  <c r="AR71" i="5"/>
  <c r="AS72" i="5"/>
  <c r="AS66" i="5"/>
  <c r="AO72" i="5"/>
  <c r="AO74" i="5"/>
  <c r="AQ74" i="5"/>
  <c r="AQ72" i="5"/>
  <c r="P31" i="6"/>
  <c r="P40" i="6" s="1"/>
  <c r="AP72" i="5"/>
  <c r="AP74" i="5"/>
  <c r="AS75" i="5"/>
  <c r="AS76" i="5"/>
  <c r="AR65" i="5"/>
  <c r="AR66" i="5"/>
  <c r="M48" i="6" l="1"/>
  <c r="M50" i="6" s="1"/>
  <c r="M9" i="7"/>
  <c r="M37" i="7" s="1"/>
  <c r="AO75" i="5"/>
  <c r="AO76" i="5"/>
  <c r="AR74" i="5"/>
  <c r="AR72" i="5"/>
  <c r="AQ75" i="5"/>
  <c r="AQ76" i="5"/>
  <c r="AP76" i="5"/>
  <c r="AP75" i="5"/>
  <c r="AR76" i="5" l="1"/>
  <c r="AR75" i="5"/>
  <c r="M69" i="7"/>
  <c r="M71" i="7" s="1"/>
  <c r="M5" i="11" s="1"/>
  <c r="M64" i="7"/>
  <c r="M66" i="7" s="1"/>
  <c r="M6" i="11" l="1"/>
  <c r="M8" i="11"/>
  <c r="M9" i="11" s="1"/>
  <c r="N65" i="7"/>
  <c r="P12" i="11" l="1"/>
  <c r="AS124" i="5"/>
  <c r="AX126" i="5" s="1"/>
  <c r="M14" i="6"/>
  <c r="M21" i="6" s="1"/>
  <c r="M52" i="6" s="1"/>
  <c r="AU55" i="5" l="1"/>
  <c r="AU57" i="5" s="1"/>
  <c r="AU60" i="5" s="1"/>
  <c r="AU62" i="5" s="1"/>
  <c r="AU64" i="5" s="1"/>
  <c r="AV55" i="5"/>
  <c r="AV57" i="5" s="1"/>
  <c r="AV60" i="5" s="1"/>
  <c r="AV62" i="5" s="1"/>
  <c r="AV64" i="5" s="1"/>
  <c r="AW55" i="5"/>
  <c r="AV66" i="5" l="1"/>
  <c r="AV71" i="5"/>
  <c r="AV65" i="5"/>
  <c r="AU66" i="5"/>
  <c r="AU71" i="5"/>
  <c r="AU65" i="5"/>
  <c r="AV74" i="5" l="1"/>
  <c r="AV75" i="5" s="1"/>
  <c r="AV72" i="5"/>
  <c r="AU74" i="5"/>
  <c r="AU75" i="5" s="1"/>
  <c r="AU72" i="5"/>
  <c r="AT15" i="5" l="1"/>
  <c r="AT17" i="5"/>
  <c r="AT22" i="5" l="1"/>
  <c r="AT26" i="5" s="1"/>
  <c r="AX17" i="5"/>
  <c r="AT44" i="5"/>
  <c r="AT51" i="5"/>
  <c r="AT57" i="5" s="1"/>
  <c r="AT60" i="5" s="1"/>
  <c r="AT62" i="5" s="1"/>
  <c r="AT64" i="5" s="1"/>
  <c r="AT71" i="5" s="1"/>
  <c r="AT49" i="5"/>
  <c r="AT39" i="5"/>
  <c r="AT66" i="5" l="1"/>
  <c r="AT65" i="5"/>
  <c r="AT72" i="5" l="1"/>
  <c r="AT74" i="5"/>
  <c r="AT75" i="5" s="1"/>
  <c r="AU22" i="5" l="1"/>
  <c r="AU26" i="5" s="1"/>
  <c r="AW15" i="5" l="1"/>
  <c r="AX19" i="5" l="1"/>
  <c r="AW22" i="5"/>
  <c r="AX22" i="5" l="1"/>
  <c r="AW25" i="5"/>
  <c r="AW26" i="5" s="1"/>
  <c r="AX26" i="5" s="1"/>
  <c r="AW69" i="5"/>
  <c r="AX68" i="5"/>
  <c r="O16" i="7" l="1"/>
  <c r="O149" i="6"/>
  <c r="BH68" i="5"/>
  <c r="BC69" i="5"/>
  <c r="AX69" i="5"/>
  <c r="N149" i="6"/>
  <c r="P149" i="6" l="1"/>
  <c r="P16" i="7"/>
  <c r="BH69" i="5"/>
  <c r="BM68" i="5"/>
  <c r="Q149" i="6" l="1"/>
  <c r="BM69" i="5"/>
  <c r="Q16" i="7"/>
  <c r="AW49" i="5" l="1"/>
  <c r="AW51" i="5"/>
  <c r="AW57" i="5" s="1"/>
  <c r="AW60" i="5" s="1"/>
  <c r="AW62" i="5" s="1"/>
  <c r="AW64" i="5" s="1"/>
  <c r="AW44" i="5"/>
  <c r="AW39" i="5"/>
  <c r="AW65" i="5" l="1"/>
  <c r="AW66" i="5"/>
  <c r="AW71" i="5"/>
  <c r="AW74" i="5" s="1"/>
  <c r="AW72" i="5" l="1"/>
  <c r="AW75" i="5"/>
  <c r="AV25" i="5"/>
  <c r="N113" i="6" l="1"/>
  <c r="AX44" i="5"/>
  <c r="AX51" i="5"/>
  <c r="AX57" i="5" s="1"/>
  <c r="AX49" i="5"/>
  <c r="N56" i="6"/>
  <c r="AX47" i="5"/>
  <c r="AX39" i="5"/>
  <c r="N63" i="6" l="1"/>
  <c r="O63" i="6" s="1"/>
  <c r="N66" i="6"/>
  <c r="N69" i="6"/>
  <c r="N72" i="6"/>
  <c r="N46" i="7"/>
  <c r="N118" i="6"/>
  <c r="O113" i="6"/>
  <c r="AX116" i="5"/>
  <c r="AX117" i="5" s="1"/>
  <c r="Q71" i="6" l="1"/>
  <c r="Q18" i="6" s="1"/>
  <c r="P71" i="6"/>
  <c r="P18" i="6" s="1"/>
  <c r="N70" i="7"/>
  <c r="N119" i="6"/>
  <c r="AX120" i="5"/>
  <c r="BC115" i="5"/>
  <c r="AX119" i="5"/>
  <c r="AX121" i="5" s="1"/>
  <c r="AX58" i="5" s="1"/>
  <c r="P113" i="6"/>
  <c r="Q30" i="7" l="1"/>
  <c r="O122" i="6"/>
  <c r="AX59" i="5"/>
  <c r="AX60" i="5"/>
  <c r="AX62" i="5" s="1"/>
  <c r="AX64" i="5" s="1"/>
  <c r="Q113" i="6"/>
  <c r="AX65" i="5" l="1"/>
  <c r="N138" i="6"/>
  <c r="N140" i="6" s="1"/>
  <c r="BC59" i="5"/>
  <c r="N53" i="7" l="1"/>
  <c r="N62" i="7" s="1"/>
  <c r="N7" i="11"/>
  <c r="N153" i="6"/>
  <c r="AX71" i="5"/>
  <c r="O138" i="6"/>
  <c r="O140" i="6" s="1"/>
  <c r="BH59" i="5"/>
  <c r="P138" i="6" l="1"/>
  <c r="P140" i="6" s="1"/>
  <c r="BM59" i="5"/>
  <c r="Q138" i="6" s="1"/>
  <c r="Q140" i="6" s="1"/>
  <c r="AX79" i="5"/>
  <c r="AX72" i="5" s="1"/>
  <c r="AX74" i="5"/>
  <c r="AX167" i="5"/>
  <c r="BC70" i="5"/>
  <c r="O53" i="7"/>
  <c r="O62" i="7" s="1"/>
  <c r="O7" i="11"/>
  <c r="O153" i="6"/>
  <c r="O44" i="6" s="1"/>
  <c r="AX75" i="5" l="1"/>
  <c r="AX76" i="5"/>
  <c r="AX66" i="5"/>
  <c r="BC167" i="5"/>
  <c r="BM70" i="5"/>
  <c r="Q53" i="7"/>
  <c r="Q62" i="7" s="1"/>
  <c r="Q153" i="6"/>
  <c r="Q7" i="11"/>
  <c r="R7" i="11" s="1"/>
  <c r="S7" i="11" s="1"/>
  <c r="T7" i="11" s="1"/>
  <c r="U7" i="11" s="1"/>
  <c r="V7" i="11" s="1"/>
  <c r="W7" i="11" s="1"/>
  <c r="X7" i="11" s="1"/>
  <c r="Y7" i="11" s="1"/>
  <c r="Z7" i="11" s="1"/>
  <c r="AA7" i="11" s="1"/>
  <c r="AB7" i="11" s="1"/>
  <c r="AC7" i="11" s="1"/>
  <c r="AD7" i="11" s="1"/>
  <c r="AE7" i="11" s="1"/>
  <c r="BH70" i="5"/>
  <c r="P153" i="6"/>
  <c r="P44" i="6" s="1"/>
  <c r="P53" i="7"/>
  <c r="P62" i="7" s="1"/>
  <c r="P7" i="11"/>
  <c r="BH167" i="5" l="1"/>
  <c r="Q44" i="6"/>
  <c r="N9" i="7"/>
  <c r="N37" i="7" s="1"/>
  <c r="N48" i="6" l="1"/>
  <c r="N50" i="6" s="1"/>
  <c r="N69" i="7"/>
  <c r="N71" i="7" s="1"/>
  <c r="N5" i="11" s="1"/>
  <c r="N64" i="7"/>
  <c r="N66" i="7" s="1"/>
  <c r="BM167" i="5"/>
  <c r="O65" i="7" l="1"/>
  <c r="N8" i="11"/>
  <c r="N9" i="11" s="1"/>
  <c r="N6" i="11"/>
  <c r="N14" i="6" l="1"/>
  <c r="N21" i="6" s="1"/>
  <c r="N52" i="6" s="1"/>
  <c r="AX124" i="5"/>
  <c r="BC126" i="5" s="1"/>
  <c r="BC22" i="5" l="1"/>
  <c r="BC29" i="5" l="1"/>
  <c r="BC49" i="5" l="1"/>
  <c r="BC39" i="5"/>
  <c r="BC51" i="5"/>
  <c r="BC44" i="5"/>
  <c r="O56" i="6"/>
  <c r="O123" i="6"/>
  <c r="BC47" i="5"/>
  <c r="O114" i="6" l="1"/>
  <c r="O42" i="7"/>
  <c r="BC57" i="5"/>
  <c r="BC52" i="5"/>
  <c r="O62" i="6"/>
  <c r="O8" i="6" s="1"/>
  <c r="O65" i="6"/>
  <c r="O9" i="6" s="1"/>
  <c r="O68" i="6"/>
  <c r="O11" i="6" s="1"/>
  <c r="O71" i="6"/>
  <c r="O18" i="6" s="1"/>
  <c r="O26" i="7" l="1"/>
  <c r="P26" i="7"/>
  <c r="P114" i="6"/>
  <c r="O118" i="6"/>
  <c r="O29" i="7"/>
  <c r="P29" i="7"/>
  <c r="BC58" i="5"/>
  <c r="BC60" i="5" s="1"/>
  <c r="BC62" i="5" s="1"/>
  <c r="BC64" i="5" s="1"/>
  <c r="BC116" i="5"/>
  <c r="BC117" i="5" s="1"/>
  <c r="O30" i="7"/>
  <c r="P30" i="7"/>
  <c r="O27" i="7"/>
  <c r="P27" i="7"/>
  <c r="O46" i="7"/>
  <c r="O70" i="7"/>
  <c r="BC65" i="5" l="1"/>
  <c r="BC71" i="5"/>
  <c r="BC79" i="5" s="1"/>
  <c r="BC66" i="5" s="1"/>
  <c r="O125" i="6"/>
  <c r="O126" i="6" s="1"/>
  <c r="O12" i="7"/>
  <c r="O119" i="6"/>
  <c r="P118" i="6"/>
  <c r="Q114" i="6"/>
  <c r="Q118" i="6" s="1"/>
  <c r="BC120" i="5"/>
  <c r="BH115" i="5"/>
  <c r="BC119" i="5"/>
  <c r="BC121" i="5" s="1"/>
  <c r="BH79" i="5" l="1"/>
  <c r="Q119" i="6"/>
  <c r="Q125" i="6"/>
  <c r="Q12" i="7"/>
  <c r="P125" i="6"/>
  <c r="P12" i="7"/>
  <c r="P119" i="6"/>
  <c r="BC74" i="5"/>
  <c r="BC72" i="5"/>
  <c r="O17" i="6"/>
  <c r="P122" i="6"/>
  <c r="BM79" i="5" l="1"/>
  <c r="P126" i="6"/>
  <c r="P17" i="6" s="1"/>
  <c r="BC76" i="5"/>
  <c r="O6" i="7" s="1"/>
  <c r="BC75" i="5"/>
  <c r="Q122" i="6" l="1"/>
  <c r="Q126" i="6" s="1"/>
  <c r="Q17" i="6" s="1"/>
  <c r="O9" i="7"/>
  <c r="O37" i="7" s="1"/>
  <c r="O45" i="6"/>
  <c r="O64" i="7" l="1"/>
  <c r="O66" i="7" s="1"/>
  <c r="O69" i="7"/>
  <c r="O71" i="7" s="1"/>
  <c r="O5" i="11" s="1"/>
  <c r="O48" i="6"/>
  <c r="O50" i="6" s="1"/>
  <c r="P65" i="7" l="1"/>
  <c r="O6" i="6"/>
  <c r="O8" i="11"/>
  <c r="O9" i="11" s="1"/>
  <c r="O6" i="11"/>
  <c r="O14" i="6" l="1"/>
  <c r="O21" i="6" s="1"/>
  <c r="O52" i="6" s="1"/>
  <c r="BC124" i="5"/>
  <c r="BH126" i="5" s="1"/>
  <c r="BH55" i="5" s="1"/>
  <c r="BH57" i="5" l="1"/>
  <c r="BH116" i="5" l="1"/>
  <c r="BH117" i="5" s="1"/>
  <c r="BH58" i="5"/>
  <c r="BH60" i="5" s="1"/>
  <c r="BH62" i="5" s="1"/>
  <c r="BH64" i="5" s="1"/>
  <c r="BH66" i="5" l="1"/>
  <c r="BH65" i="5"/>
  <c r="BH71" i="5"/>
  <c r="BH120" i="5"/>
  <c r="BM115" i="5"/>
  <c r="BH119" i="5"/>
  <c r="BH121" i="5" s="1"/>
  <c r="BH74" i="5" l="1"/>
  <c r="BH72" i="5"/>
  <c r="BH75" i="5" l="1"/>
  <c r="BH76" i="5"/>
  <c r="P6" i="7" s="1"/>
  <c r="P9" i="7" l="1"/>
  <c r="P37" i="7" s="1"/>
  <c r="P45" i="6"/>
  <c r="P64" i="7" l="1"/>
  <c r="P66" i="7" s="1"/>
  <c r="P69" i="7"/>
  <c r="P71" i="7" s="1"/>
  <c r="P5" i="11" s="1"/>
  <c r="P48" i="6"/>
  <c r="P50" i="6" s="1"/>
  <c r="P6" i="6" l="1"/>
  <c r="Q65" i="7"/>
  <c r="P8" i="11"/>
  <c r="P9" i="11" s="1"/>
  <c r="P6" i="11"/>
  <c r="P14" i="6" l="1"/>
  <c r="P21" i="6" s="1"/>
  <c r="P52" i="6" s="1"/>
  <c r="BH124" i="5"/>
  <c r="BM126" i="5" s="1"/>
  <c r="BM55" i="5" s="1"/>
  <c r="BM57" i="5" l="1"/>
  <c r="BM116" i="5" l="1"/>
  <c r="BM117" i="5" s="1"/>
  <c r="BM58" i="5"/>
  <c r="BM60" i="5" s="1"/>
  <c r="BM62" i="5" s="1"/>
  <c r="BM64" i="5" s="1"/>
  <c r="BM71" i="5" l="1"/>
  <c r="BM66" i="5"/>
  <c r="BM65" i="5"/>
  <c r="BM120" i="5"/>
  <c r="BM119" i="5"/>
  <c r="BM121" i="5" s="1"/>
  <c r="BM74" i="5" l="1"/>
  <c r="BM72" i="5"/>
  <c r="BM76" i="5" l="1"/>
  <c r="Q6" i="7" s="1"/>
  <c r="BM75" i="5"/>
  <c r="Q9" i="7" l="1"/>
  <c r="Q45" i="6"/>
  <c r="Q48" i="6" s="1"/>
  <c r="Q23" i="6" l="1"/>
  <c r="Q31" i="7" s="1"/>
  <c r="Q37" i="7" s="1"/>
  <c r="Q69" i="7" s="1"/>
  <c r="Q71" i="7" s="1"/>
  <c r="Q5" i="11" s="1"/>
  <c r="Q31" i="6" l="1"/>
  <c r="Q40" i="6" s="1"/>
  <c r="Q50" i="6" s="1"/>
  <c r="Q6" i="11"/>
  <c r="Q8" i="11"/>
  <c r="Q9" i="11" s="1"/>
  <c r="R5" i="11"/>
  <c r="Q64" i="7"/>
  <c r="Q66" i="7" s="1"/>
  <c r="Q6" i="6" s="1"/>
  <c r="Q14" i="6" l="1"/>
  <c r="Q21" i="6" s="1"/>
  <c r="Q52" i="6" s="1"/>
  <c r="BM124" i="5"/>
  <c r="S5" i="11"/>
  <c r="R8" i="11"/>
  <c r="R9" i="11" s="1"/>
  <c r="S8" i="11" l="1"/>
  <c r="S9" i="11" s="1"/>
  <c r="T5" i="11"/>
  <c r="T8" i="11" l="1"/>
  <c r="T9" i="11" s="1"/>
  <c r="U5" i="11"/>
  <c r="U8" i="11" l="1"/>
  <c r="U9" i="11" s="1"/>
  <c r="V5" i="11"/>
  <c r="W5" i="11" l="1"/>
  <c r="V8" i="11"/>
  <c r="V9" i="11" s="1"/>
  <c r="W8" i="11" l="1"/>
  <c r="W9" i="11" s="1"/>
  <c r="X5" i="11"/>
  <c r="X8" i="11" l="1"/>
  <c r="X9" i="11" s="1"/>
  <c r="Y5" i="11"/>
  <c r="Y8" i="11" l="1"/>
  <c r="Y9" i="11" s="1"/>
  <c r="Z5" i="11"/>
  <c r="AA5" i="11" l="1"/>
  <c r="Z8" i="11"/>
  <c r="Z9" i="11" s="1"/>
  <c r="AA8" i="11" l="1"/>
  <c r="AA9" i="11" s="1"/>
  <c r="AB5" i="11"/>
  <c r="AB8" i="11" l="1"/>
  <c r="AB9" i="11" s="1"/>
  <c r="AC5" i="11"/>
  <c r="AC8" i="11" l="1"/>
  <c r="AC9" i="11" s="1"/>
  <c r="AD5" i="11"/>
  <c r="AE5" i="11" l="1"/>
  <c r="AE8" i="11" s="1"/>
  <c r="AD8" i="11"/>
  <c r="AD9" i="11" s="1"/>
  <c r="AE9" i="11" l="1"/>
  <c r="AF8" i="11"/>
  <c r="AF9" i="11" s="1"/>
  <c r="P11" i="11" l="1"/>
  <c r="P13" i="11" s="1"/>
  <c r="P14" i="11" s="1"/>
  <c r="L2" i="14" s="1"/>
  <c r="I1" i="6" l="1"/>
  <c r="Y1" i="5"/>
  <c r="P22" i="11"/>
  <c r="H128" i="6"/>
</calcChain>
</file>

<file path=xl/comments1.xml><?xml version="1.0" encoding="utf-8"?>
<comments xmlns="http://schemas.openxmlformats.org/spreadsheetml/2006/main">
  <authors>
    <author>slifsara</author>
    <author>Brienne Kugler</author>
    <author>Jeremy Joseph</author>
    <author>David Friedman</author>
    <author>Pommer, Matthew S (Research)</author>
  </authors>
  <commentList>
    <comment ref="X6" authorId="0">
      <text>
        <r>
          <rPr>
            <sz val="8"/>
            <color indexed="81"/>
            <rFont val="Tahoma"/>
            <family val="2"/>
          </rPr>
          <t>Dec. launch
This est. does not incl. stocking</t>
        </r>
      </text>
    </comment>
    <comment ref="AE6" authorId="1">
      <text>
        <r>
          <rPr>
            <b/>
            <sz val="8"/>
            <color indexed="81"/>
            <rFont val="Tahoma"/>
            <family val="2"/>
          </rPr>
          <t>Brienne Kugler:</t>
        </r>
        <r>
          <rPr>
            <sz val="8"/>
            <color indexed="81"/>
            <rFont val="Tahoma"/>
            <family val="2"/>
          </rPr>
          <t xml:space="preserve">
4-5 weeks Linzess wholesaler inventory levels at end of Q</t>
        </r>
      </text>
    </comment>
    <comment ref="AF6" authorId="1">
      <text>
        <r>
          <rPr>
            <b/>
            <sz val="8"/>
            <color indexed="81"/>
            <rFont val="Tahoma"/>
            <family val="2"/>
          </rPr>
          <t>Brienne Kugler:</t>
        </r>
        <r>
          <rPr>
            <sz val="8"/>
            <color indexed="81"/>
            <rFont val="Tahoma"/>
            <family val="2"/>
          </rPr>
          <t xml:space="preserve">
2 week decrease in wholesaler inventory 
2-3 weeks Linzess wholesaler inventory levels at end of Q
</t>
        </r>
      </text>
    </comment>
    <comment ref="AA7" authorId="1">
      <text>
        <r>
          <rPr>
            <b/>
            <sz val="8"/>
            <color indexed="81"/>
            <rFont val="Tahoma"/>
            <family val="2"/>
          </rPr>
          <t>Brienne Kugler:</t>
        </r>
        <r>
          <rPr>
            <sz val="8"/>
            <color indexed="81"/>
            <rFont val="Tahoma"/>
            <family val="2"/>
          </rPr>
          <t xml:space="preserve">
Estimated</t>
        </r>
      </text>
    </comment>
    <comment ref="AB7" authorId="1">
      <text>
        <r>
          <rPr>
            <b/>
            <sz val="8"/>
            <color indexed="81"/>
            <rFont val="Tahoma"/>
            <family val="2"/>
          </rPr>
          <t>Brienne Kugler:</t>
        </r>
        <r>
          <rPr>
            <sz val="8"/>
            <color indexed="81"/>
            <rFont val="Tahoma"/>
            <family val="2"/>
          </rPr>
          <t xml:space="preserve">
Estimated</t>
        </r>
      </text>
    </comment>
    <comment ref="AC7" authorId="1">
      <text>
        <r>
          <rPr>
            <b/>
            <sz val="8"/>
            <color indexed="81"/>
            <rFont val="Tahoma"/>
            <family val="2"/>
          </rPr>
          <t>Brienne Kugler:</t>
        </r>
        <r>
          <rPr>
            <sz val="8"/>
            <color indexed="81"/>
            <rFont val="Tahoma"/>
            <family val="2"/>
          </rPr>
          <t xml:space="preserve">
Estimated</t>
        </r>
      </text>
    </comment>
    <comment ref="AE7" authorId="1">
      <text>
        <r>
          <rPr>
            <b/>
            <sz val="8"/>
            <color indexed="81"/>
            <rFont val="Tahoma"/>
            <family val="2"/>
          </rPr>
          <t>Brienne Kugler:</t>
        </r>
        <r>
          <rPr>
            <sz val="8"/>
            <color indexed="81"/>
            <rFont val="Tahoma"/>
            <family val="2"/>
          </rPr>
          <t xml:space="preserve">
Estimated</t>
        </r>
      </text>
    </comment>
    <comment ref="AF7" authorId="1">
      <text>
        <r>
          <rPr>
            <b/>
            <sz val="8"/>
            <color indexed="81"/>
            <rFont val="Tahoma"/>
            <family val="2"/>
          </rPr>
          <t>Brienne Kugler:</t>
        </r>
        <r>
          <rPr>
            <sz val="8"/>
            <color indexed="81"/>
            <rFont val="Tahoma"/>
            <family val="2"/>
          </rPr>
          <t xml:space="preserve">
Estimated</t>
        </r>
      </text>
    </comment>
    <comment ref="S25" authorId="0">
      <text>
        <r>
          <rPr>
            <b/>
            <sz val="8"/>
            <color indexed="81"/>
            <rFont val="Tahoma"/>
            <family val="2"/>
          </rPr>
          <t>slifsara:</t>
        </r>
        <r>
          <rPr>
            <sz val="8"/>
            <color indexed="81"/>
            <rFont val="Tahoma"/>
            <family val="2"/>
          </rPr>
          <t xml:space="preserve">
20mn milestone payment for acceptance of NDA filing. </t>
        </r>
      </text>
    </comment>
    <comment ref="T25" authorId="2">
      <text>
        <r>
          <rPr>
            <b/>
            <sz val="8"/>
            <color indexed="81"/>
            <rFont val="Tahoma"/>
            <family val="2"/>
          </rPr>
          <t>Jeremy Joseph:</t>
        </r>
        <r>
          <rPr>
            <sz val="8"/>
            <color indexed="81"/>
            <rFont val="Tahoma"/>
            <family val="2"/>
          </rPr>
          <t xml:space="preserve">
Reference Milestone schedule</t>
        </r>
      </text>
    </comment>
    <comment ref="W25" authorId="1">
      <text>
        <r>
          <rPr>
            <b/>
            <sz val="8"/>
            <color indexed="81"/>
            <rFont val="Tahoma"/>
            <family val="2"/>
          </rPr>
          <t>Brienne Kugler:</t>
        </r>
        <r>
          <rPr>
            <sz val="8"/>
            <color indexed="81"/>
            <rFont val="Tahoma"/>
            <family val="2"/>
          </rPr>
          <t xml:space="preserve">
$85mn milestone for US approval</t>
        </r>
      </text>
    </comment>
    <comment ref="Y25" authorId="3">
      <text>
        <r>
          <rPr>
            <b/>
            <sz val="8"/>
            <color indexed="81"/>
            <rFont val="Tahoma"/>
            <family val="2"/>
          </rPr>
          <t>David Friedman:</t>
        </r>
        <r>
          <rPr>
            <sz val="8"/>
            <color indexed="81"/>
            <rFont val="Tahoma"/>
            <family val="2"/>
          </rPr>
          <t xml:space="preserve">
Includes approval milestones - see below</t>
        </r>
      </text>
    </comment>
    <comment ref="Z25" authorId="1">
      <text>
        <r>
          <rPr>
            <b/>
            <sz val="8"/>
            <color indexed="81"/>
            <rFont val="Tahoma"/>
            <family val="2"/>
          </rPr>
          <t>Brienne Kugler:</t>
        </r>
        <r>
          <rPr>
            <sz val="8"/>
            <color indexed="81"/>
            <rFont val="Tahoma"/>
            <family val="2"/>
          </rPr>
          <t xml:space="preserve">
API Sales: ~$2.3mn
Astellas amortization ~$0.8mn
AZ amortization ~$0.2mn</t>
        </r>
      </text>
    </comment>
    <comment ref="AA25" authorId="0">
      <text>
        <r>
          <rPr>
            <b/>
            <sz val="8"/>
            <color indexed="81"/>
            <rFont val="Tahoma"/>
            <family val="2"/>
          </rPr>
          <t>slifsara:</t>
        </r>
        <r>
          <rPr>
            <sz val="8"/>
            <color indexed="81"/>
            <rFont val="Tahoma"/>
            <family val="2"/>
          </rPr>
          <t xml:space="preserve">
$6.1mn API
$1.7mn amortization of deferred rev in association with Astellas and AZN agreements
$1.9mn in milestone payments from Almirall (commercial launches in UK and Germany)</t>
        </r>
      </text>
    </comment>
    <comment ref="AB25" authorId="0">
      <text>
        <r>
          <rPr>
            <b/>
            <sz val="8"/>
            <color indexed="81"/>
            <rFont val="Tahoma"/>
            <family val="2"/>
          </rPr>
          <t>slifsara:</t>
        </r>
        <r>
          <rPr>
            <sz val="8"/>
            <color indexed="81"/>
            <rFont val="Tahoma"/>
            <family val="2"/>
          </rPr>
          <t xml:space="preserve">
$3.4mn API
$1.5mn in amortization of deferred revenue associated with Astellas and AZN deals</t>
        </r>
      </text>
    </comment>
    <comment ref="AC25" authorId="1">
      <text>
        <r>
          <rPr>
            <b/>
            <sz val="8"/>
            <color indexed="81"/>
            <rFont val="Tahoma"/>
            <family val="2"/>
          </rPr>
          <t>Brienne Kugler:</t>
        </r>
        <r>
          <rPr>
            <sz val="8"/>
            <color indexed="81"/>
            <rFont val="Tahoma"/>
            <family val="2"/>
          </rPr>
          <t xml:space="preserve">
$0.5mn API
$1.5mn deferred revenue amortization</t>
        </r>
      </text>
    </comment>
    <comment ref="AE25" authorId="1">
      <text>
        <r>
          <rPr>
            <b/>
            <sz val="8"/>
            <color indexed="81"/>
            <rFont val="Tahoma"/>
            <family val="2"/>
          </rPr>
          <t>Brienne Kugler:</t>
        </r>
        <r>
          <rPr>
            <sz val="8"/>
            <color indexed="81"/>
            <rFont val="Tahoma"/>
            <family val="2"/>
          </rPr>
          <t xml:space="preserve">
$3.4mn API
$1.7mn deferred revenue amortization
$1mn EU milestone</t>
        </r>
      </text>
    </comment>
    <comment ref="B28" authorId="2">
      <text>
        <r>
          <rPr>
            <b/>
            <sz val="8"/>
            <color indexed="81"/>
            <rFont val="Tahoma"/>
            <family val="2"/>
          </rPr>
          <t>Jeremy Joseph:</t>
        </r>
        <r>
          <rPr>
            <sz val="8"/>
            <color indexed="81"/>
            <rFont val="Tahoma"/>
            <family val="2"/>
          </rPr>
          <t xml:space="preserve">
Services revenue is recognized when there is persuasive evidence that an arrangement exists, services have been rendered or delivery has occurred, the price is fixed or determinable, and collection is reasonably assured. Revenue from research and development services rendered is recognized as services are performed. These arrangements may include additional payments upon achieving specified events. We recognize these additional payments as revenue when achieved and the payments are due and collectible. Royalty revenue related to research and development services is recognized in the period the sales occur. </t>
        </r>
      </text>
    </comment>
    <comment ref="M28" authorId="2">
      <text>
        <r>
          <rPr>
            <b/>
            <sz val="8"/>
            <color indexed="81"/>
            <rFont val="Tahoma"/>
            <family val="2"/>
          </rPr>
          <t>Jeremy Joseph:</t>
        </r>
        <r>
          <rPr>
            <sz val="8"/>
            <color indexed="81"/>
            <rFont val="Tahoma"/>
            <family val="2"/>
          </rPr>
          <t xml:space="preserve">
Subsidiary sold</t>
        </r>
      </text>
    </comment>
    <comment ref="AF32" authorId="1">
      <text>
        <r>
          <rPr>
            <b/>
            <sz val="8"/>
            <color indexed="81"/>
            <rFont val="Tahoma"/>
            <family val="2"/>
          </rPr>
          <t>Brienne Kugler:</t>
        </r>
        <r>
          <rPr>
            <sz val="8"/>
            <color indexed="81"/>
            <rFont val="Tahoma"/>
            <family val="2"/>
          </rPr>
          <t xml:space="preserve">
$8.9mn write-down of API primarily due to lower projected sales in EU (mostly due to suspension of marketing in Germany)</t>
        </r>
      </text>
    </comment>
    <comment ref="U36" authorId="0">
      <text>
        <r>
          <rPr>
            <b/>
            <sz val="8"/>
            <color indexed="81"/>
            <rFont val="Tahoma"/>
            <family val="2"/>
          </rPr>
          <t>slifsara:</t>
        </r>
        <r>
          <rPr>
            <sz val="8"/>
            <color indexed="81"/>
            <rFont val="Tahoma"/>
            <family val="2"/>
          </rPr>
          <t xml:space="preserve">
$3mn upfront to Bionomics for BNC210 (deal announced Jan 4th, 2012)
Over next 24 months, Bionomics may recieive up to $13mn in research funding and milestone payments, including initial payment of $3mn. </t>
        </r>
      </text>
    </comment>
    <comment ref="W36" authorId="0">
      <text>
        <r>
          <rPr>
            <b/>
            <sz val="8"/>
            <color indexed="81"/>
            <rFont val="Tahoma"/>
            <family val="2"/>
          </rPr>
          <t>slifsara:</t>
        </r>
        <r>
          <rPr>
            <sz val="8"/>
            <color indexed="81"/>
            <rFont val="Tahoma"/>
            <family val="2"/>
          </rPr>
          <t xml:space="preserve">
Drug launch- decline in pre-launch activities in R&amp;D (e.g. investment in redundancy in supply chain) + CC Ph 3 trial</t>
        </r>
      </text>
    </comment>
    <comment ref="M63" authorId="2">
      <text>
        <r>
          <rPr>
            <b/>
            <sz val="8"/>
            <color indexed="81"/>
            <rFont val="Tahoma"/>
            <family val="2"/>
          </rPr>
          <t>Jeremy Joseph:</t>
        </r>
        <r>
          <rPr>
            <sz val="8"/>
            <color indexed="81"/>
            <rFont val="Tahoma"/>
            <family val="2"/>
          </rPr>
          <t xml:space="preserve">
On September 21, 2010, the Company sold its interest in Microbia, resulting in the deconsolidation of its former subsidiary
bringing the noncontrolling interest balance to zero. Immediately prior to the sale, the Company converted certain intercompany debt and payables into an additional investment in Microbia, which resulted in an approximately $2.9 million decrease in the noncontrolling interest. The noncontrolling stockholder’s
proportionate share of the equity in Microbia of approximately $3.2 million as of December 31, 2009 is reflected as noncontrolling interest in the Company’s
condensed consolidated balance sheets as a component of stockholders’ equity (deficit).</t>
        </r>
      </text>
    </comment>
    <comment ref="J68" authorId="2">
      <text>
        <r>
          <rPr>
            <b/>
            <sz val="8"/>
            <color indexed="81"/>
            <rFont val="Tahoma"/>
            <family val="2"/>
          </rPr>
          <t>Jeremy Joseph:</t>
        </r>
        <r>
          <rPr>
            <sz val="8"/>
            <color indexed="81"/>
            <rFont val="Tahoma"/>
            <family val="2"/>
          </rPr>
          <t xml:space="preserve">
Included in Operating Expenses</t>
        </r>
      </text>
    </comment>
    <comment ref="O68" authorId="2">
      <text>
        <r>
          <rPr>
            <b/>
            <sz val="8"/>
            <color indexed="81"/>
            <rFont val="Tahoma"/>
            <family val="2"/>
          </rPr>
          <t>Jeremy Joseph:</t>
        </r>
        <r>
          <rPr>
            <sz val="8"/>
            <color indexed="81"/>
            <rFont val="Tahoma"/>
            <family val="2"/>
          </rPr>
          <t xml:space="preserve">
Included in Operating Expenses</t>
        </r>
      </text>
    </comment>
    <comment ref="H73" authorId="2">
      <text>
        <r>
          <rPr>
            <b/>
            <sz val="8"/>
            <color indexed="81"/>
            <rFont val="Tahoma"/>
            <family val="2"/>
          </rPr>
          <t>Jeremy Joseph:</t>
        </r>
        <r>
          <rPr>
            <sz val="8"/>
            <color indexed="81"/>
            <rFont val="Tahoma"/>
            <family val="2"/>
          </rPr>
          <t xml:space="preserve">
Includes minority interest + discontinued operations</t>
        </r>
      </text>
    </comment>
    <comment ref="M73" authorId="2">
      <text>
        <r>
          <rPr>
            <b/>
            <sz val="8"/>
            <color indexed="81"/>
            <rFont val="Tahoma"/>
            <family val="2"/>
          </rPr>
          <t>Jeremy Joseph:</t>
        </r>
        <r>
          <rPr>
            <sz val="8"/>
            <color indexed="81"/>
            <rFont val="Tahoma"/>
            <family val="2"/>
          </rPr>
          <t xml:space="preserve">
Discontinued operations
</t>
        </r>
      </text>
    </comment>
    <comment ref="N73" authorId="2">
      <text>
        <r>
          <rPr>
            <b/>
            <sz val="8"/>
            <color indexed="81"/>
            <rFont val="Tahoma"/>
            <family val="2"/>
          </rPr>
          <t>Jeremy Joseph:</t>
        </r>
        <r>
          <rPr>
            <sz val="8"/>
            <color indexed="81"/>
            <rFont val="Tahoma"/>
            <family val="2"/>
          </rPr>
          <t xml:space="preserve">
Tax benefit + Income/Loss from discontinued operations</t>
        </r>
      </text>
    </comment>
    <comment ref="AA78" authorId="0">
      <text>
        <r>
          <rPr>
            <b/>
            <sz val="8"/>
            <color indexed="81"/>
            <rFont val="Tahoma"/>
            <family val="2"/>
          </rPr>
          <t>slifsara:</t>
        </r>
        <r>
          <rPr>
            <sz val="8"/>
            <color indexed="81"/>
            <rFont val="Tahoma"/>
            <family val="2"/>
          </rPr>
          <t xml:space="preserve">
May 22nd- 10.5mn shares at $13/share. </t>
        </r>
      </text>
    </comment>
    <comment ref="AE78" authorId="1">
      <text>
        <r>
          <rPr>
            <b/>
            <sz val="8"/>
            <color indexed="81"/>
            <rFont val="Tahoma"/>
            <family val="2"/>
          </rPr>
          <t>Brienne Kugler:</t>
        </r>
        <r>
          <rPr>
            <sz val="8"/>
            <color indexed="81"/>
            <rFont val="Tahoma"/>
            <family val="2"/>
          </rPr>
          <t xml:space="preserve">
Issued 15.784325mn shares - closed Feb 14, 2014</t>
        </r>
      </text>
    </comment>
    <comment ref="W79" authorId="1">
      <text>
        <r>
          <rPr>
            <b/>
            <sz val="8"/>
            <color indexed="81"/>
            <rFont val="Tahoma"/>
            <family val="2"/>
          </rPr>
          <t>Brienne Kugler:</t>
        </r>
        <r>
          <rPr>
            <sz val="8"/>
            <color indexed="81"/>
            <rFont val="Tahoma"/>
            <family val="2"/>
          </rPr>
          <t xml:space="preserve">
Positive earnings</t>
        </r>
      </text>
    </comment>
    <comment ref="B87" authorId="0">
      <text>
        <r>
          <rPr>
            <b/>
            <sz val="8"/>
            <color indexed="81"/>
            <rFont val="Tahoma"/>
            <family val="2"/>
          </rPr>
          <t>slifsara:</t>
        </r>
        <r>
          <rPr>
            <sz val="8"/>
            <color indexed="81"/>
            <rFont val="Tahoma"/>
            <family val="2"/>
          </rPr>
          <t xml:space="preserve">
Forest pays for half.  Either ironwood pays and Forest reimburses through profit split, or Ironwood just pays half--we are choosing to model it second way. </t>
        </r>
      </text>
    </comment>
    <comment ref="AI88" authorId="1">
      <text>
        <r>
          <rPr>
            <b/>
            <sz val="8"/>
            <color indexed="81"/>
            <rFont val="Tahoma"/>
            <family val="2"/>
          </rPr>
          <t>Brienne Kugler:</t>
        </r>
        <r>
          <rPr>
            <sz val="8"/>
            <color indexed="81"/>
            <rFont val="Tahoma"/>
            <family val="2"/>
          </rPr>
          <t xml:space="preserve">
Ironwood expects supply chain component to go down over time</t>
        </r>
      </text>
    </comment>
    <comment ref="AD91" authorId="1">
      <text>
        <r>
          <rPr>
            <b/>
            <sz val="8"/>
            <color indexed="81"/>
            <rFont val="Tahoma"/>
            <family val="2"/>
          </rPr>
          <t>Brienne Kugler:</t>
        </r>
        <r>
          <rPr>
            <sz val="8"/>
            <color indexed="81"/>
            <rFont val="Tahoma"/>
            <family val="2"/>
          </rPr>
          <t xml:space="preserve">
From 4Q release
Excluded ~$9mn of stock options from this</t>
        </r>
      </text>
    </comment>
    <comment ref="AI92" authorId="1">
      <text>
        <r>
          <rPr>
            <b/>
            <sz val="8"/>
            <color indexed="81"/>
            <rFont val="Tahoma"/>
            <family val="2"/>
          </rPr>
          <t>Brienne Kugler:</t>
        </r>
        <r>
          <rPr>
            <sz val="8"/>
            <color indexed="81"/>
            <rFont val="Tahoma"/>
            <family val="2"/>
          </rPr>
          <t xml:space="preserve">
Non-linaclotide R&amp;D expenses expected to be ~45% of total R&amp;D</t>
        </r>
      </text>
    </comment>
    <comment ref="Y111" authorId="0">
      <text>
        <r>
          <rPr>
            <b/>
            <sz val="8"/>
            <color indexed="81"/>
            <rFont val="Tahoma"/>
            <family val="2"/>
          </rPr>
          <t>slifsara:</t>
        </r>
        <r>
          <rPr>
            <sz val="8"/>
            <color indexed="81"/>
            <rFont val="Tahoma"/>
            <family val="2"/>
          </rPr>
          <t xml:space="preserve">
includes loss on profit split</t>
        </r>
      </text>
    </comment>
    <comment ref="AD133" authorId="1">
      <text>
        <r>
          <rPr>
            <b/>
            <sz val="8"/>
            <color indexed="81"/>
            <rFont val="Tahoma"/>
            <family val="2"/>
          </rPr>
          <t>Brienne Kugler:</t>
        </r>
        <r>
          <rPr>
            <sz val="8"/>
            <color indexed="81"/>
            <rFont val="Tahoma"/>
            <family val="2"/>
          </rPr>
          <t xml:space="preserve">
Interest is going to be paid quarterly beginning 6/15/13</t>
        </r>
      </text>
    </comment>
    <comment ref="AD135" authorId="1">
      <text>
        <r>
          <rPr>
            <b/>
            <sz val="8"/>
            <color indexed="81"/>
            <rFont val="Tahoma"/>
            <family val="2"/>
          </rPr>
          <t>Brienne Kugler:</t>
        </r>
        <r>
          <rPr>
            <sz val="8"/>
            <color indexed="81"/>
            <rFont val="Tahoma"/>
            <family val="2"/>
          </rPr>
          <t xml:space="preserve">
This is of the preceding quarter</t>
        </r>
      </text>
    </comment>
    <comment ref="AD136" authorId="1">
      <text>
        <r>
          <rPr>
            <b/>
            <sz val="8"/>
            <color indexed="81"/>
            <rFont val="Tahoma"/>
            <family val="2"/>
          </rPr>
          <t>Brienne Kugler:</t>
        </r>
        <r>
          <rPr>
            <sz val="8"/>
            <color indexed="81"/>
            <rFont val="Tahoma"/>
            <family val="2"/>
          </rPr>
          <t xml:space="preserve">
Paydowns don't start until 3/15/14</t>
        </r>
      </text>
    </comment>
    <comment ref="AI138" authorId="1">
      <text>
        <r>
          <rPr>
            <b/>
            <sz val="8"/>
            <color indexed="81"/>
            <rFont val="Tahoma"/>
            <family val="2"/>
          </rPr>
          <t>Brienne Kugler:</t>
        </r>
        <r>
          <rPr>
            <sz val="8"/>
            <color indexed="81"/>
            <rFont val="Tahoma"/>
            <family val="2"/>
          </rPr>
          <t xml:space="preserve">
Principal expected to be paid off quarterly beginning 3/15/14</t>
        </r>
      </text>
    </comment>
    <comment ref="AD143" authorId="1">
      <text>
        <r>
          <rPr>
            <b/>
            <sz val="8"/>
            <color indexed="81"/>
            <rFont val="Tahoma"/>
            <family val="2"/>
          </rPr>
          <t>Brienne Kugler:</t>
        </r>
        <r>
          <rPr>
            <sz val="8"/>
            <color indexed="81"/>
            <rFont val="Tahoma"/>
            <family val="2"/>
          </rPr>
          <t xml:space="preserve">
Interest is going to be paid quarterly beginning 6/15/13</t>
        </r>
      </text>
    </comment>
    <comment ref="AD145" authorId="1">
      <text>
        <r>
          <rPr>
            <b/>
            <sz val="8"/>
            <color indexed="81"/>
            <rFont val="Tahoma"/>
            <family val="2"/>
          </rPr>
          <t>Brienne Kugler:</t>
        </r>
        <r>
          <rPr>
            <sz val="8"/>
            <color indexed="81"/>
            <rFont val="Tahoma"/>
            <family val="2"/>
          </rPr>
          <t xml:space="preserve">
This is of the preceding quarter</t>
        </r>
      </text>
    </comment>
    <comment ref="AD146" authorId="1">
      <text>
        <r>
          <rPr>
            <b/>
            <sz val="8"/>
            <color indexed="81"/>
            <rFont val="Tahoma"/>
            <family val="2"/>
          </rPr>
          <t>Brienne Kugler:</t>
        </r>
        <r>
          <rPr>
            <sz val="8"/>
            <color indexed="81"/>
            <rFont val="Tahoma"/>
            <family val="2"/>
          </rPr>
          <t xml:space="preserve">
Paydowns don't start until 3/15/14</t>
        </r>
      </text>
    </comment>
    <comment ref="AI148" authorId="1">
      <text>
        <r>
          <rPr>
            <b/>
            <sz val="8"/>
            <color indexed="81"/>
            <rFont val="Tahoma"/>
            <family val="2"/>
          </rPr>
          <t>Brienne Kugler:</t>
        </r>
        <r>
          <rPr>
            <sz val="8"/>
            <color indexed="81"/>
            <rFont val="Tahoma"/>
            <family val="2"/>
          </rPr>
          <t xml:space="preserve">
Principal expected to be paid off quarterly beginning 3/15/14</t>
        </r>
      </text>
    </comment>
    <comment ref="AN156" authorId="4">
      <text>
        <r>
          <rPr>
            <b/>
            <sz val="9"/>
            <color indexed="81"/>
            <rFont val="Tahoma"/>
            <family val="2"/>
          </rPr>
          <t>IRWD</t>
        </r>
        <r>
          <rPr>
            <sz val="9"/>
            <color indexed="81"/>
            <rFont val="Tahoma"/>
            <family val="2"/>
          </rPr>
          <t xml:space="preserve"> PR 6/10/2015 "Ironwood estimates that the net proceeds of the offering will be approximately $292 million (or approximately $336 million if the initial purchasers’ option to purchase additional Notes is exercised in full), after deducting the initial purchasers’ discounts and commissions, but prior to deducting estimated offering expenses. "</t>
        </r>
      </text>
    </comment>
    <comment ref="AN157" authorId="4">
      <text>
        <r>
          <rPr>
            <b/>
            <sz val="9"/>
            <color indexed="81"/>
            <rFont val="Tahoma"/>
            <family val="2"/>
          </rPr>
          <t>IRWD:</t>
        </r>
        <r>
          <rPr>
            <sz val="9"/>
            <color indexed="81"/>
            <rFont val="Tahoma"/>
            <family val="2"/>
          </rPr>
          <t xml:space="preserve"> 6/10/2015 "The Notes will bear cash interest at a rate of 2.25%, payable on June 15 and December 15 of each year, beginning on December 15, 2015. "
</t>
        </r>
      </text>
    </comment>
    <comment ref="B174" authorId="0">
      <text>
        <r>
          <rPr>
            <b/>
            <sz val="8"/>
            <color indexed="81"/>
            <rFont val="Tahoma"/>
            <family val="2"/>
          </rPr>
          <t>slifsara:</t>
        </r>
        <r>
          <rPr>
            <sz val="8"/>
            <color indexed="81"/>
            <rFont val="Tahoma"/>
            <family val="2"/>
          </rPr>
          <t xml:space="preserve">
Sept, 2007:  $70mn upfront.  Jointly and equally will fund development.  Total licensing and milestone payments to Ironwood if linaclotide is successfully developed and commercilized could total $330mn</t>
        </r>
      </text>
    </comment>
    <comment ref="J175" authorId="0">
      <text>
        <r>
          <rPr>
            <b/>
            <sz val="8"/>
            <color indexed="81"/>
            <rFont val="Tahoma"/>
            <family val="2"/>
          </rPr>
          <t>slifsara:</t>
        </r>
        <r>
          <rPr>
            <sz val="8"/>
            <color indexed="81"/>
            <rFont val="Tahoma"/>
            <family val="2"/>
          </rPr>
          <t xml:space="preserve">
Expected 3Q09</t>
        </r>
      </text>
    </comment>
    <comment ref="T175" authorId="0">
      <text>
        <r>
          <rPr>
            <b/>
            <sz val="8"/>
            <color indexed="81"/>
            <rFont val="Tahoma"/>
            <family val="2"/>
          </rPr>
          <t>slifsara:</t>
        </r>
        <r>
          <rPr>
            <sz val="8"/>
            <color indexed="81"/>
            <rFont val="Tahoma"/>
            <family val="2"/>
          </rPr>
          <t xml:space="preserve">
Get $20mn on NDA acceptance</t>
        </r>
      </text>
    </comment>
    <comment ref="Y175" authorId="0">
      <text>
        <r>
          <rPr>
            <b/>
            <sz val="8"/>
            <color indexed="81"/>
            <rFont val="Tahoma"/>
            <family val="2"/>
          </rPr>
          <t>slifsara:</t>
        </r>
        <r>
          <rPr>
            <sz val="8"/>
            <color indexed="81"/>
            <rFont val="Tahoma"/>
            <family val="2"/>
          </rPr>
          <t xml:space="preserve">
Launch milestones -- $85mn for two indications (one NDA) approval.</t>
        </r>
      </text>
    </comment>
    <comment ref="E176" authorId="0">
      <text>
        <r>
          <rPr>
            <b/>
            <sz val="8"/>
            <color indexed="81"/>
            <rFont val="Tahoma"/>
            <family val="2"/>
          </rPr>
          <t>slifsara:</t>
        </r>
        <r>
          <rPr>
            <sz val="8"/>
            <color indexed="81"/>
            <rFont val="Tahoma"/>
            <family val="2"/>
          </rPr>
          <t xml:space="preserve">
Oct 2008: company received $10mn for dosign of first patient in Phase III in CC. --recognized 2.1mn of this. Balance recognized over remaining development period</t>
        </r>
      </text>
    </comment>
    <comment ref="D178" authorId="0">
      <text>
        <r>
          <rPr>
            <b/>
            <sz val="8"/>
            <color indexed="81"/>
            <rFont val="Tahoma"/>
            <family val="2"/>
          </rPr>
          <t>slifsara:</t>
        </r>
        <r>
          <rPr>
            <sz val="8"/>
            <color indexed="81"/>
            <rFont val="Tahoma"/>
            <family val="2"/>
          </rPr>
          <t xml:space="preserve">
Forest made upfront payments totaling $70mn in two tranches--first in Sept 07 of $50mn and second of $20mn in Jan 2008.  Recognized on straight line basis over 5 years (estimated development time)</t>
        </r>
      </text>
    </comment>
    <comment ref="T178" authorId="0">
      <text>
        <r>
          <rPr>
            <b/>
            <sz val="8"/>
            <color indexed="81"/>
            <rFont val="Tahoma"/>
            <family val="2"/>
          </rPr>
          <t>slifsara:</t>
        </r>
        <r>
          <rPr>
            <sz val="8"/>
            <color indexed="81"/>
            <rFont val="Tahoma"/>
            <family val="2"/>
          </rPr>
          <t xml:space="preserve">
still in "development period" --will amortize over two years or so. </t>
        </r>
      </text>
    </comment>
    <comment ref="BN178" authorId="0">
      <text>
        <r>
          <rPr>
            <b/>
            <sz val="8"/>
            <color indexed="81"/>
            <rFont val="Tahoma"/>
            <family val="2"/>
          </rPr>
          <t>slifsara:</t>
        </r>
        <r>
          <rPr>
            <sz val="8"/>
            <color indexed="81"/>
            <rFont val="Tahoma"/>
            <family val="2"/>
          </rPr>
          <t xml:space="preserve">
up to $340mn in development and sales milestones</t>
        </r>
      </text>
    </comment>
    <comment ref="D179" authorId="0">
      <text>
        <r>
          <rPr>
            <b/>
            <sz val="8"/>
            <color indexed="81"/>
            <rFont val="Tahoma"/>
            <family val="2"/>
          </rPr>
          <t>slifsara:</t>
        </r>
        <r>
          <rPr>
            <sz val="8"/>
            <color indexed="81"/>
            <rFont val="Tahoma"/>
            <family val="2"/>
          </rPr>
          <t xml:space="preserve">
Contingent equity investment valued at inception to be $9mn.  9mn recorded as asset and incremental deferred revenue and is being recognized as revenue on a staight line basis over ~5 years. </t>
        </r>
      </text>
    </comment>
    <comment ref="B196" authorId="0">
      <text>
        <r>
          <rPr>
            <b/>
            <sz val="8"/>
            <color indexed="81"/>
            <rFont val="Tahoma"/>
            <family val="2"/>
          </rPr>
          <t>slifsara:</t>
        </r>
        <r>
          <rPr>
            <sz val="8"/>
            <color indexed="81"/>
            <rFont val="Tahoma"/>
            <family val="2"/>
          </rPr>
          <t xml:space="preserve">
April, 2009: Almirall gets EU rights to Linaclotide.  $40mn upfront and total pre-commercial fees and milestone payments of $95mn.  Escalting royalties on sales. Company will also receive an equity investment of $15mn at $22/share if a specific milestone is achieved.</t>
        </r>
      </text>
    </comment>
    <comment ref="AD197" authorId="0">
      <text>
        <r>
          <rPr>
            <b/>
            <sz val="8"/>
            <color indexed="81"/>
            <rFont val="Tahoma"/>
            <family val="2"/>
          </rPr>
          <t>slifsara:</t>
        </r>
        <r>
          <rPr>
            <sz val="8"/>
            <color indexed="81"/>
            <rFont val="Tahoma"/>
            <family val="2"/>
          </rPr>
          <t xml:space="preserve">
$20mn from Almirall upon EU launches
-4mn upon the first commercial launch in each of the five major EU countries set fourth in the agreement</t>
        </r>
      </text>
    </comment>
    <comment ref="J200" authorId="0">
      <text>
        <r>
          <rPr>
            <b/>
            <sz val="8"/>
            <color indexed="81"/>
            <rFont val="Tahoma"/>
            <family val="2"/>
          </rPr>
          <t>slifsara:</t>
        </r>
        <r>
          <rPr>
            <sz val="8"/>
            <color indexed="81"/>
            <rFont val="Tahoma"/>
            <family val="2"/>
          </rPr>
          <t xml:space="preserve">
Upfront payment and contingent equity investment being amortized over period of company's continuing involvement which is estimated to be 50 months. </t>
        </r>
      </text>
    </comment>
    <comment ref="BN200" authorId="0">
      <text>
        <r>
          <rPr>
            <b/>
            <sz val="8"/>
            <color indexed="81"/>
            <rFont val="Tahoma"/>
            <family val="2"/>
          </rPr>
          <t>slifsara:</t>
        </r>
        <r>
          <rPr>
            <sz val="8"/>
            <color indexed="81"/>
            <rFont val="Tahoma"/>
            <family val="2"/>
          </rPr>
          <t xml:space="preserve">
precommercial milestones up to $95mn--$95 includes 45mn so $50mn post upfront</t>
        </r>
      </text>
    </comment>
    <comment ref="J201" authorId="0">
      <text>
        <r>
          <rPr>
            <b/>
            <sz val="8"/>
            <color indexed="81"/>
            <rFont val="Tahoma"/>
            <family val="2"/>
          </rPr>
          <t>slifsara:</t>
        </r>
        <r>
          <rPr>
            <sz val="8"/>
            <color indexed="81"/>
            <rFont val="Tahoma"/>
            <family val="2"/>
          </rPr>
          <t xml:space="preserve">
Being recognized on a straight line basis over fifty months</t>
        </r>
      </text>
    </comment>
    <comment ref="B213" authorId="0">
      <text>
        <r>
          <rPr>
            <b/>
            <sz val="8"/>
            <color indexed="81"/>
            <rFont val="Tahoma"/>
            <family val="2"/>
          </rPr>
          <t>slifsara:</t>
        </r>
        <r>
          <rPr>
            <sz val="8"/>
            <color indexed="81"/>
            <rFont val="Tahoma"/>
            <family val="2"/>
          </rPr>
          <t xml:space="preserve">
November 10th -- Astellas granted exclusive rights to develop and commercialize linaclotide in Japan, Indonesia, Korea, the Philippines, Taiwan, and Thailand. 
Astellas will lead clinical development in Japan and be responsible for all activities and expenses relating to clinical development, regulatory approval, and commercialization. </t>
        </r>
      </text>
    </comment>
    <comment ref="J214" authorId="0">
      <text>
        <r>
          <rPr>
            <b/>
            <sz val="8"/>
            <color indexed="81"/>
            <rFont val="Tahoma"/>
            <family val="2"/>
          </rPr>
          <t>slifsara:</t>
        </r>
        <r>
          <rPr>
            <sz val="8"/>
            <color indexed="81"/>
            <rFont val="Tahoma"/>
            <family val="2"/>
          </rPr>
          <t xml:space="preserve">
$30mn upfront with three payments of $15mn between upfront and approval. 
Upfront is being amortized over 115 months</t>
        </r>
      </text>
    </comment>
    <comment ref="AI214" authorId="1">
      <text>
        <r>
          <rPr>
            <b/>
            <sz val="8"/>
            <color indexed="81"/>
            <rFont val="Tahoma"/>
            <family val="2"/>
          </rPr>
          <t>Brienne Kugler:</t>
        </r>
        <r>
          <rPr>
            <sz val="8"/>
            <color indexed="81"/>
            <rFont val="Tahoma"/>
            <family val="2"/>
          </rPr>
          <t xml:space="preserve">
Started Ph 2 Oct '12</t>
        </r>
      </text>
    </comment>
    <comment ref="J217" authorId="0">
      <text>
        <r>
          <rPr>
            <b/>
            <sz val="8"/>
            <color indexed="81"/>
            <rFont val="Tahoma"/>
            <family val="2"/>
          </rPr>
          <t>slifsara:</t>
        </r>
        <r>
          <rPr>
            <sz val="8"/>
            <color indexed="81"/>
            <rFont val="Tahoma"/>
            <family val="2"/>
          </rPr>
          <t xml:space="preserve">
Ironwood gets $75mn in upfront and precommercial milestones, including a $30mn licensing fee, as well as escalating royalties on linaclotide sales. 
</t>
        </r>
      </text>
    </comment>
    <comment ref="BN217" authorId="0">
      <text>
        <r>
          <rPr>
            <b/>
            <sz val="8"/>
            <color indexed="81"/>
            <rFont val="Tahoma"/>
            <family val="2"/>
          </rPr>
          <t>slifsara:</t>
        </r>
        <r>
          <rPr>
            <sz val="8"/>
            <color indexed="81"/>
            <rFont val="Tahoma"/>
            <family val="2"/>
          </rPr>
          <t xml:space="preserve">
Ironwood gets $75mn in upfront and precommercial milestones, including a $30mn licensing fee, as well as escalating royalties on linaclotide sales. 
</t>
        </r>
      </text>
    </comment>
    <comment ref="J218" authorId="0">
      <text>
        <r>
          <rPr>
            <b/>
            <sz val="8"/>
            <color indexed="81"/>
            <rFont val="Tahoma"/>
            <family val="2"/>
          </rPr>
          <t>slifsara:</t>
        </r>
        <r>
          <rPr>
            <sz val="8"/>
            <color indexed="81"/>
            <rFont val="Tahoma"/>
            <family val="2"/>
          </rPr>
          <t xml:space="preserve">
Upfront is eing amortized on straight line basis over 115 months. </t>
        </r>
      </text>
    </comment>
  </commentList>
</comments>
</file>

<file path=xl/comments2.xml><?xml version="1.0" encoding="utf-8"?>
<comments xmlns="http://schemas.openxmlformats.org/spreadsheetml/2006/main">
  <authors>
    <author>Jeremy Joseph</author>
    <author>slifsara</author>
    <author>Brienne Kugler</author>
  </authors>
  <commentList>
    <comment ref="B10" authorId="0">
      <text>
        <r>
          <rPr>
            <b/>
            <sz val="8"/>
            <color indexed="81"/>
            <rFont val="Tahoma"/>
            <family val="2"/>
          </rPr>
          <t>Jeremy Joseph:</t>
        </r>
        <r>
          <rPr>
            <sz val="8"/>
            <color indexed="81"/>
            <rFont val="Tahoma"/>
            <family val="2"/>
          </rPr>
          <t xml:space="preserve">
Certain reclassifications were made to the prior year balance sheet amounts to conform to the
current year’s presentation in which related party accounts receivable from Forest are shown net of
related party accounts payable to Forest.</t>
        </r>
      </text>
    </comment>
    <comment ref="H10" authorId="0">
      <text>
        <r>
          <rPr>
            <b/>
            <sz val="8"/>
            <color indexed="81"/>
            <rFont val="Tahoma"/>
            <family val="2"/>
          </rPr>
          <t>Jeremy Joseph:</t>
        </r>
        <r>
          <rPr>
            <sz val="8"/>
            <color indexed="81"/>
            <rFont val="Tahoma"/>
            <family val="2"/>
          </rPr>
          <t xml:space="preserve">
FRX makes payment then recognized</t>
        </r>
      </text>
    </comment>
    <comment ref="B16" authorId="0">
      <text>
        <r>
          <rPr>
            <b/>
            <sz val="8"/>
            <color indexed="81"/>
            <rFont val="Tahoma"/>
            <family val="2"/>
          </rPr>
          <t>Jeremy Joseph:</t>
        </r>
        <r>
          <rPr>
            <sz val="8"/>
            <color indexed="81"/>
            <rFont val="Tahoma"/>
            <family val="2"/>
          </rPr>
          <t xml:space="preserve">
These amounts are held
on deposit with a bank to collateralize standby letters of credit related to the Company’s facility lease
agreements and credit card arrangements</t>
        </r>
      </text>
    </comment>
    <comment ref="B18" authorId="0">
      <text>
        <r>
          <rPr>
            <b/>
            <sz val="8"/>
            <color indexed="81"/>
            <rFont val="Tahoma"/>
            <family val="2"/>
          </rPr>
          <t>Jeremy Joseph:</t>
        </r>
        <r>
          <rPr>
            <sz val="8"/>
            <color indexed="81"/>
            <rFont val="Tahoma"/>
            <family val="2"/>
          </rPr>
          <t xml:space="preserve">
Costs directly associated with the Company’s proposed initial public offering of common stock
have been deferred and recorded in prepaid expenses and other assets in the consolidated balance
sheets based upon the Company’s belief that its initial public offering will be completed.</t>
        </r>
      </text>
    </comment>
    <comment ref="B24" authorId="0">
      <text>
        <r>
          <rPr>
            <b/>
            <sz val="8"/>
            <color indexed="81"/>
            <rFont val="Tahoma"/>
            <family val="2"/>
          </rPr>
          <t>Jeremy Joseph:</t>
        </r>
        <r>
          <rPr>
            <sz val="8"/>
            <color indexed="81"/>
            <rFont val="Tahoma"/>
            <family val="2"/>
          </rPr>
          <t xml:space="preserve">
Company shares equally with FRX all development costs</t>
        </r>
      </text>
    </comment>
    <comment ref="B33" authorId="0">
      <text>
        <r>
          <rPr>
            <b/>
            <sz val="8"/>
            <color indexed="81"/>
            <rFont val="Tahoma"/>
            <family val="2"/>
          </rPr>
          <t>Jeremy Joseph:</t>
        </r>
        <r>
          <rPr>
            <sz val="8"/>
            <color indexed="81"/>
            <rFont val="Tahoma"/>
            <family val="2"/>
          </rPr>
          <t xml:space="preserve">
Our commitment for capital lease obligations relates to leased computer and office equipment.</t>
        </r>
      </text>
    </comment>
    <comment ref="B34" authorId="0">
      <text>
        <r>
          <rPr>
            <b/>
            <sz val="8"/>
            <color indexed="81"/>
            <rFont val="Tahoma"/>
            <family val="2"/>
          </rPr>
          <t>Jeremy Joseph:</t>
        </r>
        <r>
          <rPr>
            <sz val="8"/>
            <color indexed="81"/>
            <rFont val="Tahoma"/>
            <family val="2"/>
          </rPr>
          <t xml:space="preserve">
Rent escalates
on the fourth anniversary of the first rent commencement date based upon a formula that is tied to the
Consumer Price Index. The space was delivered to the Company in September 2007, and rent payments
for the first phase of occupancy commenced in January 2008. Upon commencement of the lease, the
Company is recording a deferred rent liability related to the free rent and escalating rent payments.</t>
        </r>
      </text>
    </comment>
    <comment ref="F47" authorId="0">
      <text>
        <r>
          <rPr>
            <b/>
            <sz val="8"/>
            <color indexed="81"/>
            <rFont val="Tahoma"/>
            <family val="2"/>
          </rPr>
          <t>Jeremy Joseph:</t>
        </r>
        <r>
          <rPr>
            <sz val="8"/>
            <color indexed="81"/>
            <rFont val="Tahoma"/>
            <family val="2"/>
          </rPr>
          <t xml:space="preserve">
Reclassification in 2010</t>
        </r>
      </text>
    </comment>
    <comment ref="G47" authorId="0">
      <text>
        <r>
          <rPr>
            <b/>
            <sz val="8"/>
            <color indexed="81"/>
            <rFont val="Tahoma"/>
            <family val="2"/>
          </rPr>
          <t>Jeremy Joseph:</t>
        </r>
        <r>
          <rPr>
            <sz val="8"/>
            <color indexed="81"/>
            <rFont val="Tahoma"/>
            <family val="2"/>
          </rPr>
          <t xml:space="preserve">
Effective January 1, 2009, we adopted new guidance for the accounting, reporting and disclosure of
noncontrolling interests which requires, among other things, that noncontrolling interests be recorded
as equity in the consolidated financial statements. The adoption of this new guidance resulted in the
reclassification of noncontrolling interests (previously referred to as minority interests) to a separate
component of stockholders’ equity (deficit) on the consolidated balance sheet. Additionally, net loss
attributable to noncontrolling interests is now shown separately from parent net loss in the consolidated</t>
        </r>
      </text>
    </comment>
    <comment ref="I144" authorId="1">
      <text>
        <r>
          <rPr>
            <sz val="8"/>
            <color indexed="81"/>
            <rFont val="Tahoma"/>
            <family val="2"/>
          </rPr>
          <t xml:space="preserve">5.25mn common stock at price of $15.09/share. Feb 2012. 
Underwriters over-allotment 787,500 shares
</t>
        </r>
      </text>
    </comment>
    <comment ref="K144" authorId="2">
      <text>
        <r>
          <rPr>
            <b/>
            <sz val="8"/>
            <color indexed="81"/>
            <rFont val="Tahoma"/>
            <family val="2"/>
          </rPr>
          <t>Brienne Kugler:</t>
        </r>
        <r>
          <rPr>
            <sz val="8"/>
            <color indexed="81"/>
            <rFont val="Tahoma"/>
            <family val="2"/>
          </rPr>
          <t xml:space="preserve">
Issued 15.784325mn shares - closed Feb 14, 2014</t>
        </r>
      </text>
    </comment>
    <comment ref="I146" authorId="1">
      <text>
        <r>
          <rPr>
            <b/>
            <sz val="8"/>
            <color indexed="81"/>
            <rFont val="Tahoma"/>
            <family val="2"/>
          </rPr>
          <t>slifsara:</t>
        </r>
        <r>
          <rPr>
            <sz val="8"/>
            <color indexed="81"/>
            <rFont val="Tahoma"/>
            <family val="2"/>
          </rPr>
          <t xml:space="preserve">
net proceeds after discounts, commissions etc. </t>
        </r>
      </text>
    </comment>
    <comment ref="J146" authorId="1">
      <text>
        <r>
          <rPr>
            <b/>
            <sz val="8"/>
            <color indexed="81"/>
            <rFont val="Tahoma"/>
            <family val="2"/>
          </rPr>
          <t>slifsara:</t>
        </r>
        <r>
          <rPr>
            <sz val="8"/>
            <color indexed="81"/>
            <rFont val="Tahoma"/>
            <family val="2"/>
          </rPr>
          <t xml:space="preserve">
June 4th 2013-  11.2mn shares issued and aggregate net proceeds after discounts of ~$137.7mn </t>
        </r>
      </text>
    </comment>
    <comment ref="K146" authorId="2">
      <text>
        <r>
          <rPr>
            <b/>
            <sz val="8"/>
            <color indexed="81"/>
            <rFont val="Tahoma"/>
            <family val="2"/>
          </rPr>
          <t>Brienne Kugler:</t>
        </r>
        <r>
          <rPr>
            <sz val="8"/>
            <color indexed="81"/>
            <rFont val="Tahoma"/>
            <family val="2"/>
          </rPr>
          <t xml:space="preserve">
Net proceeds</t>
        </r>
      </text>
    </comment>
    <comment ref="F156" authorId="0">
      <text>
        <r>
          <rPr>
            <b/>
            <sz val="8"/>
            <color indexed="81"/>
            <rFont val="Tahoma"/>
            <family val="2"/>
          </rPr>
          <t>Jeremy Joseph:</t>
        </r>
        <r>
          <rPr>
            <sz val="8"/>
            <color indexed="81"/>
            <rFont val="Tahoma"/>
            <family val="2"/>
          </rPr>
          <t xml:space="preserve">
Per S-1</t>
        </r>
      </text>
    </comment>
  </commentList>
</comments>
</file>

<file path=xl/comments3.xml><?xml version="1.0" encoding="utf-8"?>
<comments xmlns="http://schemas.openxmlformats.org/spreadsheetml/2006/main">
  <authors>
    <author>Jeremy Joseph</author>
  </authors>
  <commentList>
    <comment ref="G44" authorId="0">
      <text>
        <r>
          <rPr>
            <b/>
            <sz val="8"/>
            <color indexed="81"/>
            <rFont val="Tahoma"/>
            <family val="2"/>
          </rPr>
          <t>Jeremy Joseph:</t>
        </r>
        <r>
          <rPr>
            <sz val="8"/>
            <color indexed="81"/>
            <rFont val="Tahoma"/>
            <family val="2"/>
          </rPr>
          <t xml:space="preserve">
Sept 2010 - Sold Microbia interest to DSM</t>
        </r>
      </text>
    </comment>
  </commentList>
</comments>
</file>

<file path=xl/comments4.xml><?xml version="1.0" encoding="utf-8"?>
<comments xmlns="http://schemas.openxmlformats.org/spreadsheetml/2006/main">
  <authors>
    <author>slifsara</author>
    <author>Brienne Kugler</author>
    <author>David Friedman</author>
  </authors>
  <commentList>
    <comment ref="B9" authorId="0">
      <text>
        <r>
          <rPr>
            <b/>
            <sz val="8"/>
            <color indexed="81"/>
            <rFont val="Tahoma"/>
            <family val="2"/>
          </rPr>
          <t>slifsara:</t>
        </r>
        <r>
          <rPr>
            <sz val="8"/>
            <color indexed="81"/>
            <rFont val="Tahoma"/>
            <family val="2"/>
          </rPr>
          <t xml:space="preserve">
assumes when linaclotide launches, some people who were previously "satisfied" may decide to switch due to new better drug on market. </t>
        </r>
      </text>
    </comment>
    <comment ref="B26" authorId="0">
      <text>
        <r>
          <rPr>
            <b/>
            <sz val="8"/>
            <color indexed="81"/>
            <rFont val="Tahoma"/>
            <family val="2"/>
          </rPr>
          <t>slifsara:</t>
        </r>
        <r>
          <rPr>
            <sz val="8"/>
            <color indexed="81"/>
            <rFont val="Tahoma"/>
            <family val="2"/>
          </rPr>
          <t xml:space="preserve">
assumes when linaclotide launches, some people who were previously "satisfied" may decide to switch due to new better drug on market. </t>
        </r>
      </text>
    </comment>
    <comment ref="B32" authorId="0">
      <text>
        <r>
          <rPr>
            <b/>
            <sz val="8"/>
            <color indexed="81"/>
            <rFont val="Tahoma"/>
            <family val="2"/>
          </rPr>
          <t>slifsara:</t>
        </r>
        <r>
          <rPr>
            <sz val="8"/>
            <color indexed="81"/>
            <rFont val="Tahoma"/>
            <family val="2"/>
          </rPr>
          <t xml:space="preserve">
Note: company does not plan to seek approval for CC in EU because there is reference pricing against laxatives</t>
        </r>
      </text>
    </comment>
    <comment ref="B36" authorId="0">
      <text>
        <r>
          <rPr>
            <sz val="8"/>
            <color indexed="81"/>
            <rFont val="Tahoma"/>
            <family val="2"/>
          </rPr>
          <t xml:space="preserve">
Prevalence studies estimate that CC affects 12-19% (Optimal treatment of chronic constipation in managed care: review and roundtable discussion; J Manag care Phar. Nov 2008). Other sources suggest prevalence as high as 28% (Higgins PD, Johanson JF. Epidemiology of constipation in North America: a systematic review. Am J Gastroenterol. 2004;99:750-759.)
Schiller et al. study found prev of 19%.</t>
        </r>
      </text>
    </comment>
    <comment ref="B38" authorId="0">
      <text>
        <r>
          <rPr>
            <b/>
            <sz val="8"/>
            <color indexed="81"/>
            <rFont val="Tahoma"/>
            <family val="2"/>
          </rPr>
          <t>slifsara:</t>
        </r>
        <r>
          <rPr>
            <sz val="8"/>
            <color indexed="81"/>
            <rFont val="Tahoma"/>
            <family val="2"/>
          </rPr>
          <t xml:space="preserve">
Schiller LR, Dennis E, Toth G. An Internet-based survey of the prevalence and symptom spectrum of chronic constipation. Am J Gastroenterol. 2004;99:S234. [Abstract #723] </t>
        </r>
      </text>
    </comment>
    <comment ref="B40" authorId="0">
      <text>
        <r>
          <rPr>
            <sz val="8"/>
            <color indexed="81"/>
            <rFont val="Tahoma"/>
            <family val="2"/>
          </rPr>
          <t xml:space="preserve">Schiller LR, Dennis E, Toth G. An Internet-based survey of the prevalence and symptom spectrum of chronic constipation. Am J Gastroenterol. 2004;99:S234. [Abstract #723] </t>
        </r>
      </text>
    </comment>
    <comment ref="B42" authorId="0">
      <text>
        <r>
          <rPr>
            <b/>
            <sz val="8"/>
            <color indexed="81"/>
            <rFont val="Tahoma"/>
            <family val="2"/>
          </rPr>
          <t>slifsara:</t>
        </r>
        <r>
          <rPr>
            <sz val="8"/>
            <color indexed="81"/>
            <rFont val="Tahoma"/>
            <family val="2"/>
          </rPr>
          <t xml:space="preserve">
http://cme.medscape.com/viewarticle/492110</t>
        </r>
      </text>
    </comment>
    <comment ref="B47" authorId="0">
      <text>
        <r>
          <rPr>
            <b/>
            <sz val="8"/>
            <color indexed="81"/>
            <rFont val="Tahoma"/>
            <family val="2"/>
          </rPr>
          <t>slifsara:</t>
        </r>
        <r>
          <rPr>
            <sz val="8"/>
            <color indexed="81"/>
            <rFont val="Tahoma"/>
            <family val="2"/>
          </rPr>
          <t xml:space="preserve">
WAC for one month of 24mcg Amitiza: $219.93.  (11/23/2010)
WAC for one month of 8mcg Amitiza: $219.93 (11/23/2010)
</t>
        </r>
      </text>
    </comment>
    <comment ref="B50" authorId="0">
      <text>
        <r>
          <rPr>
            <sz val="8"/>
            <color indexed="81"/>
            <rFont val="Tahoma"/>
            <family val="2"/>
          </rPr>
          <t>Trials mostly 12 weeks with Phase III in IBS-C going out to 26 weeks.  Patients also on drug for long-term safety.
People stay on PPIs ~200 days (6.6mo) of the year. H2 blockers 120-130 days (4.3mo) and laxatives ~70 days (2.3mo)</t>
        </r>
      </text>
    </comment>
    <comment ref="D60" authorId="0">
      <text>
        <r>
          <rPr>
            <b/>
            <sz val="8"/>
            <color indexed="81"/>
            <rFont val="Tahoma"/>
            <family val="2"/>
          </rPr>
          <t>slifsara:</t>
        </r>
        <r>
          <rPr>
            <sz val="8"/>
            <color indexed="81"/>
            <rFont val="Tahoma"/>
            <family val="2"/>
          </rPr>
          <t xml:space="preserve">
IBS in US, Ailment Pharmacol Ther 2005.  14.1% of total screened were identified as having current IBS (both medically diagnosed and not diagnosed). 
Assume ~1/3 of these are IBS-</t>
        </r>
        <r>
          <rPr>
            <b/>
            <sz val="8"/>
            <color indexed="81"/>
            <rFont val="Tahoma"/>
            <family val="2"/>
          </rPr>
          <t xml:space="preserve">C.  
Prevalence estimates for US cluster around 10-15% (for IBS in general). </t>
        </r>
      </text>
    </comment>
    <comment ref="D62" authorId="0">
      <text>
        <r>
          <rPr>
            <b/>
            <sz val="8"/>
            <color indexed="81"/>
            <rFont val="Tahoma"/>
            <family val="2"/>
          </rPr>
          <t xml:space="preserve">slifsara:
</t>
        </r>
        <r>
          <rPr>
            <sz val="8"/>
            <color indexed="81"/>
            <rFont val="Tahoma"/>
            <family val="2"/>
          </rPr>
          <t xml:space="preserve">IBS in US, Ailment Pharmacol Ther. 2005 -- 58% of IBS sufferers had been prescribed medication. 
25% medically diagnosed. 
</t>
        </r>
      </text>
    </comment>
    <comment ref="B64" authorId="0">
      <text>
        <r>
          <rPr>
            <sz val="8"/>
            <color indexed="81"/>
            <rFont val="Tahoma"/>
            <family val="2"/>
          </rPr>
          <t>The Burden of Illness of Irritable Bowel Syndome: Current challenges and Hope for the Future, Journal of Managed Care Pharmacy, 2004)--T-IBS survey only 14% of patients were completely satisfied and in survey of 504 IBS-C sufferers, 62% were satisfied</t>
        </r>
      </text>
    </comment>
    <comment ref="B80" authorId="0">
      <text>
        <r>
          <rPr>
            <b/>
            <sz val="8"/>
            <color indexed="81"/>
            <rFont val="Tahoma"/>
            <family val="2"/>
          </rPr>
          <t>slifsara:</t>
        </r>
        <r>
          <rPr>
            <sz val="8"/>
            <color indexed="81"/>
            <rFont val="Tahoma"/>
            <family val="2"/>
          </rPr>
          <t xml:space="preserve">
50/50 in US to co-develop and co-market Linaclotide--jointly and equally will fund development and commercialization. </t>
        </r>
      </text>
    </comment>
    <comment ref="B85" authorId="0">
      <text>
        <r>
          <rPr>
            <b/>
            <sz val="8"/>
            <color indexed="81"/>
            <rFont val="Tahoma"/>
            <family val="2"/>
          </rPr>
          <t>slifsara:</t>
        </r>
        <r>
          <rPr>
            <sz val="8"/>
            <color indexed="81"/>
            <rFont val="Tahoma"/>
            <family val="2"/>
          </rPr>
          <t xml:space="preserve">
Will not recognize COGS on P&amp;L for US.  Forest books sales and COGS. </t>
        </r>
      </text>
    </comment>
    <comment ref="H85" authorId="0">
      <text>
        <r>
          <rPr>
            <b/>
            <sz val="8"/>
            <color indexed="81"/>
            <rFont val="Tahoma"/>
            <family val="2"/>
          </rPr>
          <t>slifsara:</t>
        </r>
        <r>
          <rPr>
            <sz val="8"/>
            <color indexed="81"/>
            <rFont val="Tahoma"/>
            <family val="2"/>
          </rPr>
          <t xml:space="preserve">
company expects single digit COGS--likely 10% improving over time.  </t>
        </r>
      </text>
    </comment>
    <comment ref="I86" authorId="1">
      <text>
        <r>
          <rPr>
            <b/>
            <sz val="8"/>
            <color indexed="81"/>
            <rFont val="Tahoma"/>
            <family val="2"/>
          </rPr>
          <t>Brienne Kugler:</t>
        </r>
        <r>
          <rPr>
            <sz val="8"/>
            <color indexed="81"/>
            <rFont val="Tahoma"/>
            <family val="2"/>
          </rPr>
          <t xml:space="preserve">
Assume still using some pre-launch inventory</t>
        </r>
      </text>
    </comment>
    <comment ref="B87" authorId="2">
      <text>
        <r>
          <rPr>
            <b/>
            <sz val="8"/>
            <color indexed="81"/>
            <rFont val="Tahoma"/>
            <family val="2"/>
          </rPr>
          <t>David Friedman:</t>
        </r>
        <r>
          <rPr>
            <sz val="8"/>
            <color indexed="81"/>
            <rFont val="Tahoma"/>
            <family val="2"/>
          </rPr>
          <t xml:space="preserve">
FRX books OCGS, IRWD reimburses 50%</t>
        </r>
      </text>
    </comment>
    <comment ref="J89" authorId="1">
      <text>
        <r>
          <rPr>
            <b/>
            <sz val="8"/>
            <color indexed="81"/>
            <rFont val="Tahoma"/>
            <family val="2"/>
          </rPr>
          <t>Brienne Kugler:</t>
        </r>
        <r>
          <rPr>
            <sz val="8"/>
            <color indexed="81"/>
            <rFont val="Tahoma"/>
            <family val="2"/>
          </rPr>
          <t xml:space="preserve">
4Q: $240-270mn
JPM 2014: $250-300mn including DTC effort
</t>
        </r>
      </text>
    </comment>
    <comment ref="I90" authorId="1">
      <text>
        <r>
          <rPr>
            <sz val="8"/>
            <color indexed="81"/>
            <rFont val="Tahoma"/>
            <family val="2"/>
          </rPr>
          <t>Actual: $255.5mn (per 4Q13 press release)</t>
        </r>
      </text>
    </comment>
    <comment ref="B98" authorId="0">
      <text>
        <r>
          <rPr>
            <b/>
            <sz val="8"/>
            <color indexed="81"/>
            <rFont val="Tahoma"/>
            <family val="2"/>
          </rPr>
          <t>slifsara:</t>
        </r>
        <r>
          <rPr>
            <sz val="8"/>
            <color indexed="81"/>
            <rFont val="Tahoma"/>
            <family val="2"/>
          </rPr>
          <t xml:space="preserve">
66% of GI sales force is counted for in the "JV" due to 1st position detailing.  Similar to the PCP allocation. 
Forest books 100% PCP reps and 66% goes to JV with IRWD reimbursing half of this. 
IRWD books 100% GI reps and 66% goes to JV with FRX reimbursing half of this. 
</t>
        </r>
      </text>
    </comment>
    <comment ref="B99" authorId="0">
      <text>
        <r>
          <rPr>
            <b/>
            <sz val="8"/>
            <color indexed="81"/>
            <rFont val="Tahoma"/>
            <family val="2"/>
          </rPr>
          <t>slifsara:</t>
        </r>
        <r>
          <rPr>
            <sz val="8"/>
            <color indexed="81"/>
            <rFont val="Tahoma"/>
            <family val="2"/>
          </rPr>
          <t xml:space="preserve">
Ironwood books full GI sales force.--&gt; this drives IRWD SG&amp;A</t>
        </r>
      </text>
    </comment>
    <comment ref="B100" authorId="0">
      <text>
        <r>
          <rPr>
            <b/>
            <sz val="8"/>
            <color indexed="81"/>
            <rFont val="Tahoma"/>
            <family val="2"/>
          </rPr>
          <t>slifsara:</t>
        </r>
        <r>
          <rPr>
            <sz val="8"/>
            <color indexed="81"/>
            <rFont val="Tahoma"/>
            <family val="2"/>
          </rPr>
          <t xml:space="preserve">
This hits Ironwood's P&amp;L. they pay for this and get reimbursed 50%. </t>
        </r>
      </text>
    </comment>
    <comment ref="B129" authorId="0">
      <text>
        <r>
          <rPr>
            <b/>
            <sz val="8"/>
            <color indexed="81"/>
            <rFont val="Tahoma"/>
            <family val="2"/>
          </rPr>
          <t>slifsara:</t>
        </r>
        <r>
          <rPr>
            <sz val="8"/>
            <color indexed="81"/>
            <rFont val="Tahoma"/>
            <family val="2"/>
          </rPr>
          <t xml:space="preserve">
Making assumption companies paid half and half and Ironwood's 50% is flowing through the P&amp;L. </t>
        </r>
      </text>
    </comment>
    <comment ref="I129" authorId="1">
      <text>
        <r>
          <rPr>
            <b/>
            <sz val="8"/>
            <color indexed="81"/>
            <rFont val="Tahoma"/>
            <family val="2"/>
          </rPr>
          <t>Brienne Kugler:</t>
        </r>
        <r>
          <rPr>
            <sz val="8"/>
            <color indexed="81"/>
            <rFont val="Tahoma"/>
            <family val="2"/>
          </rPr>
          <t xml:space="preserve">
From 4Q slides</t>
        </r>
      </text>
    </comment>
    <comment ref="B137" authorId="0">
      <text>
        <r>
          <rPr>
            <b/>
            <sz val="8"/>
            <color indexed="81"/>
            <rFont val="Tahoma"/>
            <family val="2"/>
          </rPr>
          <t>slifsara:</t>
        </r>
        <r>
          <rPr>
            <sz val="8"/>
            <color indexed="81"/>
            <rFont val="Tahoma"/>
            <family val="2"/>
          </rPr>
          <t xml:space="preserve">
Irritable bowel syndrome: the burden and unmet needs in Europe, Quigley et al, June 2006)</t>
        </r>
      </text>
    </comment>
    <comment ref="G142" authorId="0">
      <text>
        <r>
          <rPr>
            <b/>
            <sz val="8"/>
            <color indexed="81"/>
            <rFont val="Tahoma"/>
            <family val="2"/>
          </rPr>
          <t>slifsara:</t>
        </r>
        <r>
          <rPr>
            <sz val="8"/>
            <color indexed="81"/>
            <rFont val="Tahoma"/>
            <family val="2"/>
          </rPr>
          <t xml:space="preserve">
MAA submission 2H11. </t>
        </r>
      </text>
    </comment>
    <comment ref="H142" authorId="0">
      <text>
        <r>
          <rPr>
            <b/>
            <sz val="8"/>
            <color indexed="81"/>
            <rFont val="Tahoma"/>
            <family val="2"/>
          </rPr>
          <t>slifsara:</t>
        </r>
        <r>
          <rPr>
            <sz val="8"/>
            <color indexed="81"/>
            <rFont val="Tahoma"/>
            <family val="2"/>
          </rPr>
          <t xml:space="preserve">
Launch late 2012/early 2013 --using conservative 2013. </t>
        </r>
      </text>
    </comment>
    <comment ref="I155" authorId="1">
      <text>
        <r>
          <rPr>
            <sz val="8"/>
            <color indexed="81"/>
            <rFont val="Tahoma"/>
            <family val="2"/>
          </rPr>
          <t>Almirall will pay Ironwood gross royalties based on sales volume in the Almirall territory, beginning in the low-twenties percent and escalating to the mid-forties percent through April 2017, and thereafter beginning in the mid-twenties percent and escalating to the mid-forties percent at lower sales volume triggers than in the period through April 2017</t>
        </r>
      </text>
    </comment>
    <comment ref="B157" authorId="0">
      <text>
        <r>
          <rPr>
            <b/>
            <sz val="8"/>
            <color indexed="81"/>
            <rFont val="Tahoma"/>
            <family val="2"/>
          </rPr>
          <t>slifsara:</t>
        </r>
        <r>
          <rPr>
            <sz val="8"/>
            <color indexed="81"/>
            <rFont val="Tahoma"/>
            <family val="2"/>
          </rPr>
          <t xml:space="preserve">
Territories include: Japan, Indonesia, Korea, the Philippines, Taiwan, and Thailand</t>
        </r>
      </text>
    </comment>
    <comment ref="B159" authorId="0">
      <text>
        <r>
          <rPr>
            <b/>
            <sz val="8"/>
            <color indexed="81"/>
            <rFont val="Tahoma"/>
            <family val="2"/>
          </rPr>
          <t xml:space="preserve">slifsara:
</t>
        </r>
        <r>
          <rPr>
            <sz val="8"/>
            <color indexed="81"/>
            <rFont val="Tahoma"/>
            <family val="2"/>
          </rPr>
          <t xml:space="preserve">Astellas will only pursue IBS-C
</t>
        </r>
      </text>
    </comment>
    <comment ref="L159" authorId="0">
      <text>
        <r>
          <rPr>
            <b/>
            <sz val="8"/>
            <color indexed="81"/>
            <rFont val="Tahoma"/>
            <family val="2"/>
          </rPr>
          <t>slifsara:</t>
        </r>
        <r>
          <rPr>
            <sz val="8"/>
            <color indexed="81"/>
            <rFont val="Tahoma"/>
            <family val="2"/>
          </rPr>
          <t xml:space="preserve">
approval</t>
        </r>
      </text>
    </comment>
    <comment ref="B161" authorId="0">
      <text>
        <r>
          <rPr>
            <b/>
            <sz val="8"/>
            <color indexed="81"/>
            <rFont val="Tahoma"/>
            <family val="2"/>
          </rPr>
          <t>slifsara:</t>
        </r>
        <r>
          <rPr>
            <sz val="8"/>
            <color indexed="81"/>
            <rFont val="Tahoma"/>
            <family val="2"/>
          </rPr>
          <t xml:space="preserve">
Astellas deal is same structure as Almirall --Ironwood makes drug, sells for cost +, and gets royalties on sales. </t>
        </r>
      </text>
    </comment>
    <comment ref="B163" authorId="0">
      <text>
        <r>
          <rPr>
            <b/>
            <sz val="8"/>
            <color indexed="81"/>
            <rFont val="Tahoma"/>
            <family val="2"/>
          </rPr>
          <t>slifsara:</t>
        </r>
        <r>
          <rPr>
            <sz val="8"/>
            <color indexed="81"/>
            <rFont val="Tahoma"/>
            <family val="2"/>
          </rPr>
          <t xml:space="preserve">
Ironwood gets escalating royalties on linaclotide sales</t>
        </r>
      </text>
    </comment>
  </commentList>
</comments>
</file>

<file path=xl/sharedStrings.xml><?xml version="1.0" encoding="utf-8"?>
<sst xmlns="http://schemas.openxmlformats.org/spreadsheetml/2006/main" count="1092" uniqueCount="904">
  <si>
    <t xml:space="preserve"> </t>
  </si>
  <si>
    <t>Milestones</t>
  </si>
  <si>
    <t>Description</t>
  </si>
  <si>
    <t>1Q09A</t>
  </si>
  <si>
    <t>2Q09A</t>
  </si>
  <si>
    <t>3Q09A</t>
  </si>
  <si>
    <t>4Q09A</t>
  </si>
  <si>
    <t>2009A</t>
  </si>
  <si>
    <t>1Q10A</t>
  </si>
  <si>
    <t>2Q10A</t>
  </si>
  <si>
    <t>Revenues</t>
  </si>
  <si>
    <t xml:space="preserve">Operating Expenses: </t>
  </si>
  <si>
    <t xml:space="preserve">  % total product sales</t>
  </si>
  <si>
    <t>R&amp;D</t>
  </si>
  <si>
    <t xml:space="preserve">  % of revenue </t>
  </si>
  <si>
    <t>SG&amp;A</t>
  </si>
  <si>
    <t xml:space="preserve"> % of revenue</t>
  </si>
  <si>
    <t>Total Operating Expenses</t>
  </si>
  <si>
    <t>Operating Income (Loss)</t>
  </si>
  <si>
    <t xml:space="preserve">  Operating Margin</t>
  </si>
  <si>
    <t>Interest and investment income</t>
  </si>
  <si>
    <t>Pretax Income (Loss)</t>
  </si>
  <si>
    <t>Provision for Income Taxes</t>
  </si>
  <si>
    <t xml:space="preserve">  Effective tax rate</t>
  </si>
  <si>
    <t>Net Income (Loss)</t>
  </si>
  <si>
    <t>EPS, basic</t>
  </si>
  <si>
    <t>EPS, diluted</t>
  </si>
  <si>
    <t>Options Expense</t>
  </si>
  <si>
    <t xml:space="preserve">  % of operating expense</t>
  </si>
  <si>
    <t>Tax benefit from options</t>
  </si>
  <si>
    <t>Basic Shares Outstanding</t>
  </si>
  <si>
    <t>Diluted Shares Outstanding</t>
  </si>
  <si>
    <t>GAAP net income</t>
  </si>
  <si>
    <t>GAAP EPS, diluted (including ESOs)</t>
  </si>
  <si>
    <t>2016E</t>
  </si>
  <si>
    <t>2017E</t>
  </si>
  <si>
    <t>2018E</t>
  </si>
  <si>
    <t>Cash and cash equivalents</t>
  </si>
  <si>
    <t>Accounts receivable</t>
  </si>
  <si>
    <t>Total Current Assets</t>
  </si>
  <si>
    <t>Property and equipment, net</t>
  </si>
  <si>
    <t>Other Assets</t>
  </si>
  <si>
    <t>Restricted Cash</t>
  </si>
  <si>
    <t>Total Assets</t>
  </si>
  <si>
    <t>Accounts payables</t>
  </si>
  <si>
    <t>Accrued expenses</t>
  </si>
  <si>
    <t>Deferred revenue</t>
  </si>
  <si>
    <t>Deferred rent</t>
  </si>
  <si>
    <t>Total Current Liabilities</t>
  </si>
  <si>
    <t>Total Liabilities</t>
  </si>
  <si>
    <t>Convertible preferred stock</t>
  </si>
  <si>
    <t>Common Stock</t>
  </si>
  <si>
    <t>Additional paid-in capital</t>
  </si>
  <si>
    <t>Accumulated other comprehensive income</t>
  </si>
  <si>
    <t>Accumulated deficit</t>
  </si>
  <si>
    <t>Total liabilities and stockholders' equity</t>
  </si>
  <si>
    <t>Total stockholders' equity</t>
  </si>
  <si>
    <t>Prepaid expenses &amp; other current assets</t>
  </si>
  <si>
    <t>2008A</t>
  </si>
  <si>
    <t>Check</t>
  </si>
  <si>
    <t xml:space="preserve"> Net loss</t>
  </si>
  <si>
    <t xml:space="preserve"> Depreciation and amortization</t>
  </si>
  <si>
    <t>Changes in operating assets liabilities:</t>
  </si>
  <si>
    <t xml:space="preserve">  Accounts receivable</t>
  </si>
  <si>
    <t xml:space="preserve">  Prepaid expenses and other current assets</t>
  </si>
  <si>
    <t xml:space="preserve">  Other noncurrent assets</t>
  </si>
  <si>
    <t xml:space="preserve">  Deferred revenue</t>
  </si>
  <si>
    <t>Net cash used in operating activities</t>
  </si>
  <si>
    <t>Investing Activities:</t>
  </si>
  <si>
    <t xml:space="preserve">  Purchases of PPE</t>
  </si>
  <si>
    <t xml:space="preserve">  Purchases of available-for-sale securities</t>
  </si>
  <si>
    <t xml:space="preserve">  Sales and maturities of available-for-sale securities</t>
  </si>
  <si>
    <t>Net cash used in investing activities</t>
  </si>
  <si>
    <t>Financing activities:</t>
  </si>
  <si>
    <t xml:space="preserve">  Tax benefit from stock options</t>
  </si>
  <si>
    <t xml:space="preserve">  Disbursements from repurchase of common stock</t>
  </si>
  <si>
    <t>Net cash provided by financing activities</t>
  </si>
  <si>
    <t>Increase in cash and cash equivalents</t>
  </si>
  <si>
    <t>Cash and equivalents at beginning of year</t>
  </si>
  <si>
    <t>Cash and equivalents at end of year</t>
  </si>
  <si>
    <t>Income taxes</t>
  </si>
  <si>
    <t>Statutory tax rate</t>
  </si>
  <si>
    <t>NOL carryforwards</t>
  </si>
  <si>
    <t>Pretax Income</t>
  </si>
  <si>
    <t>Ending NOL</t>
  </si>
  <si>
    <t>Net profits before tax for the year</t>
  </si>
  <si>
    <t>Income taxes owed</t>
  </si>
  <si>
    <t>Income taxes paid</t>
  </si>
  <si>
    <t>Interest Income</t>
  </si>
  <si>
    <t>Average cash &amp; investments</t>
  </si>
  <si>
    <t xml:space="preserve">  Interest rate</t>
  </si>
  <si>
    <t>Modelware Requirements</t>
  </si>
  <si>
    <t>Statuatory Tax</t>
  </si>
  <si>
    <t>Common Dividends</t>
  </si>
  <si>
    <t>Unrecorded Goodwill</t>
  </si>
  <si>
    <t>Operating expenses</t>
  </si>
  <si>
    <t>R&amp;D expense</t>
  </si>
  <si>
    <t>COGS</t>
  </si>
  <si>
    <t>Working Capital</t>
  </si>
  <si>
    <t xml:space="preserve">      % of revenue</t>
  </si>
  <si>
    <t>Other current assets</t>
  </si>
  <si>
    <t xml:space="preserve">     % of revenue</t>
  </si>
  <si>
    <t xml:space="preserve">    % operating expenses</t>
  </si>
  <si>
    <t>Depreciation &amp; Amortization Schedule</t>
  </si>
  <si>
    <t xml:space="preserve">  2007 capital expenditures</t>
  </si>
  <si>
    <t xml:space="preserve">  2008 capital expenditures</t>
  </si>
  <si>
    <t xml:space="preserve">  2009 capital expenditures</t>
  </si>
  <si>
    <t xml:space="preserve">  2010 capital expenditures</t>
  </si>
  <si>
    <t xml:space="preserve">  2011 capital expenditures</t>
  </si>
  <si>
    <t xml:space="preserve">  2012 capital expenditures</t>
  </si>
  <si>
    <t xml:space="preserve">  2013 capital expenditures</t>
  </si>
  <si>
    <t xml:space="preserve">  2014 capital expenditures</t>
  </si>
  <si>
    <t xml:space="preserve">  2015 capital expenditures</t>
  </si>
  <si>
    <t xml:space="preserve">  2016 capital expenditures</t>
  </si>
  <si>
    <t xml:space="preserve">  2017 capital expenditures</t>
  </si>
  <si>
    <t xml:space="preserve">  2018 capital expenditures</t>
  </si>
  <si>
    <t xml:space="preserve"> Total depreciation</t>
  </si>
  <si>
    <t xml:space="preserve">      Depreciation as % of operating expense</t>
  </si>
  <si>
    <t>Property and Equipment, Net</t>
  </si>
  <si>
    <t xml:space="preserve">  Capital expenditures, net</t>
  </si>
  <si>
    <t xml:space="preserve">      % revenue</t>
  </si>
  <si>
    <t xml:space="preserve">  Depreciation</t>
  </si>
  <si>
    <t>Ending Balance</t>
  </si>
  <si>
    <t>Beginning balance</t>
  </si>
  <si>
    <t xml:space="preserve"> Stock Options and Share Count</t>
  </si>
  <si>
    <t>Option Balance (Beginning Year)</t>
  </si>
  <si>
    <t xml:space="preserve">   % Exercisable</t>
  </si>
  <si>
    <t>Options Cancelled</t>
  </si>
  <si>
    <t xml:space="preserve">   % Cancelled </t>
  </si>
  <si>
    <t>Options Exercised</t>
  </si>
  <si>
    <t xml:space="preserve">     % of Outstanding Options</t>
  </si>
  <si>
    <t>Weighted Average Exercise Price</t>
  </si>
  <si>
    <t xml:space="preserve">     Tax rate</t>
  </si>
  <si>
    <t>Proceeds from option</t>
  </si>
  <si>
    <t>Tax Benefit from Options</t>
  </si>
  <si>
    <t>Options Granted</t>
  </si>
  <si>
    <t>Shares Issued</t>
  </si>
  <si>
    <t>Price per share</t>
  </si>
  <si>
    <t>Proceeds from share issuance</t>
  </si>
  <si>
    <t>Shares Repurchased (mm)</t>
  </si>
  <si>
    <t>Share Repurchase Cost</t>
  </si>
  <si>
    <t xml:space="preserve">Options expense </t>
  </si>
  <si>
    <t>Total Change in APIC</t>
  </si>
  <si>
    <t>Beginning Period Shares (basic)</t>
  </si>
  <si>
    <t>End of Period Shares (basic)</t>
  </si>
  <si>
    <t xml:space="preserve">Average Shares Outstanding-basic </t>
  </si>
  <si>
    <t>Average Shares Outstanding-diluted</t>
  </si>
  <si>
    <t>Cash cost of options</t>
  </si>
  <si>
    <t>Options/shares outstanding</t>
  </si>
  <si>
    <t>Preferred Stock Converted to Common Stock</t>
  </si>
  <si>
    <t>Debt Schedule</t>
  </si>
  <si>
    <t>US</t>
  </si>
  <si>
    <t>EU</t>
  </si>
  <si>
    <t>Total Revenues</t>
  </si>
  <si>
    <t>Conversion of PS + Warrants to CS</t>
  </si>
  <si>
    <t xml:space="preserve">  YoY Growth</t>
  </si>
  <si>
    <t>Present Value of Free Cash Flow</t>
  </si>
  <si>
    <t>Equity Value</t>
  </si>
  <si>
    <t>Free Cash Flow Calculation</t>
  </si>
  <si>
    <t>CFO</t>
  </si>
  <si>
    <t>CapEx</t>
  </si>
  <si>
    <t>FCF</t>
  </si>
  <si>
    <t>Other long-term assets</t>
  </si>
  <si>
    <t>USD</t>
  </si>
  <si>
    <t>Net issuance and repurchase</t>
  </si>
  <si>
    <t>Services</t>
  </si>
  <si>
    <t>Net Loss attributed to minority interest</t>
  </si>
  <si>
    <t>Linaclotide US Sales</t>
  </si>
  <si>
    <t>Revenue to IRWD:</t>
  </si>
  <si>
    <t>Available-for-sale securities</t>
  </si>
  <si>
    <t>Related party accounts receivable, net</t>
  </si>
  <si>
    <t>Accrued research and development costs</t>
  </si>
  <si>
    <t>Current portion of long-term debt</t>
  </si>
  <si>
    <t>Current portion of capital lease obligations</t>
  </si>
  <si>
    <t>Capital lease obligations</t>
  </si>
  <si>
    <t>Noncontrolling Interest</t>
  </si>
  <si>
    <t>Net Loss Pre MI</t>
  </si>
  <si>
    <t xml:space="preserve"> Loss (gain) on disposal of property and equipment</t>
  </si>
  <si>
    <t xml:space="preserve"> Impairment loss on long-lived assets</t>
  </si>
  <si>
    <t xml:space="preserve"> Remeasurement of forward purchase contracts</t>
  </si>
  <si>
    <t xml:space="preserve"> Accretion of discount / premium on investment securities</t>
  </si>
  <si>
    <t xml:space="preserve"> Share-based compensation expense</t>
  </si>
  <si>
    <t xml:space="preserve">  Restricted cash</t>
  </si>
  <si>
    <t xml:space="preserve">  Accounts payable and accrued expenses</t>
  </si>
  <si>
    <t xml:space="preserve">  Accrued research and development costs</t>
  </si>
  <si>
    <t xml:space="preserve">  Proceeds from sale of noncotrolling interest in subsidiary</t>
  </si>
  <si>
    <t>GAAP Net Income Excluding MI</t>
  </si>
  <si>
    <t xml:space="preserve">  Proceeds from issuance of preferred stock, net of issuance costs</t>
  </si>
  <si>
    <t>Loan (Beginning Balance)</t>
  </si>
  <si>
    <t xml:space="preserve"> Minority Interest Add-Back</t>
  </si>
  <si>
    <t>Linaclotide Market Model (000)</t>
  </si>
  <si>
    <t xml:space="preserve">US Chronic Constipation </t>
  </si>
  <si>
    <t>US Population</t>
  </si>
  <si>
    <t xml:space="preserve">  % with CC symptoms</t>
  </si>
  <si>
    <t>US CC population</t>
  </si>
  <si>
    <t xml:space="preserve">  % seeking treatment for constipation</t>
  </si>
  <si>
    <t>CC patients seeking treatment</t>
  </si>
  <si>
    <t xml:space="preserve">  % diagnosed with CC (not IBS-C/other GI disease)</t>
  </si>
  <si>
    <t xml:space="preserve">CC treated patients </t>
  </si>
  <si>
    <t xml:space="preserve"> % on treatment and satisfied</t>
  </si>
  <si>
    <t>Linaclotide eligible population</t>
  </si>
  <si>
    <t xml:space="preserve">  Linaclotide penetration</t>
  </si>
  <si>
    <t>Patients on Linaclotide</t>
  </si>
  <si>
    <t>Cost per month</t>
  </si>
  <si>
    <t>Duration of therapy</t>
  </si>
  <si>
    <t>Revenue per patient</t>
  </si>
  <si>
    <t xml:space="preserve"> % with IBS-C symptoms</t>
  </si>
  <si>
    <t>People with IBS-C symptoms</t>
  </si>
  <si>
    <t xml:space="preserve">  % Diagnosed and treated with Rx</t>
  </si>
  <si>
    <t>Patients treated for IBS-C with Rx</t>
  </si>
  <si>
    <t xml:space="preserve">  % on treatment and satisfied</t>
  </si>
  <si>
    <t>Linaclotide eligible patients</t>
  </si>
  <si>
    <t xml:space="preserve">   Linaclotide penetration</t>
  </si>
  <si>
    <t>Total US IBS-C Sales</t>
  </si>
  <si>
    <t xml:space="preserve">   Cost per rep</t>
  </si>
  <si>
    <t xml:space="preserve">   Ironwood share</t>
  </si>
  <si>
    <t>EU Irritable Bowel Syndrome-constipation</t>
  </si>
  <si>
    <t>EU population</t>
  </si>
  <si>
    <t xml:space="preserve">  % with IBS symptoms</t>
  </si>
  <si>
    <t>Number with IBS-C symptoms</t>
  </si>
  <si>
    <t>IBS-C treated patients</t>
  </si>
  <si>
    <t>Total EU IBS-C sales</t>
  </si>
  <si>
    <t>Royalties from Almirall</t>
  </si>
  <si>
    <t>CC sales</t>
  </si>
  <si>
    <t>IBS-C sales</t>
  </si>
  <si>
    <t>Total Japan/other sales</t>
  </si>
  <si>
    <t>Royalties from Astellas</t>
  </si>
  <si>
    <t>Scenario Analysis</t>
  </si>
  <si>
    <t xml:space="preserve">  Bull</t>
  </si>
  <si>
    <t xml:space="preserve">  Base</t>
  </si>
  <si>
    <t xml:space="preserve">  Bear</t>
  </si>
  <si>
    <t>Linaclotide EU Royalty</t>
  </si>
  <si>
    <t>Linaclotide EU Sales</t>
  </si>
  <si>
    <t>Linaclotide Astellas Sales</t>
  </si>
  <si>
    <t>Linaclotide Total Sales</t>
  </si>
  <si>
    <t>3Q10A</t>
  </si>
  <si>
    <t>Price Target</t>
  </si>
  <si>
    <t xml:space="preserve">  Proceeds from the sale of property and equipment / subsidiary</t>
  </si>
  <si>
    <t>Currency</t>
  </si>
  <si>
    <t>Current Stock Price</t>
  </si>
  <si>
    <t>Count</t>
  </si>
  <si>
    <t>INCY.O,mscalc:targetPrice,,,,USD</t>
  </si>
  <si>
    <t>INCY.O,mscalc:sedolCodeCalc</t>
  </si>
  <si>
    <t>INCY.O,mscalc:closePriceCurrencyCalc</t>
  </si>
  <si>
    <t>21</t>
  </si>
  <si>
    <t>2471950</t>
  </si>
  <si>
    <t>ND</t>
  </si>
  <si>
    <t>,mscalc:targetPrice,,,,USD</t>
  </si>
  <si>
    <t>,mscalc:sedolCodeCalc</t>
  </si>
  <si>
    <t>,mscalc:closePriceCurrencyCalc</t>
  </si>
  <si>
    <t>Ironwood Pharmaceuticals, Inc.</t>
  </si>
  <si>
    <t>Case</t>
  </si>
  <si>
    <t>Market Share</t>
  </si>
  <si>
    <t>% on treatment and satisfied</t>
  </si>
  <si>
    <t>US Population (000)</t>
  </si>
  <si>
    <t>Total US CC Sales ($mn)</t>
  </si>
  <si>
    <t xml:space="preserve">     Royalty Rate</t>
  </si>
  <si>
    <t xml:space="preserve">  % total Ex-US sales</t>
  </si>
  <si>
    <t xml:space="preserve">     % US Product Sales</t>
  </si>
  <si>
    <t xml:space="preserve">   Primary Sales force (# reps)</t>
  </si>
  <si>
    <t>Marketing cost</t>
  </si>
  <si>
    <t xml:space="preserve">   GI Sales force</t>
  </si>
  <si>
    <t>Total Linaclotide R&amp;D</t>
  </si>
  <si>
    <t>Linaclotide R&amp;D paid for by Ironwood</t>
  </si>
  <si>
    <t>Core R&amp;D</t>
  </si>
  <si>
    <t xml:space="preserve">   YoY Growth</t>
  </si>
  <si>
    <t xml:space="preserve">   Actual R&amp;D</t>
  </si>
  <si>
    <t>Ironwood's GI sales force</t>
  </si>
  <si>
    <t xml:space="preserve">    % marketing paid by IRWD</t>
  </si>
  <si>
    <t>Ironwood's portion of linaclotide marketing</t>
  </si>
  <si>
    <t>Core SG&amp;A</t>
  </si>
  <si>
    <t>SG&amp;A on Linaclotide P&amp;L</t>
  </si>
  <si>
    <t xml:space="preserve">   Actual SG&amp;A</t>
  </si>
  <si>
    <t xml:space="preserve">     Forest %</t>
  </si>
  <si>
    <t xml:space="preserve">     Ironwood %</t>
  </si>
  <si>
    <t>Forest marketing spend</t>
  </si>
  <si>
    <t>50% of total spend</t>
  </si>
  <si>
    <t>Reimbursement from Forest</t>
  </si>
  <si>
    <t>Reimbursement to Forest</t>
  </si>
  <si>
    <t>Ironwood marketing spend</t>
  </si>
  <si>
    <t>Deal with Forest</t>
  </si>
  <si>
    <t>Milestone</t>
  </si>
  <si>
    <t>Payment</t>
  </si>
  <si>
    <t>Amortization period</t>
  </si>
  <si>
    <t>Cash received</t>
  </si>
  <si>
    <t>Cash recognized</t>
  </si>
  <si>
    <t>Deferred cash (current)</t>
  </si>
  <si>
    <t>Deferred cash (non-current)</t>
  </si>
  <si>
    <t>Total deferred</t>
  </si>
  <si>
    <t>Total cash recognized</t>
  </si>
  <si>
    <t>Deal with Almirall</t>
  </si>
  <si>
    <t>Deal with Astellas</t>
  </si>
  <si>
    <t>Total deferred revenue (current)</t>
  </si>
  <si>
    <t>Total deferred revenue (non-current)</t>
  </si>
  <si>
    <t>Upfront</t>
  </si>
  <si>
    <t>Phase III data in CC</t>
  </si>
  <si>
    <t>Filing</t>
  </si>
  <si>
    <t>Approval</t>
  </si>
  <si>
    <t>Sales</t>
  </si>
  <si>
    <t>First patient in Phase III</t>
  </si>
  <si>
    <t>Initiation of IBS Phase III</t>
  </si>
  <si>
    <t>Total</t>
  </si>
  <si>
    <t>Start Phase III</t>
  </si>
  <si>
    <t>Total cash recognized for Income Statement</t>
  </si>
  <si>
    <t>Accrued R&amp;D</t>
  </si>
  <si>
    <t>Deferred Rent (non-current)</t>
  </si>
  <si>
    <t>Capital Lease Obligations (non-current)</t>
  </si>
  <si>
    <t>Capital Lease Obligations (current)</t>
  </si>
  <si>
    <t>Deferred Rent (current)</t>
  </si>
  <si>
    <t xml:space="preserve">  Deferred rent &amp; Capital Lease Obligations</t>
  </si>
  <si>
    <t>US Sales</t>
  </si>
  <si>
    <t>Related party accts receivables, net</t>
  </si>
  <si>
    <t>IRWD.O</t>
  </si>
  <si>
    <t>4Q10A</t>
  </si>
  <si>
    <t>2010A</t>
  </si>
  <si>
    <t>Actual</t>
  </si>
  <si>
    <t>Net Income (excl one-time items)</t>
  </si>
  <si>
    <t>IBS data</t>
  </si>
  <si>
    <t>% of PCP Salesforce allocated to split</t>
  </si>
  <si>
    <t>Non-GAAP, diluted (inc. ESOs)</t>
  </si>
  <si>
    <t>Check current</t>
  </si>
  <si>
    <t>Check non-current</t>
  </si>
  <si>
    <t>Long-term assets of discontinued operations</t>
  </si>
  <si>
    <t>Current assets of discontinued operations</t>
  </si>
  <si>
    <t>Long-term liabilities of discont operations</t>
  </si>
  <si>
    <t xml:space="preserve"> Income (loss) from discontinued operations</t>
  </si>
  <si>
    <t xml:space="preserve">  Proceeds from sale of subsidiary</t>
  </si>
  <si>
    <t>Net cashed used in operating activities from disc ops</t>
  </si>
  <si>
    <t xml:space="preserve">  Proceeds from exercise of stock options, stock purchase plan and issuance of common </t>
  </si>
  <si>
    <t>Other Income / Forward Purchase Contracts</t>
  </si>
  <si>
    <t>Net (income) loss from disc operations</t>
  </si>
  <si>
    <t>Net Income (Loss) to Ironwood Pharma</t>
  </si>
  <si>
    <t>Income / (Loss) from continuing operations</t>
  </si>
  <si>
    <t>1Q11A</t>
  </si>
  <si>
    <t>2Q11A</t>
  </si>
  <si>
    <t>Free Cash Flow</t>
  </si>
  <si>
    <t>Net Cash Proxy for Dilution</t>
  </si>
  <si>
    <t>Free Cash Flow for DCF</t>
  </si>
  <si>
    <t>IRWD.O,mscalc:targetPrice,,,,USD</t>
  </si>
  <si>
    <t>IRWD.O,mscalc:sedolCodeCalc</t>
  </si>
  <si>
    <t>IRWD.O,mscalc:closePriceCurrencyCalc</t>
  </si>
  <si>
    <t>22</t>
  </si>
  <si>
    <t>B3MZ6K5</t>
  </si>
  <si>
    <t>3Q11A</t>
  </si>
  <si>
    <t xml:space="preserve">    Bull</t>
  </si>
  <si>
    <t xml:space="preserve">    Base</t>
  </si>
  <si>
    <t xml:space="preserve">    Bear</t>
  </si>
  <si>
    <t>R&amp;D on Ironwood P&amp;L</t>
  </si>
  <si>
    <t>One-time items</t>
  </si>
  <si>
    <t>IRWD.O,mscalc:targetPrice</t>
  </si>
  <si>
    <t>$T$2</t>
  </si>
  <si>
    <t>2011A</t>
  </si>
  <si>
    <t xml:space="preserve">  Proceeds from share issuance</t>
  </si>
  <si>
    <t>NA</t>
  </si>
  <si>
    <t>Total Primary Care Sales Force Cost</t>
  </si>
  <si>
    <t>Collaboration Revenue (Linaclotide US Profit Split)</t>
  </si>
  <si>
    <t>Total GI Sales Force Cost attrib to JV</t>
  </si>
  <si>
    <t>Total GI sales force on IRWD's P&amp;L</t>
  </si>
  <si>
    <t>Price Increase</t>
  </si>
  <si>
    <t>2019E</t>
  </si>
  <si>
    <t>2020E</t>
  </si>
  <si>
    <t xml:space="preserve">  2019 capital expenditures</t>
  </si>
  <si>
    <t xml:space="preserve">  2020 capital expenditures</t>
  </si>
  <si>
    <t>Valuation Date</t>
  </si>
  <si>
    <t>Discount Rate</t>
  </si>
  <si>
    <t>Terminal Growth Rate</t>
  </si>
  <si>
    <t>Terminal Value Year</t>
  </si>
  <si>
    <t>Sum of Discounted  FCF</t>
  </si>
  <si>
    <t>Net Cash</t>
  </si>
  <si>
    <t>Equity Value/Sh</t>
  </si>
  <si>
    <t>Shares Outstanding (Basic)</t>
  </si>
  <si>
    <t>Interest Rate</t>
  </si>
  <si>
    <t>Synthetic Royalty Amount</t>
  </si>
  <si>
    <t>% of Net US Sales</t>
  </si>
  <si>
    <t>Interest Payment</t>
  </si>
  <si>
    <t>End of Yr Balance</t>
  </si>
  <si>
    <t>Eligible Paydowm</t>
  </si>
  <si>
    <t>Actual Paydowm</t>
  </si>
  <si>
    <t>4Q12A</t>
  </si>
  <si>
    <t>Inventory</t>
  </si>
  <si>
    <t xml:space="preserve">  Change in inventory</t>
  </si>
  <si>
    <t>Mkting - Bull</t>
  </si>
  <si>
    <t>Mkting - Base</t>
  </si>
  <si>
    <t>Mkting - Bear</t>
  </si>
  <si>
    <t xml:space="preserve">   YoY Growth - Base</t>
  </si>
  <si>
    <t xml:space="preserve">   YoY Growth - Bear</t>
  </si>
  <si>
    <t xml:space="preserve">   YoY Growth - Bull</t>
  </si>
  <si>
    <t>Other liabilities</t>
  </si>
  <si>
    <t xml:space="preserve">  Other liabilities</t>
  </si>
  <si>
    <t xml:space="preserve">  Payments on borrowings and capital lease obligations</t>
  </si>
  <si>
    <t>Other liabilites</t>
  </si>
  <si>
    <t>Accounts payable</t>
  </si>
  <si>
    <t>Average Options Exercisable</t>
  </si>
  <si>
    <t>2012A</t>
  </si>
  <si>
    <t>1Q13A</t>
  </si>
  <si>
    <t>2Q13A</t>
  </si>
  <si>
    <t>3Q13A</t>
  </si>
  <si>
    <t xml:space="preserve">  YoY growth</t>
  </si>
  <si>
    <t>Supply chain, ROW support, other</t>
  </si>
  <si>
    <t>% of total R&amp;D</t>
  </si>
  <si>
    <t>2013A</t>
  </si>
  <si>
    <t>4Q13A</t>
  </si>
  <si>
    <t>1Q14A</t>
  </si>
  <si>
    <t xml:space="preserve">  Proceeds from issuance of notes payable</t>
  </si>
  <si>
    <t xml:space="preserve"> Non-cash interest expense</t>
  </si>
  <si>
    <t>Notes payable</t>
  </si>
  <si>
    <t xml:space="preserve">  Cost associated with the issuance of notes payable</t>
  </si>
  <si>
    <t>Linzess Net Sales</t>
  </si>
  <si>
    <t>Net profit (loss) on sales of LINZESS</t>
  </si>
  <si>
    <t xml:space="preserve">Ironwood's share of net profit (loss) </t>
  </si>
  <si>
    <t>Ironwood's SG&amp;A</t>
  </si>
  <si>
    <t>Commercial costs and expenses</t>
  </si>
  <si>
    <t>YoY</t>
  </si>
  <si>
    <t>Total US Sales</t>
  </si>
  <si>
    <t>WW Linaclotide Sales</t>
  </si>
  <si>
    <t>EU Linaclotide Sales</t>
  </si>
  <si>
    <t>US Linaclotide Sales</t>
  </si>
  <si>
    <t>Linaclotide Sales Summary</t>
  </si>
  <si>
    <t xml:space="preserve">   % of product sales</t>
  </si>
  <si>
    <t xml:space="preserve">  % with IBS-C</t>
  </si>
  <si>
    <t xml:space="preserve"> % Diagnosed and treated</t>
  </si>
  <si>
    <t>CC ADDRESSABLE POPULATION</t>
  </si>
  <si>
    <t>PRICING AND DURATION</t>
  </si>
  <si>
    <t>IBS-C ADDRESSABLE POPULATION</t>
  </si>
  <si>
    <t>Chronic Constipation Scenarios</t>
  </si>
  <si>
    <t>IBS-C Scenarios</t>
  </si>
  <si>
    <t>% on treatment and satisfied - US</t>
  </si>
  <si>
    <t>Market Share - US</t>
  </si>
  <si>
    <t>Bull</t>
  </si>
  <si>
    <t>Base</t>
  </si>
  <si>
    <t>Bear</t>
  </si>
  <si>
    <t>LINZESS COMMERCIAL COSTS AND EXPENSES</t>
  </si>
  <si>
    <t>COGS + SG&amp;A</t>
  </si>
  <si>
    <t>US Irritable Bowel Syndrome-Constipation</t>
  </si>
  <si>
    <t>Net profit (loss) on sales of LINZESS (ex-R&amp;D)</t>
  </si>
  <si>
    <t>Ironwood's share of net profit (loss)</t>
  </si>
  <si>
    <t>Ironwood's Collaboration Revenue (Expense)</t>
  </si>
  <si>
    <t>Ironwood's US Collaboration Expense</t>
  </si>
  <si>
    <t>Ironwood's SG&amp;A Expenses</t>
  </si>
  <si>
    <t>% of GI Sales Force Cost Allocated to JV</t>
  </si>
  <si>
    <t>Share Price</t>
  </si>
  <si>
    <t>2Q14A</t>
  </si>
  <si>
    <t>Profit Share Adjustment</t>
  </si>
  <si>
    <t>3Q14A</t>
  </si>
  <si>
    <t>4Q11A</t>
  </si>
  <si>
    <t>1Q12A</t>
  </si>
  <si>
    <r>
      <t>2Q12</t>
    </r>
    <r>
      <rPr>
        <b/>
        <sz val="10"/>
        <color indexed="8"/>
        <rFont val="Arial"/>
        <family val="2"/>
      </rPr>
      <t>A</t>
    </r>
  </si>
  <si>
    <t>3Q12A</t>
  </si>
  <si>
    <t>1Q18E</t>
  </si>
  <si>
    <t>2Q18E</t>
  </si>
  <si>
    <t>3Q18E</t>
  </si>
  <si>
    <t>4Q18E</t>
  </si>
  <si>
    <t>1Q19E</t>
  </si>
  <si>
    <t>2Q19E</t>
  </si>
  <si>
    <t>3Q19E</t>
  </si>
  <si>
    <t>4Q19E</t>
  </si>
  <si>
    <t>1Q20E</t>
  </si>
  <si>
    <t>2Q20E</t>
  </si>
  <si>
    <t>3Q20E</t>
  </si>
  <si>
    <t>4Q20E</t>
  </si>
  <si>
    <t>2014A</t>
  </si>
  <si>
    <t>4Q14A</t>
  </si>
  <si>
    <t>Write-down of inventory to net realizable value</t>
  </si>
  <si>
    <t>Loss on facility subleases</t>
  </si>
  <si>
    <t xml:space="preserve">  Principal payments on debt</t>
  </si>
  <si>
    <t>1Q15A</t>
  </si>
  <si>
    <t>Convertible senior notes</t>
  </si>
  <si>
    <t>Total notes payable debt</t>
  </si>
  <si>
    <t>Total interest expense</t>
  </si>
  <si>
    <t>Convertible notes interest expense</t>
  </si>
  <si>
    <t>Total debt, including convertible notes</t>
  </si>
  <si>
    <t>Total notes payable debt, less current</t>
  </si>
  <si>
    <t>Current portion of notes payable</t>
  </si>
  <si>
    <t>Taxes</t>
  </si>
  <si>
    <t>2Q15A</t>
  </si>
  <si>
    <t>3Q15A</t>
  </si>
  <si>
    <t>4Q15A</t>
  </si>
  <si>
    <t>2015A</t>
  </si>
  <si>
    <t>Change in fair value of note hedge warrants</t>
  </si>
  <si>
    <t>Change in fair value of convertible note hedges</t>
  </si>
  <si>
    <t xml:space="preserve">  Proceeds from issuance of note hedge warrants</t>
  </si>
  <si>
    <t xml:space="preserve">  Purchase of convertible note hedges</t>
  </si>
  <si>
    <t>Convertible note hedges</t>
  </si>
  <si>
    <t>Note hedge warrants</t>
  </si>
  <si>
    <t>Operating Expenses</t>
  </si>
  <si>
    <t>Cost of Sales</t>
  </si>
  <si>
    <t>COGS, % of Sales</t>
  </si>
  <si>
    <t>Royalty to AZN</t>
  </si>
  <si>
    <t>Tax Rate</t>
  </si>
  <si>
    <t>NI from Lesinurad</t>
  </si>
  <si>
    <t>Sales Growth Rate</t>
  </si>
  <si>
    <t>2018E growth rate accounts for launch of lesinurad-allopurinol fixed-dose combination</t>
  </si>
  <si>
    <t>Zurampic launch expected in 2H16, so model in less than 1/2 year of sales in 2016E, and full first year in 2017E</t>
  </si>
  <si>
    <t>WACC</t>
  </si>
  <si>
    <t>Shares outstanding</t>
  </si>
  <si>
    <t>Per Share value</t>
  </si>
  <si>
    <t>Upfront Payment</t>
  </si>
  <si>
    <t>PV of Income Stream</t>
  </si>
  <si>
    <t>Milestone Payments</t>
  </si>
  <si>
    <t>PV of Milestones</t>
  </si>
  <si>
    <t>Total NPV</t>
  </si>
  <si>
    <t>Zurampic R&amp;D</t>
  </si>
  <si>
    <t>Zurampic SG&amp;A</t>
  </si>
  <si>
    <t>Zurampic Upfront and Milestones</t>
  </si>
  <si>
    <t>Linaclotide Collaboration Expenses</t>
  </si>
  <si>
    <t>% of revenue</t>
  </si>
  <si>
    <t>Impact of milestones to P&amp;L</t>
  </si>
  <si>
    <t>2017E Milestone</t>
  </si>
  <si>
    <t>2018E Milestone</t>
  </si>
  <si>
    <t>2019E Milestone</t>
  </si>
  <si>
    <t>2022E Milestone</t>
  </si>
  <si>
    <t>Milestone pending</t>
  </si>
  <si>
    <t>Upfront pending</t>
  </si>
  <si>
    <t>Amortization period for upfront &amp; milestones paid (years)</t>
  </si>
  <si>
    <t>IRONWOOD PHARMACEUTICALS INC. (NSDQ:IRWD)</t>
  </si>
  <si>
    <t>(in $ millions or per share basis when indicated)</t>
  </si>
  <si>
    <t>Allergan US Commercial Co-Promote</t>
  </si>
  <si>
    <t>FCF YoY Growth</t>
  </si>
  <si>
    <t>Terminal</t>
  </si>
  <si>
    <t>($ in millions)</t>
  </si>
  <si>
    <t>3Q16</t>
  </si>
  <si>
    <t>2Q16</t>
  </si>
  <si>
    <t>1Q16</t>
  </si>
  <si>
    <t>2026 8.375% loan</t>
  </si>
  <si>
    <t>PhaRMA 11% Loan</t>
  </si>
  <si>
    <t>4Q16</t>
  </si>
  <si>
    <t>% of net profit</t>
  </si>
  <si>
    <t>Commercial margin %</t>
  </si>
  <si>
    <t>Stock Based Comp</t>
  </si>
  <si>
    <t>Linaclotide Asia Royalty</t>
  </si>
  <si>
    <t>Collaboration Revenue &amp; Other</t>
  </si>
  <si>
    <t>Other</t>
  </si>
  <si>
    <t>Zurampic/Duzallo Revenue</t>
  </si>
  <si>
    <t>15</t>
  </si>
  <si>
    <t>1Q17</t>
  </si>
  <si>
    <t>Interest expense, other</t>
  </si>
  <si>
    <t>2Q17</t>
  </si>
  <si>
    <t>3Q17</t>
  </si>
  <si>
    <t>4Q17</t>
  </si>
  <si>
    <t>R&amp;D (excl. ESOs)</t>
  </si>
  <si>
    <t>SG&amp;A (excl. ESOs)</t>
  </si>
  <si>
    <t xml:space="preserve">  Other</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</si>
  <si>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</si>
  <si>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</si>
  <si>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</si>
  <si>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</si>
  <si>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</si>
  <si>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</si>
  <si>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</si>
  <si>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</si>
  <si>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David Lebowitz, Matthew Harrison</t>
  </si>
  <si>
    <t>Date: 13 Apr 2018</t>
  </si>
  <si>
    <t>Ticker: IRWD.O</t>
  </si>
  <si>
    <t>Stock Rating: Equal-Weight</t>
  </si>
  <si>
    <t>Industry: Biotechnology</t>
  </si>
  <si>
    <t>Industry View: In-Line</t>
  </si>
  <si>
    <t>Price as of 13 Apr 2018: 17.30</t>
  </si>
  <si>
    <t>Target Price: 15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</si>
  <si>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</si>
  <si>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</si>
  <si>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</si>
  <si>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</si>
  <si>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Ironwood Pharmaceuticals,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</si>
  <si>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</si>
  <si>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</si>
  <si>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</si>
  <si>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</si>
  <si>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</si>
  <si>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</si>
  <si>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</si>
  <si>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</si>
  <si>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</si>
  <si>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</si>
  <si>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</si>
  <si>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</si>
  <si>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</si>
  <si>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</si>
  <si>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</si>
  <si>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</si>
  <si>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</si>
  <si>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</si>
  <si>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</si>
  <si>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</si>
  <si>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</si>
  <si>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</si>
  <si>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</si>
  <si>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</si>
  <si>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</si>
  <si>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</si>
  <si>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</si>
  <si>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</si>
  <si>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</si>
  <si>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</si>
  <si>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</si>
  <si>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</si>
  <si>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</si>
  <si>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</si>
  <si>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</si>
  <si>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</si>
  <si>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</si>
  <si>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</si>
  <si>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</si>
  <si>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</si>
  <si>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</si>
  <si>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</si>
  <si>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</si>
  <si>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</si>
  <si>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</si>
  <si>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</si>
  <si>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</si>
  <si>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</si>
  <si>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</si>
  <si>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</si>
  <si>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</si>
  <si>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</si>
  <si>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</si>
  <si>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</si>
  <si>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</si>
  <si>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</si>
  <si>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</si>
  <si>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</si>
  <si>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</si>
  <si>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</si>
  <si>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</si>
  <si>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</si>
  <si>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</si>
  <si>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</si>
  <si>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</si>
  <si>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</si>
  <si>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</si>
  <si>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</si>
  <si>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</si>
  <si>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</si>
  <si>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</si>
  <si>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</si>
  <si>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</si>
  <si>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</si>
  <si>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</si>
  <si>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</si>
  <si>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</si>
  <si>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</si>
  <si>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</si>
  <si>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</si>
  <si>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</si>
  <si>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</si>
  <si>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</si>
  <si>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</si>
  <si>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</si>
  <si>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</si>
  <si>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</si>
  <si>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</si>
  <si>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</si>
  <si>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</si>
  <si>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</si>
  <si>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</si>
  <si>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</si>
  <si>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</si>
  <si>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</si>
  <si>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</si>
  <si>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</si>
  <si>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</si>
  <si>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</si>
  <si>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</si>
  <si>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</si>
  <si>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</si>
  <si>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</si>
  <si>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</si>
  <si>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</si>
  <si>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</si>
  <si>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</si>
  <si>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</si>
  <si>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</si>
  <si>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</si>
  <si>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</si>
  <si>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</si>
  <si>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</si>
  <si>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</si>
  <si>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</si>
  <si>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</si>
  <si>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</si>
  <si>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</si>
  <si>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</si>
  <si>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</si>
  <si>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</si>
  <si>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</si>
  <si>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</si>
  <si>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</si>
  <si>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</si>
  <si>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</si>
  <si>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</si>
  <si>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</si>
  <si>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</si>
  <si>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</si>
  <si>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</si>
  <si>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</si>
  <si>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</si>
  <si>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</si>
  <si>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</si>
  <si>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</si>
  <si>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</si>
  <si>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</si>
  <si>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</si>
  <si>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</si>
  <si>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</si>
  <si>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</si>
  <si>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</si>
  <si>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</si>
  <si>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</si>
  <si>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</si>
  <si>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</si>
  <si>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</si>
  <si>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</si>
  <si>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</si>
  <si>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</si>
  <si>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</si>
  <si>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</si>
  <si>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</si>
  <si>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</si>
  <si>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</si>
  <si>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</si>
  <si>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</si>
  <si>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</si>
  <si>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</si>
  <si>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</si>
  <si>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</si>
  <si>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</si>
  <si>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</si>
  <si>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</si>
  <si>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</si>
  <si>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</si>
  <si>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</si>
  <si>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</si>
  <si>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</si>
  <si>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</si>
  <si>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</si>
  <si>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</si>
  <si>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</si>
  <si>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</si>
  <si>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</si>
  <si>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Ironwood Pharmaceuticals,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</si>
  <si>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</si>
  <si>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</si>
  <si>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</si>
  <si>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</si>
  <si>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</si>
  <si>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</si>
  <si>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</si>
  <si>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</si>
  <si>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</si>
  <si>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</si>
  <si>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</si>
  <si>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</si>
  <si>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</si>
  <si>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</si>
  <si>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</si>
  <si>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</si>
  <si>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</si>
  <si>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</si>
  <si>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</si>
  <si>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</si>
  <si>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</si>
  <si>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</si>
  <si>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</si>
  <si>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</si>
  <si>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</si>
  <si>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</si>
  <si>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</si>
  <si>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</si>
  <si>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</si>
  <si>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</si>
  <si>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</si>
  <si>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</si>
  <si>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</si>
  <si>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</si>
  <si>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</si>
  <si>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</si>
  <si>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</si>
  <si>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</si>
  <si>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</si>
  <si>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</si>
  <si>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</si>
  <si>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</si>
  <si>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</si>
  <si>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</si>
  <si>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</si>
  <si>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</si>
  <si>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</si>
  <si>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</si>
  <si>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</si>
  <si>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</si>
  <si>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</si>
  <si>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</si>
  <si>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</si>
  <si>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</si>
  <si>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</si>
  <si>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</si>
  <si>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</si>
  <si>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</si>
  <si>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</si>
  <si>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</si>
  <si>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</si>
  <si>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</si>
  <si>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</si>
  <si>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</si>
  <si>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</si>
  <si>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</si>
  <si>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</si>
  <si>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Ironwood Pharmaceuticals,</t>
  </si>
  <si>
    <t>Inc..</t>
  </si>
  <si>
    <t>In the next 3 months, Morgan Stanley expects to receive or intends to seek compensation for investment</t>
  </si>
  <si>
    <t>banking services from Ironwood Pharmaceuticals,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</si>
  <si>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</si>
  <si>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</si>
  <si>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</si>
  <si>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</si>
  <si>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</si>
  <si>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David N Lebowitz, MPH,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</si>
  <si>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</si>
  <si>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</si>
  <si>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</si>
  <si>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</si>
  <si>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</si>
  <si>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</si>
  <si>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</si>
  <si>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</si>
  <si>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</si>
  <si>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</si>
  <si>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</si>
  <si>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</si>
  <si>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</si>
  <si>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</si>
  <si>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</si>
  <si>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</si>
  <si>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</si>
  <si>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</si>
  <si>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</si>
  <si>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</si>
  <si>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</si>
  <si>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</si>
  <si>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</si>
  <si>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</si>
  <si>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</si>
  <si>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</si>
  <si>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</si>
  <si>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</si>
  <si>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</si>
  <si>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</si>
  <si>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</si>
  <si>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</si>
  <si>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</si>
  <si>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</si>
  <si>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</si>
  <si>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</si>
  <si>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</si>
  <si>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</si>
  <si>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</si>
  <si>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</si>
  <si>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</si>
  <si>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</si>
  <si>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</si>
  <si>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</si>
  <si>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</si>
  <si>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</si>
  <si>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</si>
  <si>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</si>
  <si>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</si>
  <si>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</si>
  <si>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</si>
  <si>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</si>
  <si>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</si>
  <si>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</si>
  <si>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</si>
  <si>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</si>
  <si>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</si>
  <si>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</si>
  <si>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</si>
  <si>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</si>
  <si>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</si>
  <si>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</si>
  <si>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</si>
  <si>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</si>
  <si>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</si>
  <si>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</si>
  <si>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</si>
  <si>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</si>
  <si>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</si>
  <si>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</si>
  <si>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lebowdav</t>
  </si>
  <si>
    <t>MSA23MLF, MSA72HLP</t>
  </si>
  <si>
    <t>46333X108</t>
  </si>
  <si>
    <t>L:\HEALTH\Biotech\Lebowitz\Models\IRWD_DL.xlsm</t>
  </si>
  <si>
    <t>[BRO MSA]</t>
  </si>
  <si>
    <t>[PRODUCT MODEL]</t>
  </si>
  <si>
    <t>[EMAIL_ALERT YES]</t>
  </si>
  <si>
    <t>[DISCIPLINE Company]</t>
  </si>
  <si>
    <t>[SUPPRESSED NO]</t>
  </si>
  <si>
    <t>[DOCDAT 2018-04-13]</t>
  </si>
  <si>
    <t>[DOCTIME 12:11]</t>
  </si>
  <si>
    <t>[PSYM IRWD.O(S&amp;P) (None)]</t>
  </si>
  <si>
    <t>[COU 1]</t>
  </si>
  <si>
    <t>[ANA MSA72HLP]</t>
  </si>
  <si>
    <t>[HL IRWD.O Model]</t>
  </si>
  <si>
    <t>[IND BIOTEC]</t>
  </si>
  <si>
    <t>[PANA MSA23MLF]</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</si>
</sst>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5" formatCode="&quot;$&quot;#,##0"/>
    <numFmt numFmtId="167" formatCode="&quot;$&quot;#,##0.00"/>
    <numFmt numFmtId="168" formatCode="&quot;$&quot;#,##0.0"/>
    <numFmt numFmtId="169" formatCode="0.0"/>
    <numFmt numFmtId="170" formatCode="0.0000"/>
    <numFmt numFmtId="171" formatCode="0.0%"/>
    <numFmt numFmtId="172" formatCode="&quot;$&quot;#,##0.000_);\(&quot;$&quot;#,##0.000\)"/>
    <numFmt numFmtId="173" formatCode="&quot;$&quot;#,##0.0_);\(&quot;$&quot;#,##0.0\)"/>
    <numFmt numFmtId="174" formatCode="0.000"/>
    <numFmt numFmtId="175" formatCode="#,##0.000_);\(#,##0.000\)"/>
    <numFmt numFmtId="176" formatCode="&quot;$&quot;#,##0.000000"/>
    <numFmt numFmtId="177" formatCode="_(* #,##0.0_);_(* \(#,##0.0\);_(* &quot;-&quot;??_);_(@_)"/>
    <numFmt numFmtId="178" formatCode="#,##0.0000_);[Red]\(#,##0.0000\)"/>
    <numFmt numFmtId="179" formatCode="#,##0.000_);[Red]\(#,##0.000\)"/>
    <numFmt numFmtId="180" formatCode="_(* #,##0_);_(* \(#,##0\);_(* &quot;-&quot;??_);_(@_)"/>
    <numFmt numFmtId="181" formatCode="&quot;$&quot;#,##0.000_);[Red]\(&quot;$&quot;#,##0.000\)"/>
    <numFmt numFmtId="182" formatCode="#,##0.0000"/>
    <numFmt numFmtId="183" formatCode="#,##0.000"/>
    <numFmt numFmtId="184" formatCode="_(* #,##0.000_);_(* \(#,##0.000\);_(* &quot;-&quot;???_);_(@_)"/>
    <numFmt numFmtId="185" formatCode="#,##0.0000_);\(#,##0.0000\)"/>
    <numFmt numFmtId="186" formatCode="#,##0.0"/>
    <numFmt numFmtId="187" formatCode="#,##0.0_);\(#,##0.0\)"/>
    <numFmt numFmtId="190" formatCode="0.00_);\(0.00\)"/>
    <numFmt numFmtId="194" formatCode="#,##0.0_);[Red]\(#,##0.0\)"/>
    <numFmt numFmtId="195" formatCode="&quot;$&quot;#,##0.000"/>
    <numFmt numFmtId="196" formatCode="0.0_);\(0.0\)"/>
    <numFmt numFmtId="197" formatCode="####&quot;E&quot;"/>
    <numFmt numFmtId="198" formatCode="0_);\(0\)"/>
    <numFmt numFmtId="199" formatCode="_(* #,##0.0000_);_(* \(#,##0.0000\);_(* &quot;-&quot;????_);_(@_)"/>
    <numFmt numFmtId="200" formatCode="0.000%"/>
    <numFmt numFmtId="201" formatCode="_(* #,##0.00000_);_(* \(#,##0.00000\);_(* &quot;-&quot;??_);_(@_)"/>
    <numFmt numFmtId="207" formatCode="mm/dd/yy\ hh:mm"/>
  </numFmts>
  <fonts count="94">
    <font>
      <sz val="10"/>
      <name val="Arial"/>
    </font>
    <font>
      <sz val="11"/>
      <color theme="1"/>
      <name val="Calibri"/>
      <family val="2"/>
      <scheme val="minor"/>
    </font>
    <font>
      <sz val="10"/>
      <name val="Arial"/>
      <family val="2"/>
    </font>
    <font>
      <sz val="8"/>
      <name val="Arial"/>
      <family val="2"/>
    </font>
    <font>
      <b/>
      <sz val="10"/>
      <name val="Arial"/>
      <family val="2"/>
    </font>
    <font>
      <sz val="10"/>
      <name val="Arial"/>
      <family val="2"/>
    </font>
    <font>
      <b/>
      <sz val="12"/>
      <name val="Arial"/>
      <family val="2"/>
    </font>
    <font>
      <b/>
      <sz val="8"/>
      <color indexed="81"/>
      <name val="Tahoma"/>
      <family val="2"/>
    </font>
    <font>
      <sz val="8"/>
      <color indexed="81"/>
      <name val="Tahoma"/>
      <family val="2"/>
    </font>
    <font>
      <i/>
      <sz val="10"/>
      <name val="Arial"/>
      <family val="2"/>
    </font>
    <font>
      <sz val="10"/>
      <color indexed="12"/>
      <name val="Arial"/>
      <family val="2"/>
    </font>
    <font>
      <b/>
      <sz val="13"/>
      <name val="Arial"/>
      <family val="2"/>
    </font>
    <font>
      <i/>
      <sz val="10"/>
      <color indexed="12"/>
      <name val="Arial"/>
      <family val="2"/>
    </font>
    <font>
      <sz val="10"/>
      <color indexed="8"/>
      <name val="Arial"/>
      <family val="2"/>
    </font>
    <font>
      <sz val="10"/>
      <color indexed="10"/>
      <name val="Arial"/>
      <family val="2"/>
    </font>
    <font>
      <i/>
      <sz val="9"/>
      <name val="Arial"/>
      <family val="2"/>
    </font>
    <font>
      <sz val="10"/>
      <color indexed="10"/>
      <name val="Arial"/>
      <family val="2"/>
    </font>
    <font>
      <b/>
      <sz val="9"/>
      <name val="Times New Roman"/>
      <family val="1"/>
    </font>
    <font>
      <b/>
      <sz val="10"/>
      <name val="Times New Roman"/>
      <family val="1"/>
    </font>
    <font>
      <sz val="9"/>
      <name val="Times New Roman"/>
      <family val="1"/>
    </font>
    <font>
      <sz val="10"/>
      <color indexed="8"/>
      <name val="Arial"/>
      <family val="2"/>
    </font>
    <font>
      <sz val="10"/>
      <name val="Arial"/>
      <family val="2"/>
    </font>
    <font>
      <sz val="8"/>
      <color indexed="10"/>
      <name val="Arial"/>
      <family val="2"/>
    </font>
    <font>
      <b/>
      <sz val="10"/>
      <name val="Arial"/>
      <family val="2"/>
    </font>
    <font>
      <sz val="10"/>
      <name val="Arial"/>
      <family val="2"/>
    </font>
    <font>
      <sz val="10"/>
      <color indexed="12"/>
      <name val="Arial"/>
      <family val="2"/>
    </font>
    <font>
      <b/>
      <i/>
      <sz val="10"/>
      <name val="Arial"/>
      <family val="2"/>
    </font>
    <font>
      <i/>
      <sz val="10"/>
      <color indexed="10"/>
      <name val="Arial"/>
      <family val="2"/>
    </font>
    <font>
      <sz val="12"/>
      <name val="Arial"/>
      <family val="2"/>
    </font>
    <font>
      <b/>
      <sz val="10"/>
      <color indexed="12"/>
      <name val="Arial"/>
      <family val="2"/>
    </font>
    <font>
      <sz val="11"/>
      <name val="Arial"/>
      <family val="2"/>
    </font>
    <font>
      <sz val="10"/>
      <name val="MS Sans Serif"/>
      <family val="2"/>
    </font>
    <font>
      <b/>
      <sz val="10"/>
      <color indexed="8"/>
      <name val="Times New Roman"/>
      <family val="1"/>
    </font>
    <font>
      <sz val="10"/>
      <color indexed="8"/>
      <name val="Times New Roman"/>
      <family val="1"/>
    </font>
    <font>
      <i/>
      <sz val="8"/>
      <name val="Times New Roman"/>
      <family val="1"/>
    </font>
    <font>
      <i/>
      <sz val="10"/>
      <name val="Arial"/>
      <family val="2"/>
    </font>
    <font>
      <sz val="10"/>
      <name val="Arial"/>
      <family val="2"/>
    </font>
    <font>
      <i/>
      <sz val="8"/>
      <name val="Arial"/>
      <family val="2"/>
    </font>
    <font>
      <sz val="10"/>
      <color indexed="22"/>
      <name val="Arial"/>
      <family val="2"/>
    </font>
    <font>
      <sz val="10"/>
      <color indexed="18"/>
      <name val="Arial"/>
      <family val="2"/>
    </font>
    <font>
      <u/>
      <sz val="10"/>
      <name val="Arial"/>
      <family val="2"/>
    </font>
    <font>
      <b/>
      <sz val="10"/>
      <color indexed="22"/>
      <name val="Arial"/>
      <family val="2"/>
    </font>
    <font>
      <sz val="10"/>
      <color indexed="22"/>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23"/>
      <name val="Arial"/>
      <family val="2"/>
    </font>
    <font>
      <sz val="9"/>
      <name val="Arial"/>
      <family val="2"/>
    </font>
    <font>
      <sz val="9"/>
      <color indexed="23"/>
      <name val="Arial"/>
      <family val="2"/>
    </font>
    <font>
      <sz val="10"/>
      <color indexed="48"/>
      <name val="Arial"/>
      <family val="2"/>
    </font>
    <font>
      <sz val="10"/>
      <color indexed="55"/>
      <name val="Arial"/>
      <family val="2"/>
    </font>
    <font>
      <sz val="10"/>
      <color indexed="22"/>
      <name val="Arial"/>
      <family val="2"/>
    </font>
    <font>
      <sz val="10"/>
      <color indexed="12"/>
      <name val="Arial"/>
      <family val="2"/>
    </font>
    <font>
      <b/>
      <sz val="10"/>
      <color indexed="55"/>
      <name val="Arial"/>
      <family val="2"/>
    </font>
    <font>
      <sz val="10"/>
      <color indexed="22"/>
      <name val="Arial"/>
      <family val="2"/>
    </font>
    <font>
      <b/>
      <sz val="10"/>
      <color indexed="8"/>
      <name val="Arial"/>
      <family val="2"/>
    </font>
    <font>
      <sz val="9"/>
      <color indexed="81"/>
      <name val="Tahoma"/>
      <family val="2"/>
    </font>
    <font>
      <b/>
      <sz val="9"/>
      <color indexed="81"/>
      <name val="Tahoma"/>
      <family val="2"/>
    </font>
    <font>
      <sz val="12"/>
      <name val="바탕체"/>
      <family val="3"/>
      <charset val="129"/>
    </font>
    <font>
      <sz val="12"/>
      <name val="바탕체"/>
      <family val="3"/>
    </font>
    <font>
      <sz val="10"/>
      <name val="Helv"/>
    </font>
    <font>
      <sz val="11"/>
      <color theme="1"/>
      <name val="Calibri"/>
      <family val="2"/>
      <scheme val="minor"/>
    </font>
    <font>
      <sz val="12"/>
      <color theme="1"/>
      <name val="Calibri"/>
      <family val="2"/>
      <scheme val="minor"/>
    </font>
    <font>
      <sz val="10"/>
      <color rgb="FF0000FF"/>
      <name val="Arial"/>
      <family val="2"/>
    </font>
    <font>
      <sz val="10"/>
      <color rgb="FFFF0000"/>
      <name val="Arial"/>
      <family val="2"/>
    </font>
    <font>
      <sz val="10"/>
      <color theme="6" tint="-0.499984740745262"/>
      <name val="Arial"/>
      <family val="2"/>
    </font>
    <font>
      <i/>
      <sz val="10"/>
      <color rgb="FFFF0000"/>
      <name val="Arial"/>
      <family val="2"/>
    </font>
    <font>
      <b/>
      <sz val="10"/>
      <color theme="0"/>
      <name val="Arial"/>
      <family val="2"/>
    </font>
    <font>
      <b/>
      <sz val="10"/>
      <color rgb="FF0000FF"/>
      <name val="Arial"/>
      <family val="2"/>
    </font>
    <font>
      <i/>
      <sz val="10"/>
      <color rgb="FF0000FF"/>
      <name val="Arial"/>
      <family val="2"/>
    </font>
    <font>
      <b/>
      <i/>
      <sz val="10"/>
      <color theme="6" tint="-0.499984740745262"/>
      <name val="Arial"/>
      <family val="2"/>
    </font>
    <font>
      <sz val="10"/>
      <color theme="0" tint="-0.249977111117893"/>
      <name val="Arial"/>
      <family val="2"/>
    </font>
    <font>
      <b/>
      <sz val="10"/>
      <color theme="6" tint="-0.499984740745262"/>
      <name val="Arial"/>
      <family val="2"/>
    </font>
    <font>
      <sz val="10"/>
      <color rgb="FF0070C0"/>
      <name val="Arial"/>
      <family val="2"/>
    </font>
    <font>
      <sz val="10"/>
      <color theme="1"/>
      <name val="Arial"/>
      <family val="2"/>
    </font>
    <font>
      <u/>
      <sz val="10"/>
      <color theme="10"/>
      <name val="Arial"/>
      <family val="2"/>
    </font>
    <font>
      <sz val="10"/>
      <name val="Courier"/>
      <family val="3"/>
    </font>
    <font>
      <sz val="10"/>
      <color rgb="FF000000"/>
      <name val="Arial"/>
      <family val="2"/>
    </font>
    <font>
      <b/>
      <sz val="12"/>
      <color rgb="FF000080"/>
      <name val="Arial"/>
      <family val="2"/>
    </font>
  </fonts>
  <fills count="3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44"/>
        <bgColor indexed="64"/>
      </patternFill>
    </fill>
    <fill>
      <patternFill patternType="solid">
        <fgColor indexed="47"/>
        <bgColor indexed="64"/>
      </patternFill>
    </fill>
    <fill>
      <patternFill patternType="solid">
        <fgColor indexed="65"/>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4" tint="-0.249977111117893"/>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theme="0"/>
        <bgColor indexed="64"/>
      </patternFill>
    </fill>
    <fill>
      <patternFill patternType="solid">
        <fgColor rgb="FF006393"/>
        <bgColor indexed="64"/>
      </patternFill>
    </fill>
    <fill>
      <patternFill patternType="solid">
        <fgColor rgb="FFFF00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n">
        <color indexed="64"/>
      </bottom>
      <diagonal/>
    </border>
    <border>
      <left/>
      <right/>
      <top style="thin">
        <color indexed="64"/>
      </top>
      <bottom style="thin">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64"/>
      </top>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double">
        <color indexed="64"/>
      </bottom>
      <diagonal/>
    </border>
    <border>
      <left/>
      <right/>
      <top style="medium">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3">
    <xf numFmtId="0" fontId="0" fillId="0" borderId="0"/>
    <xf numFmtId="0" fontId="5" fillId="0" borderId="0"/>
    <xf numFmtId="0" fontId="5" fillId="0" borderId="0"/>
    <xf numFmtId="0" fontId="5" fillId="0" borderId="0"/>
    <xf numFmtId="0" fontId="5" fillId="0" borderId="0">
      <alignment vertical="top"/>
    </xf>
    <xf numFmtId="0" fontId="5" fillId="0" borderId="0">
      <alignment vertical="top"/>
    </xf>
    <xf numFmtId="0" fontId="2" fillId="0" borderId="0"/>
    <xf numFmtId="0" fontId="5" fillId="0" borderId="0" applyNumberFormat="0" applyFill="0" applyBorder="0" applyAlignment="0" applyProtection="0"/>
    <xf numFmtId="0" fontId="75" fillId="0" borderId="0"/>
    <xf numFmtId="0" fontId="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4" fillId="2"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2" borderId="0" applyNumberFormat="0" applyBorder="0" applyAlignment="0" applyProtection="0"/>
    <xf numFmtId="0" fontId="44" fillId="5"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7" borderId="0" applyNumberFormat="0" applyBorder="0" applyAlignment="0" applyProtection="0"/>
    <xf numFmtId="0" fontId="44"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6" borderId="0" applyNumberFormat="0" applyBorder="0" applyAlignment="0" applyProtection="0"/>
    <xf numFmtId="0" fontId="45" fillId="8" borderId="0" applyNumberFormat="0" applyBorder="0" applyAlignment="0" applyProtection="0"/>
    <xf numFmtId="0" fontId="45"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10"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5" fillId="0" borderId="0" applyFont="0" applyFill="0" applyBorder="0" applyAlignment="0" applyProtection="0"/>
    <xf numFmtId="0" fontId="5" fillId="0" borderId="0" applyFont="0" applyFill="0" applyBorder="0" applyAlignment="0" applyProtection="0"/>
    <xf numFmtId="0" fontId="5" fillId="0" borderId="0"/>
    <xf numFmtId="0" fontId="5" fillId="0" borderId="0" applyFont="0" applyFill="0" applyBorder="0" applyAlignment="0" applyProtection="0"/>
    <xf numFmtId="0" fontId="5" fillId="0" borderId="0" applyFont="0" applyFill="0" applyBorder="0" applyAlignment="0" applyProtection="0"/>
    <xf numFmtId="0" fontId="46" fillId="11" borderId="0" applyNumberFormat="0" applyBorder="0" applyAlignment="0" applyProtection="0"/>
    <xf numFmtId="0" fontId="32" fillId="0" borderId="0"/>
    <xf numFmtId="0" fontId="5" fillId="0" borderId="0"/>
    <xf numFmtId="0" fontId="5" fillId="0" borderId="0"/>
    <xf numFmtId="0" fontId="47" fillId="12" borderId="1" applyNumberFormat="0" applyAlignment="0" applyProtection="0"/>
    <xf numFmtId="0" fontId="48" fillId="13" borderId="2" applyNumberFormat="0" applyAlignment="0" applyProtection="0"/>
    <xf numFmtId="43" fontId="2" fillId="0" borderId="0" applyFont="0" applyFill="0" applyBorder="0" applyAlignment="0" applyProtection="0"/>
    <xf numFmtId="0" fontId="49" fillId="0" borderId="0" applyNumberFormat="0" applyFill="0" applyBorder="0" applyAlignment="0" applyProtection="0"/>
    <xf numFmtId="0" fontId="50" fillId="14" borderId="0" applyNumberFormat="0" applyBorder="0" applyAlignment="0" applyProtection="0"/>
    <xf numFmtId="0" fontId="51" fillId="0" borderId="5" applyNumberFormat="0" applyFill="0" applyAlignment="0" applyProtection="0"/>
    <xf numFmtId="0" fontId="52" fillId="0" borderId="6" applyNumberFormat="0" applyFill="0" applyAlignment="0" applyProtection="0"/>
    <xf numFmtId="0" fontId="53" fillId="0" borderId="7" applyNumberFormat="0" applyFill="0" applyAlignment="0" applyProtection="0"/>
    <xf numFmtId="0" fontId="53" fillId="0" borderId="0" applyNumberFormat="0" applyFill="0" applyBorder="0" applyAlignment="0" applyProtection="0"/>
    <xf numFmtId="0" fontId="54" fillId="4" borderId="1" applyNumberFormat="0" applyAlignment="0" applyProtection="0"/>
    <xf numFmtId="44" fontId="2" fillId="0" borderId="0" applyFont="0" applyFill="0" applyBorder="0" applyAlignment="0" applyProtection="0"/>
    <xf numFmtId="0" fontId="55" fillId="0" borderId="8" applyNumberFormat="0" applyFill="0" applyAlignment="0" applyProtection="0"/>
    <xf numFmtId="0" fontId="56" fillId="4" borderId="0" applyNumberFormat="0" applyBorder="0" applyAlignment="0" applyProtection="0"/>
    <xf numFmtId="0" fontId="5" fillId="0" borderId="0"/>
    <xf numFmtId="0" fontId="5" fillId="0" borderId="0"/>
    <xf numFmtId="0" fontId="77" fillId="0" borderId="0"/>
    <xf numFmtId="0" fontId="77" fillId="0" borderId="0"/>
    <xf numFmtId="0" fontId="76" fillId="0" borderId="0"/>
    <xf numFmtId="0" fontId="76" fillId="0" borderId="0"/>
    <xf numFmtId="0" fontId="77" fillId="0" borderId="0"/>
    <xf numFmtId="0" fontId="2" fillId="0" borderId="0"/>
    <xf numFmtId="0" fontId="5" fillId="0" borderId="0"/>
    <xf numFmtId="0" fontId="2" fillId="0" borderId="0"/>
    <xf numFmtId="0" fontId="5" fillId="0" borderId="0"/>
    <xf numFmtId="0" fontId="2" fillId="4" borderId="9" applyNumberFormat="0" applyFont="0" applyAlignment="0" applyProtection="0"/>
    <xf numFmtId="0" fontId="57" fillId="12" borderId="10" applyNumberFormat="0" applyAlignment="0" applyProtection="0"/>
    <xf numFmtId="0" fontId="19" fillId="0" borderId="0">
      <alignment vertical="center"/>
    </xf>
    <xf numFmtId="9" fontId="2" fillId="0" borderId="0" applyFont="0" applyFill="0" applyBorder="0" applyAlignment="0" applyProtection="0"/>
    <xf numFmtId="9" fontId="5" fillId="0" borderId="0" applyFont="0" applyFill="0" applyBorder="0" applyAlignment="0" applyProtection="0"/>
    <xf numFmtId="9" fontId="44"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0" fontId="2" fillId="0" borderId="0" applyFont="0" applyFill="0" applyBorder="0" applyAlignment="0" applyProtection="0"/>
    <xf numFmtId="0" fontId="33" fillId="0" borderId="0"/>
    <xf numFmtId="0" fontId="33" fillId="0" borderId="11">
      <alignment horizontal="centerContinuous"/>
    </xf>
    <xf numFmtId="0" fontId="34" fillId="0" borderId="11"/>
    <xf numFmtId="0" fontId="58" fillId="0" borderId="0" applyNumberFormat="0" applyFill="0" applyBorder="0" applyAlignment="0" applyProtection="0"/>
    <xf numFmtId="0" fontId="59" fillId="0" borderId="13" applyNumberFormat="0" applyFill="0" applyAlignment="0" applyProtection="0"/>
    <xf numFmtId="0" fontId="60" fillId="0" borderId="0" applyNumberFormat="0" applyFill="0" applyBorder="0" applyAlignment="0" applyProtection="0"/>
    <xf numFmtId="0" fontId="5" fillId="0" borderId="0" applyFont="0" applyFill="0" applyBorder="0" applyAlignment="0" applyProtection="0"/>
    <xf numFmtId="0" fontId="73" fillId="0" borderId="0" applyFont="0" applyFill="0" applyBorder="0" applyAlignment="0" applyProtection="0"/>
    <xf numFmtId="0" fontId="74" fillId="0" borderId="0"/>
    <xf numFmtId="0" fontId="2" fillId="0" borderId="0"/>
    <xf numFmtId="0" fontId="2" fillId="0" borderId="0"/>
    <xf numFmtId="0" fontId="2" fillId="0" borderId="0"/>
    <xf numFmtId="0" fontId="2" fillId="0" borderId="0">
      <alignment vertical="top"/>
    </xf>
    <xf numFmtId="0" fontId="2" fillId="0" borderId="0">
      <alignment vertical="top"/>
    </xf>
    <xf numFmtId="0" fontId="2" fillId="15" borderId="0" applyNumberFormat="0" applyFont="0" applyBorder="0" applyAlignment="0" applyProtection="0"/>
    <xf numFmtId="0" fontId="90" fillId="0" borderId="0" applyNumberFormat="0" applyFill="0" applyBorder="0" applyAlignment="0" applyProtection="0">
      <alignment vertical="top"/>
      <protection locked="0"/>
    </xf>
    <xf numFmtId="0" fontId="1" fillId="0" borderId="0"/>
    <xf numFmtId="0" fontId="1" fillId="0" borderId="0"/>
    <xf numFmtId="0" fontId="2" fillId="0" borderId="0"/>
    <xf numFmtId="0" fontId="91" fillId="0" borderId="0"/>
  </cellStyleXfs>
  <cellXfs count="1111">
    <xf numFmtId="0" fontId="0" fillId="0" borderId="0" xfId="0"/>
    <xf numFmtId="0" fontId="2" fillId="0" borderId="0" xfId="6"/>
    <xf numFmtId="0" fontId="0" fillId="0" borderId="0" xfId="0" applyFill="1"/>
    <xf numFmtId="0" fontId="6" fillId="0" borderId="0" xfId="43" applyFont="1" applyFill="1" applyBorder="1" applyAlignment="1">
      <alignment horizontal="left"/>
    </xf>
    <xf numFmtId="0" fontId="5" fillId="0" borderId="0" xfId="0" applyFont="1"/>
    <xf numFmtId="0" fontId="0" fillId="16" borderId="0" xfId="0" applyFill="1"/>
    <xf numFmtId="0" fontId="0" fillId="0" borderId="0" xfId="0" applyBorder="1"/>
    <xf numFmtId="0" fontId="0" fillId="0" borderId="0" xfId="0" applyAlignment="1">
      <alignment horizontal="center"/>
    </xf>
    <xf numFmtId="0" fontId="0" fillId="0" borderId="0" xfId="0" applyFill="1" applyBorder="1"/>
    <xf numFmtId="0" fontId="9" fillId="0" borderId="0" xfId="0" applyFont="1" applyFill="1" applyBorder="1"/>
    <xf numFmtId="0" fontId="9" fillId="0" borderId="0" xfId="0" applyFont="1" applyFill="1"/>
    <xf numFmtId="0" fontId="9" fillId="0" borderId="0" xfId="0" applyFont="1"/>
    <xf numFmtId="0" fontId="2" fillId="0" borderId="0" xfId="0" applyFont="1" applyFill="1" applyBorder="1"/>
    <xf numFmtId="0" fontId="2" fillId="0" borderId="12" xfId="0" applyFont="1" applyFill="1" applyBorder="1"/>
    <xf numFmtId="0" fontId="2" fillId="0" borderId="0" xfId="0" applyFont="1" applyFill="1"/>
    <xf numFmtId="0" fontId="4" fillId="0" borderId="0" xfId="0" applyFont="1" applyFill="1" applyBorder="1"/>
    <xf numFmtId="0" fontId="2" fillId="0" borderId="0" xfId="0" applyFont="1" applyFill="1" applyAlignment="1">
      <alignment horizontal="center"/>
    </xf>
    <xf numFmtId="0" fontId="4" fillId="0" borderId="0" xfId="0" applyFont="1"/>
    <xf numFmtId="0" fontId="2" fillId="0" borderId="0" xfId="0" applyFont="1"/>
    <xf numFmtId="171" fontId="9" fillId="0" borderId="0" xfId="0" applyNumberFormat="1" applyFont="1" applyFill="1" applyAlignment="1">
      <alignment horizontal="center"/>
    </xf>
    <xf numFmtId="0" fontId="5" fillId="0" borderId="0" xfId="0" applyFont="1" applyFill="1" applyBorder="1"/>
    <xf numFmtId="0" fontId="2" fillId="0" borderId="3" xfId="0" applyFont="1" applyBorder="1"/>
    <xf numFmtId="7" fontId="0" fillId="0" borderId="0" xfId="0" applyNumberFormat="1" applyAlignment="1">
      <alignment horizontal="center"/>
    </xf>
    <xf numFmtId="7" fontId="0" fillId="0" borderId="0" xfId="0" applyNumberFormat="1" applyBorder="1" applyAlignment="1">
      <alignment horizontal="center"/>
    </xf>
    <xf numFmtId="171" fontId="9" fillId="0" borderId="0" xfId="0" applyNumberFormat="1" applyFont="1" applyBorder="1" applyAlignment="1">
      <alignment horizontal="center"/>
    </xf>
    <xf numFmtId="0" fontId="4" fillId="0" borderId="0" xfId="0" applyFont="1" applyFill="1"/>
    <xf numFmtId="0" fontId="0" fillId="0" borderId="12" xfId="0" applyBorder="1"/>
    <xf numFmtId="0" fontId="4" fillId="0" borderId="0" xfId="0" applyFont="1" applyBorder="1"/>
    <xf numFmtId="0" fontId="5" fillId="0" borderId="0" xfId="0" applyFont="1" applyBorder="1"/>
    <xf numFmtId="0" fontId="0" fillId="0" borderId="0" xfId="0" applyBorder="1" applyAlignment="1">
      <alignment horizontal="center"/>
    </xf>
    <xf numFmtId="0" fontId="0" fillId="0" borderId="3" xfId="0" applyBorder="1"/>
    <xf numFmtId="0" fontId="10" fillId="0" borderId="0" xfId="0" applyFont="1" applyFill="1" applyBorder="1" applyAlignment="1">
      <alignment horizontal="center"/>
    </xf>
    <xf numFmtId="0" fontId="2" fillId="0" borderId="0" xfId="0" applyFont="1" applyBorder="1"/>
    <xf numFmtId="165" fontId="0" fillId="0" borderId="0" xfId="0" applyNumberFormat="1" applyAlignment="1">
      <alignment horizontal="center"/>
    </xf>
    <xf numFmtId="10" fontId="0" fillId="0" borderId="0" xfId="0" applyNumberFormat="1" applyAlignment="1">
      <alignment horizontal="center"/>
    </xf>
    <xf numFmtId="0" fontId="13" fillId="0" borderId="0" xfId="0" applyFont="1" applyFill="1"/>
    <xf numFmtId="0" fontId="4" fillId="0" borderId="14" xfId="0" applyFont="1" applyBorder="1"/>
    <xf numFmtId="0" fontId="2" fillId="0" borderId="4" xfId="0" applyFont="1" applyBorder="1"/>
    <xf numFmtId="5" fontId="2" fillId="0" borderId="0" xfId="0" applyNumberFormat="1" applyFont="1" applyFill="1" applyAlignment="1">
      <alignment horizontal="center"/>
    </xf>
    <xf numFmtId="5" fontId="2" fillId="0" borderId="0" xfId="0" applyNumberFormat="1" applyFont="1" applyAlignment="1">
      <alignment horizontal="center"/>
    </xf>
    <xf numFmtId="0" fontId="14" fillId="0" borderId="0" xfId="0" applyFont="1" applyBorder="1"/>
    <xf numFmtId="165" fontId="14" fillId="0" borderId="0" xfId="0" applyNumberFormat="1" applyFont="1" applyBorder="1" applyAlignment="1">
      <alignment horizontal="center"/>
    </xf>
    <xf numFmtId="165" fontId="2" fillId="0" borderId="0" xfId="0" applyNumberFormat="1" applyFont="1" applyFill="1" applyBorder="1" applyAlignment="1">
      <alignment horizontal="center"/>
    </xf>
    <xf numFmtId="0" fontId="2" fillId="0" borderId="3" xfId="0" applyFont="1" applyFill="1" applyBorder="1"/>
    <xf numFmtId="0" fontId="2" fillId="0" borderId="0" xfId="0" applyFont="1" applyFill="1" applyBorder="1" applyAlignment="1">
      <alignment horizontal="center"/>
    </xf>
    <xf numFmtId="165" fontId="15" fillId="0" borderId="0" xfId="0" applyNumberFormat="1" applyFont="1" applyFill="1" applyBorder="1" applyAlignment="1">
      <alignment horizontal="center"/>
    </xf>
    <xf numFmtId="165" fontId="2" fillId="0" borderId="0" xfId="0" applyNumberFormat="1" applyFont="1" applyFill="1" applyBorder="1"/>
    <xf numFmtId="165" fontId="0" fillId="0" borderId="0" xfId="0" applyNumberFormat="1" applyBorder="1" applyAlignment="1">
      <alignment horizontal="center"/>
    </xf>
    <xf numFmtId="0" fontId="9" fillId="0" borderId="15" xfId="0" applyFont="1" applyBorder="1"/>
    <xf numFmtId="165" fontId="15" fillId="0" borderId="0" xfId="0" applyNumberFormat="1" applyFont="1" applyBorder="1" applyAlignment="1">
      <alignment horizontal="center"/>
    </xf>
    <xf numFmtId="0" fontId="0" fillId="0" borderId="12" xfId="0" applyBorder="1" applyAlignment="1">
      <alignment horizontal="center"/>
    </xf>
    <xf numFmtId="0" fontId="5" fillId="0" borderId="15" xfId="0" applyFont="1" applyBorder="1"/>
    <xf numFmtId="176" fontId="0" fillId="0" borderId="0" xfId="0" applyNumberFormat="1" applyAlignment="1">
      <alignment horizontal="center"/>
    </xf>
    <xf numFmtId="167" fontId="0" fillId="0" borderId="0" xfId="0" applyNumberFormat="1" applyAlignment="1">
      <alignment horizontal="center"/>
    </xf>
    <xf numFmtId="0" fontId="18" fillId="0" borderId="0" xfId="70" applyFont="1" applyFill="1" applyBorder="1"/>
    <xf numFmtId="178" fontId="19" fillId="16" borderId="0" xfId="70" applyNumberFormat="1" applyFont="1" applyFill="1" applyAlignment="1">
      <alignment horizontal="center"/>
    </xf>
    <xf numFmtId="1" fontId="17" fillId="16" borderId="0" xfId="70" applyNumberFormat="1" applyFont="1" applyFill="1" applyBorder="1" applyAlignment="1">
      <alignment horizontal="center"/>
    </xf>
    <xf numFmtId="169" fontId="19" fillId="16" borderId="0" xfId="52" applyNumberFormat="1" applyFont="1" applyFill="1" applyBorder="1" applyAlignment="1">
      <alignment horizontal="center"/>
    </xf>
    <xf numFmtId="169" fontId="19" fillId="0" borderId="0" xfId="52" applyNumberFormat="1" applyFont="1" applyFill="1" applyBorder="1" applyAlignment="1">
      <alignment horizontal="center"/>
    </xf>
    <xf numFmtId="1" fontId="17" fillId="0" borderId="0" xfId="72" applyNumberFormat="1" applyFont="1" applyFill="1" applyBorder="1" applyAlignment="1">
      <alignment horizontal="center"/>
    </xf>
    <xf numFmtId="0" fontId="19" fillId="0" borderId="0" xfId="72" applyFont="1" applyFill="1" applyBorder="1"/>
    <xf numFmtId="0" fontId="6" fillId="0" borderId="0" xfId="0" applyFont="1"/>
    <xf numFmtId="0" fontId="20" fillId="0" borderId="0" xfId="0" applyFont="1" applyFill="1"/>
    <xf numFmtId="0" fontId="21" fillId="0" borderId="0" xfId="0" applyFont="1"/>
    <xf numFmtId="0" fontId="21" fillId="0" borderId="15" xfId="0" applyFont="1" applyFill="1" applyBorder="1"/>
    <xf numFmtId="0" fontId="21" fillId="0" borderId="16" xfId="0" applyFont="1" applyFill="1" applyBorder="1"/>
    <xf numFmtId="0" fontId="21" fillId="0" borderId="0" xfId="0" applyFont="1" applyFill="1" applyBorder="1"/>
    <xf numFmtId="0" fontId="21" fillId="0" borderId="15" xfId="0" applyFont="1" applyBorder="1"/>
    <xf numFmtId="0" fontId="21" fillId="0" borderId="16" xfId="0" applyFont="1" applyBorder="1"/>
    <xf numFmtId="174" fontId="2" fillId="0" borderId="0" xfId="0" applyNumberFormat="1" applyFont="1"/>
    <xf numFmtId="174" fontId="2" fillId="0" borderId="0" xfId="0" applyNumberFormat="1" applyFont="1" applyFill="1"/>
    <xf numFmtId="0" fontId="22" fillId="0" borderId="0" xfId="0" applyFont="1" applyFill="1" applyBorder="1"/>
    <xf numFmtId="172" fontId="4" fillId="0" borderId="0" xfId="0" applyNumberFormat="1" applyFont="1" applyFill="1" applyAlignment="1">
      <alignment horizontal="center"/>
    </xf>
    <xf numFmtId="0" fontId="0" fillId="0" borderId="0" xfId="0" applyFill="1" applyAlignment="1">
      <alignment horizontal="center"/>
    </xf>
    <xf numFmtId="168" fontId="4" fillId="0" borderId="0" xfId="0" applyNumberFormat="1" applyFont="1" applyAlignment="1">
      <alignment horizontal="center"/>
    </xf>
    <xf numFmtId="0" fontId="24" fillId="0" borderId="0" xfId="0" applyFont="1"/>
    <xf numFmtId="4" fontId="2" fillId="0" borderId="0" xfId="0" applyNumberFormat="1" applyFont="1" applyFill="1" applyAlignment="1">
      <alignment horizontal="center"/>
    </xf>
    <xf numFmtId="39" fontId="2" fillId="0" borderId="0" xfId="0" applyNumberFormat="1" applyFont="1" applyAlignment="1">
      <alignment horizontal="center"/>
    </xf>
    <xf numFmtId="0" fontId="4" fillId="0" borderId="14" xfId="0" applyFont="1" applyFill="1" applyBorder="1"/>
    <xf numFmtId="9" fontId="0" fillId="0" borderId="0" xfId="0" applyNumberFormat="1" applyBorder="1"/>
    <xf numFmtId="39" fontId="0" fillId="0" borderId="0" xfId="0" applyNumberFormat="1" applyBorder="1"/>
    <xf numFmtId="39" fontId="0" fillId="0" borderId="0" xfId="0" applyNumberFormat="1"/>
    <xf numFmtId="7" fontId="2" fillId="0" borderId="0" xfId="0" applyNumberFormat="1" applyFont="1" applyFill="1" applyBorder="1"/>
    <xf numFmtId="7" fontId="2" fillId="0" borderId="3" xfId="0" applyNumberFormat="1" applyFont="1" applyFill="1" applyBorder="1"/>
    <xf numFmtId="0" fontId="2" fillId="0" borderId="17" xfId="0" applyFont="1" applyFill="1" applyBorder="1"/>
    <xf numFmtId="9" fontId="2" fillId="0" borderId="3" xfId="0" applyNumberFormat="1" applyFont="1" applyFill="1" applyBorder="1"/>
    <xf numFmtId="9" fontId="10" fillId="0" borderId="0" xfId="0" applyNumberFormat="1" applyFont="1" applyBorder="1"/>
    <xf numFmtId="4" fontId="0" fillId="0" borderId="0" xfId="0" applyNumberFormat="1" applyBorder="1"/>
    <xf numFmtId="0" fontId="4" fillId="0" borderId="17" xfId="0" applyFont="1" applyFill="1" applyBorder="1"/>
    <xf numFmtId="165" fontId="0" fillId="0" borderId="12" xfId="0" applyNumberFormat="1" applyFill="1" applyBorder="1" applyAlignment="1">
      <alignment horizontal="center"/>
    </xf>
    <xf numFmtId="167" fontId="0" fillId="0" borderId="12" xfId="0" applyNumberFormat="1" applyBorder="1" applyAlignment="1">
      <alignment horizontal="center"/>
    </xf>
    <xf numFmtId="0" fontId="4" fillId="0" borderId="17" xfId="0" applyFont="1" applyBorder="1"/>
    <xf numFmtId="186" fontId="2" fillId="0" borderId="0" xfId="0" applyNumberFormat="1" applyFont="1" applyFill="1" applyBorder="1" applyAlignment="1">
      <alignment horizontal="center"/>
    </xf>
    <xf numFmtId="0" fontId="5" fillId="0" borderId="3" xfId="0" applyFont="1" applyBorder="1"/>
    <xf numFmtId="0" fontId="5" fillId="0" borderId="0" xfId="0" applyFont="1" applyFill="1"/>
    <xf numFmtId="0" fontId="5" fillId="0" borderId="0" xfId="0" applyFont="1" applyFill="1" applyAlignment="1">
      <alignment horizontal="center"/>
    </xf>
    <xf numFmtId="4" fontId="2" fillId="0" borderId="0" xfId="0" applyNumberFormat="1" applyFont="1" applyFill="1" applyBorder="1" applyAlignment="1">
      <alignment horizontal="center"/>
    </xf>
    <xf numFmtId="39" fontId="2" fillId="0" borderId="0" xfId="0" applyNumberFormat="1" applyFont="1" applyFill="1" applyAlignment="1">
      <alignment horizontal="center"/>
    </xf>
    <xf numFmtId="2" fontId="2" fillId="0" borderId="0" xfId="0" applyNumberFormat="1" applyFont="1" applyFill="1" applyBorder="1" applyAlignment="1">
      <alignment horizontal="center"/>
    </xf>
    <xf numFmtId="10" fontId="12" fillId="0" borderId="0" xfId="0" applyNumberFormat="1" applyFont="1" applyBorder="1"/>
    <xf numFmtId="0" fontId="28" fillId="0" borderId="0" xfId="43" applyFont="1" applyFill="1" applyBorder="1"/>
    <xf numFmtId="9" fontId="28" fillId="0" borderId="0" xfId="43" applyNumberFormat="1" applyFont="1" applyFill="1" applyBorder="1"/>
    <xf numFmtId="5" fontId="5" fillId="0" borderId="0" xfId="0" applyNumberFormat="1" applyFont="1" applyBorder="1" applyAlignment="1">
      <alignment horizontal="center"/>
    </xf>
    <xf numFmtId="8" fontId="5" fillId="0" borderId="0" xfId="0" applyNumberFormat="1" applyFont="1"/>
    <xf numFmtId="7" fontId="5" fillId="0" borderId="0" xfId="0" applyNumberFormat="1" applyFont="1" applyFill="1" applyBorder="1" applyAlignment="1">
      <alignment horizontal="center"/>
    </xf>
    <xf numFmtId="0" fontId="0" fillId="0" borderId="0" xfId="0" quotePrefix="1"/>
    <xf numFmtId="0" fontId="5" fillId="0" borderId="0" xfId="0" applyFont="1" applyAlignment="1"/>
    <xf numFmtId="0" fontId="5" fillId="0" borderId="0" xfId="0" applyFont="1" applyFill="1" applyBorder="1" applyAlignment="1"/>
    <xf numFmtId="0" fontId="19" fillId="0" borderId="0" xfId="0" applyFont="1" applyFill="1" applyBorder="1"/>
    <xf numFmtId="0" fontId="24" fillId="15" borderId="17" xfId="0" applyFont="1" applyFill="1" applyBorder="1"/>
    <xf numFmtId="0" fontId="2" fillId="15" borderId="12" xfId="0" applyFont="1" applyFill="1" applyBorder="1"/>
    <xf numFmtId="39" fontId="10" fillId="15" borderId="12" xfId="0" applyNumberFormat="1" applyFont="1" applyFill="1" applyBorder="1" applyAlignment="1">
      <alignment horizontal="center"/>
    </xf>
    <xf numFmtId="39" fontId="2" fillId="15" borderId="12" xfId="0" applyNumberFormat="1" applyFont="1" applyFill="1" applyBorder="1" applyAlignment="1">
      <alignment horizontal="center"/>
    </xf>
    <xf numFmtId="0" fontId="24" fillId="15" borderId="15" xfId="0" applyFont="1" applyFill="1" applyBorder="1"/>
    <xf numFmtId="0" fontId="2" fillId="15" borderId="0" xfId="0" applyFont="1" applyFill="1" applyBorder="1"/>
    <xf numFmtId="39" fontId="10" fillId="15" borderId="0" xfId="0" applyNumberFormat="1" applyFont="1" applyFill="1" applyBorder="1" applyAlignment="1">
      <alignment horizontal="center"/>
    </xf>
    <xf numFmtId="39" fontId="2" fillId="15" borderId="0" xfId="0" applyNumberFormat="1" applyFont="1" applyFill="1" applyBorder="1" applyAlignment="1">
      <alignment horizontal="center"/>
    </xf>
    <xf numFmtId="0" fontId="19" fillId="0" borderId="16" xfId="0" applyFont="1" applyFill="1" applyBorder="1"/>
    <xf numFmtId="0" fontId="19" fillId="0" borderId="3" xfId="0" applyFont="1" applyFill="1" applyBorder="1"/>
    <xf numFmtId="39" fontId="10" fillId="0" borderId="0" xfId="0" applyNumberFormat="1" applyFont="1" applyFill="1" applyAlignment="1">
      <alignment horizontal="center"/>
    </xf>
    <xf numFmtId="0" fontId="0" fillId="0" borderId="3" xfId="0" applyFill="1" applyBorder="1"/>
    <xf numFmtId="0" fontId="0" fillId="0" borderId="14" xfId="0" applyBorder="1"/>
    <xf numFmtId="2" fontId="0" fillId="0" borderId="0" xfId="0" applyNumberFormat="1" applyBorder="1" applyAlignment="1">
      <alignment horizontal="center"/>
    </xf>
    <xf numFmtId="9" fontId="0" fillId="0" borderId="0" xfId="0" applyNumberFormat="1"/>
    <xf numFmtId="185" fontId="2" fillId="0" borderId="0" xfId="0" applyNumberFormat="1" applyFont="1"/>
    <xf numFmtId="39" fontId="0" fillId="0" borderId="0" xfId="0" applyNumberFormat="1" applyFill="1" applyBorder="1"/>
    <xf numFmtId="10" fontId="2" fillId="0" borderId="0" xfId="0" applyNumberFormat="1" applyFont="1" applyFill="1" applyBorder="1" applyAlignment="1">
      <alignment horizontal="center"/>
    </xf>
    <xf numFmtId="169" fontId="2" fillId="0" borderId="3" xfId="0" applyNumberFormat="1" applyFont="1" applyFill="1" applyBorder="1" applyAlignment="1">
      <alignment horizontal="center"/>
    </xf>
    <xf numFmtId="2" fontId="10" fillId="0" borderId="0" xfId="0" applyNumberFormat="1" applyFont="1" applyFill="1" applyAlignment="1">
      <alignment horizontal="center"/>
    </xf>
    <xf numFmtId="7" fontId="0" fillId="0" borderId="0" xfId="0" applyNumberFormat="1" applyFill="1" applyBorder="1" applyAlignment="1">
      <alignment horizontal="center"/>
    </xf>
    <xf numFmtId="7" fontId="2" fillId="0" borderId="0" xfId="0" applyNumberFormat="1" applyFont="1" applyFill="1" applyBorder="1" applyAlignment="1">
      <alignment horizontal="center"/>
    </xf>
    <xf numFmtId="9" fontId="10" fillId="0" borderId="0" xfId="0" applyNumberFormat="1" applyFont="1" applyAlignment="1">
      <alignment horizontal="center"/>
    </xf>
    <xf numFmtId="1" fontId="2" fillId="0" borderId="0" xfId="0" applyNumberFormat="1" applyFont="1" applyAlignment="1">
      <alignment horizontal="center"/>
    </xf>
    <xf numFmtId="169" fontId="2" fillId="0" borderId="0" xfId="0" applyNumberFormat="1" applyFont="1" applyFill="1" applyAlignment="1">
      <alignment horizontal="center"/>
    </xf>
    <xf numFmtId="0" fontId="2" fillId="0" borderId="15" xfId="0" applyFont="1" applyFill="1" applyBorder="1"/>
    <xf numFmtId="0" fontId="2" fillId="0" borderId="16" xfId="0" applyFont="1" applyFill="1" applyBorder="1"/>
    <xf numFmtId="0" fontId="4" fillId="0" borderId="0" xfId="0" applyFont="1" applyFill="1" applyBorder="1" applyAlignment="1">
      <alignment horizontal="center"/>
    </xf>
    <xf numFmtId="0" fontId="5" fillId="0" borderId="0" xfId="0" applyFont="1" applyFill="1" applyBorder="1" applyAlignment="1">
      <alignment horizontal="center"/>
    </xf>
    <xf numFmtId="0" fontId="5" fillId="16" borderId="0" xfId="0" applyFont="1" applyFill="1" applyBorder="1"/>
    <xf numFmtId="0" fontId="5" fillId="16" borderId="3" xfId="0" applyFont="1" applyFill="1" applyBorder="1"/>
    <xf numFmtId="49" fontId="0" fillId="0" borderId="0" xfId="0" applyNumberFormat="1"/>
    <xf numFmtId="4" fontId="39" fillId="0" borderId="0" xfId="0" applyNumberFormat="1" applyFont="1" applyFill="1" applyBorder="1" applyAlignment="1">
      <alignment horizontal="center"/>
    </xf>
    <xf numFmtId="0" fontId="5" fillId="0" borderId="0" xfId="0" applyFont="1" applyAlignment="1">
      <alignment horizontal="center"/>
    </xf>
    <xf numFmtId="165" fontId="0" fillId="0" borderId="0" xfId="0" applyNumberFormat="1" applyFill="1" applyBorder="1" applyAlignment="1">
      <alignment horizontal="center"/>
    </xf>
    <xf numFmtId="0" fontId="4" fillId="17" borderId="14" xfId="0" applyFont="1" applyFill="1" applyBorder="1"/>
    <xf numFmtId="0" fontId="4" fillId="17" borderId="4" xfId="0" applyFont="1" applyFill="1" applyBorder="1"/>
    <xf numFmtId="0" fontId="5" fillId="0" borderId="3" xfId="0" applyFont="1" applyFill="1" applyBorder="1"/>
    <xf numFmtId="7" fontId="2" fillId="0" borderId="3" xfId="0" applyNumberFormat="1" applyFont="1" applyFill="1" applyBorder="1" applyAlignment="1">
      <alignment horizontal="center"/>
    </xf>
    <xf numFmtId="0" fontId="2" fillId="0" borderId="12" xfId="0" applyFont="1" applyBorder="1"/>
    <xf numFmtId="7" fontId="2" fillId="0" borderId="12" xfId="0" applyNumberFormat="1" applyFont="1" applyFill="1" applyBorder="1" applyAlignment="1">
      <alignment horizontal="center"/>
    </xf>
    <xf numFmtId="0" fontId="41" fillId="0" borderId="0" xfId="0" applyFont="1" applyFill="1" applyBorder="1"/>
    <xf numFmtId="7" fontId="4" fillId="0" borderId="0" xfId="0" applyNumberFormat="1" applyFont="1" applyFill="1" applyBorder="1" applyAlignment="1">
      <alignment horizontal="center"/>
    </xf>
    <xf numFmtId="0" fontId="2" fillId="16" borderId="0" xfId="0" applyFont="1" applyFill="1"/>
    <xf numFmtId="0" fontId="0" fillId="0" borderId="15" xfId="0" applyFill="1" applyBorder="1"/>
    <xf numFmtId="0" fontId="4" fillId="0" borderId="16" xfId="0" applyFont="1" applyFill="1" applyBorder="1"/>
    <xf numFmtId="0" fontId="0" fillId="0" borderId="17" xfId="0" applyFill="1" applyBorder="1"/>
    <xf numFmtId="0" fontId="0" fillId="0" borderId="12" xfId="0" applyFill="1" applyBorder="1" applyAlignment="1">
      <alignment horizontal="center"/>
    </xf>
    <xf numFmtId="0" fontId="0" fillId="0" borderId="0" xfId="0" applyFill="1" applyBorder="1" applyAlignment="1">
      <alignment horizontal="center"/>
    </xf>
    <xf numFmtId="0" fontId="2" fillId="16" borderId="0" xfId="0" applyFont="1" applyFill="1" applyBorder="1"/>
    <xf numFmtId="0" fontId="13" fillId="0" borderId="0" xfId="0" applyFont="1"/>
    <xf numFmtId="0" fontId="5" fillId="0" borderId="12" xfId="0" applyFont="1" applyFill="1" applyBorder="1"/>
    <xf numFmtId="0" fontId="41" fillId="0" borderId="17" xfId="0" applyFont="1" applyFill="1" applyBorder="1"/>
    <xf numFmtId="0" fontId="0" fillId="0" borderId="3" xfId="0" applyFill="1" applyBorder="1" applyAlignment="1">
      <alignment horizontal="center"/>
    </xf>
    <xf numFmtId="165" fontId="0" fillId="0" borderId="3" xfId="0" applyNumberFormat="1" applyFill="1" applyBorder="1" applyAlignment="1">
      <alignment horizontal="center"/>
    </xf>
    <xf numFmtId="0" fontId="40" fillId="17" borderId="4" xfId="0" applyFont="1" applyFill="1" applyBorder="1"/>
    <xf numFmtId="0" fontId="4" fillId="16" borderId="0" xfId="0" applyFont="1" applyFill="1" applyBorder="1"/>
    <xf numFmtId="0" fontId="4" fillId="16" borderId="0" xfId="0" applyFont="1" applyFill="1"/>
    <xf numFmtId="0" fontId="10" fillId="16" borderId="0" xfId="0" applyFont="1" applyFill="1" applyBorder="1"/>
    <xf numFmtId="0" fontId="25" fillId="16" borderId="0" xfId="0" applyFont="1" applyFill="1" applyBorder="1"/>
    <xf numFmtId="2" fontId="2" fillId="0" borderId="0" xfId="0" applyNumberFormat="1" applyFont="1" applyFill="1" applyAlignment="1">
      <alignment horizontal="center"/>
    </xf>
    <xf numFmtId="0" fontId="4" fillId="0" borderId="4" xfId="0" applyFont="1" applyFill="1" applyBorder="1"/>
    <xf numFmtId="7" fontId="0" fillId="0" borderId="0" xfId="0" applyNumberFormat="1" applyFill="1" applyAlignment="1">
      <alignment horizontal="center"/>
    </xf>
    <xf numFmtId="7" fontId="2" fillId="0" borderId="0" xfId="0" applyNumberFormat="1" applyFont="1" applyFill="1" applyAlignment="1">
      <alignment horizontal="center"/>
    </xf>
    <xf numFmtId="7" fontId="4" fillId="0" borderId="4" xfId="0" applyNumberFormat="1" applyFont="1" applyFill="1" applyBorder="1" applyAlignment="1">
      <alignment horizontal="center"/>
    </xf>
    <xf numFmtId="169" fontId="10" fillId="0" borderId="0" xfId="0" applyNumberFormat="1" applyFont="1" applyFill="1" applyAlignment="1">
      <alignment horizontal="center"/>
    </xf>
    <xf numFmtId="0" fontId="4" fillId="18" borderId="4" xfId="0" applyFont="1" applyFill="1" applyBorder="1"/>
    <xf numFmtId="174" fontId="24" fillId="0" borderId="0" xfId="0" applyNumberFormat="1" applyFont="1"/>
    <xf numFmtId="39" fontId="24" fillId="0" borderId="0" xfId="0" applyNumberFormat="1" applyFont="1" applyAlignment="1">
      <alignment horizontal="center"/>
    </xf>
    <xf numFmtId="39" fontId="23" fillId="0" borderId="4" xfId="0" applyNumberFormat="1" applyFont="1" applyBorder="1" applyAlignment="1">
      <alignment horizontal="center"/>
    </xf>
    <xf numFmtId="171" fontId="35" fillId="0" borderId="0" xfId="0" applyNumberFormat="1" applyFont="1" applyFill="1" applyAlignment="1">
      <alignment horizontal="center"/>
    </xf>
    <xf numFmtId="7" fontId="23" fillId="0" borderId="4" xfId="0" applyNumberFormat="1" applyFont="1" applyFill="1" applyBorder="1" applyAlignment="1">
      <alignment horizontal="center"/>
    </xf>
    <xf numFmtId="174" fontId="24" fillId="0" borderId="0" xfId="0" applyNumberFormat="1" applyFont="1" applyFill="1"/>
    <xf numFmtId="0" fontId="24" fillId="0" borderId="0" xfId="0" applyFont="1" applyBorder="1"/>
    <xf numFmtId="2" fontId="24" fillId="0" borderId="0" xfId="0" applyNumberFormat="1" applyFont="1" applyBorder="1" applyAlignment="1">
      <alignment horizontal="center"/>
    </xf>
    <xf numFmtId="0" fontId="35" fillId="0" borderId="0" xfId="0" applyFont="1" applyFill="1" applyBorder="1"/>
    <xf numFmtId="0" fontId="23" fillId="0" borderId="0" xfId="0" applyFont="1" applyFill="1"/>
    <xf numFmtId="0" fontId="24" fillId="0" borderId="0" xfId="0" applyFont="1" applyFill="1" applyAlignment="1">
      <alignment horizontal="center"/>
    </xf>
    <xf numFmtId="0" fontId="36" fillId="0" borderId="0" xfId="0" applyFont="1" applyFill="1" applyAlignment="1">
      <alignment horizontal="center"/>
    </xf>
    <xf numFmtId="0" fontId="35" fillId="0" borderId="0" xfId="0" applyFont="1" applyFill="1"/>
    <xf numFmtId="2" fontId="36" fillId="0" borderId="0" xfId="0" applyNumberFormat="1" applyFont="1" applyFill="1" applyAlignment="1">
      <alignment horizontal="center"/>
    </xf>
    <xf numFmtId="7" fontId="24" fillId="0" borderId="0" xfId="0" applyNumberFormat="1" applyFont="1" applyFill="1" applyAlignment="1">
      <alignment horizontal="center"/>
    </xf>
    <xf numFmtId="39" fontId="43" fillId="0" borderId="0" xfId="0" applyNumberFormat="1" applyFont="1" applyFill="1" applyAlignment="1">
      <alignment horizontal="center"/>
    </xf>
    <xf numFmtId="7" fontId="36" fillId="0" borderId="0" xfId="0" applyNumberFormat="1" applyFont="1" applyFill="1" applyBorder="1" applyAlignment="1">
      <alignment horizontal="center"/>
    </xf>
    <xf numFmtId="169" fontId="5" fillId="0" borderId="0" xfId="0" applyNumberFormat="1" applyFont="1" applyFill="1" applyBorder="1" applyAlignment="1">
      <alignment horizontal="center"/>
    </xf>
    <xf numFmtId="9" fontId="5" fillId="0" borderId="0" xfId="0" applyNumberFormat="1" applyFont="1" applyFill="1" applyBorder="1" applyAlignment="1">
      <alignment horizontal="center"/>
    </xf>
    <xf numFmtId="9" fontId="2" fillId="0" borderId="0" xfId="0" applyNumberFormat="1" applyFont="1" applyFill="1" applyAlignment="1">
      <alignment horizontal="center"/>
    </xf>
    <xf numFmtId="0" fontId="24" fillId="15" borderId="16" xfId="0" applyFont="1" applyFill="1" applyBorder="1"/>
    <xf numFmtId="0" fontId="2" fillId="15" borderId="3" xfId="0" applyFont="1" applyFill="1" applyBorder="1"/>
    <xf numFmtId="39" fontId="10" fillId="15" borderId="3" xfId="0" applyNumberFormat="1" applyFont="1" applyFill="1" applyBorder="1" applyAlignment="1">
      <alignment horizontal="center"/>
    </xf>
    <xf numFmtId="39" fontId="2" fillId="15" borderId="3" xfId="0" applyNumberFormat="1" applyFont="1" applyFill="1" applyBorder="1" applyAlignment="1">
      <alignment horizontal="center"/>
    </xf>
    <xf numFmtId="168" fontId="5" fillId="0" borderId="0" xfId="0" applyNumberFormat="1" applyFont="1" applyBorder="1" applyAlignment="1">
      <alignment horizontal="center"/>
    </xf>
    <xf numFmtId="5" fontId="5" fillId="0" borderId="12" xfId="0" applyNumberFormat="1" applyFont="1" applyFill="1" applyBorder="1" applyAlignment="1">
      <alignment horizontal="center"/>
    </xf>
    <xf numFmtId="10" fontId="9" fillId="0" borderId="0" xfId="0" applyNumberFormat="1" applyFont="1" applyFill="1" applyBorder="1" applyAlignment="1">
      <alignment horizontal="center"/>
    </xf>
    <xf numFmtId="175" fontId="13" fillId="0" borderId="0" xfId="0" applyNumberFormat="1" applyFont="1" applyFill="1"/>
    <xf numFmtId="167" fontId="0" fillId="0" borderId="0" xfId="0" applyNumberFormat="1" applyBorder="1" applyAlignment="1"/>
    <xf numFmtId="170" fontId="0" fillId="0" borderId="0" xfId="0" applyNumberFormat="1" applyBorder="1" applyAlignment="1">
      <alignment horizontal="center"/>
    </xf>
    <xf numFmtId="165" fontId="4" fillId="0" borderId="3" xfId="0" applyNumberFormat="1" applyFont="1" applyFill="1" applyBorder="1" applyAlignment="1">
      <alignment horizontal="center"/>
    </xf>
    <xf numFmtId="165" fontId="4" fillId="0" borderId="0" xfId="0" applyNumberFormat="1" applyFont="1" applyFill="1" applyBorder="1" applyAlignment="1">
      <alignment horizontal="center"/>
    </xf>
    <xf numFmtId="9" fontId="2" fillId="0" borderId="0" xfId="0" applyNumberFormat="1" applyFont="1" applyFill="1" applyBorder="1" applyAlignment="1">
      <alignment horizontal="center"/>
    </xf>
    <xf numFmtId="9" fontId="10" fillId="0" borderId="3" xfId="0" applyNumberFormat="1" applyFont="1" applyFill="1" applyBorder="1" applyAlignment="1">
      <alignment horizontal="center"/>
    </xf>
    <xf numFmtId="9" fontId="10" fillId="0" borderId="0" xfId="0" applyNumberFormat="1" applyFont="1" applyFill="1" applyBorder="1" applyAlignment="1">
      <alignment horizontal="center"/>
    </xf>
    <xf numFmtId="9" fontId="0" fillId="0" borderId="0" xfId="77" applyFont="1"/>
    <xf numFmtId="0" fontId="4" fillId="16" borderId="3" xfId="0" applyFont="1" applyFill="1" applyBorder="1"/>
    <xf numFmtId="9" fontId="10" fillId="16" borderId="0" xfId="0" applyNumberFormat="1" applyFont="1" applyFill="1" applyBorder="1" applyAlignment="1">
      <alignment horizontal="center"/>
    </xf>
    <xf numFmtId="1" fontId="2" fillId="0" borderId="0" xfId="0" applyNumberFormat="1" applyFont="1" applyFill="1" applyBorder="1" applyAlignment="1">
      <alignment horizontal="center"/>
    </xf>
    <xf numFmtId="165" fontId="2" fillId="0" borderId="3" xfId="0" applyNumberFormat="1" applyFont="1" applyFill="1" applyBorder="1" applyAlignment="1">
      <alignment horizontal="center"/>
    </xf>
    <xf numFmtId="9" fontId="5" fillId="16" borderId="0" xfId="0" applyNumberFormat="1" applyFont="1" applyFill="1" applyBorder="1" applyAlignment="1">
      <alignment horizontal="center"/>
    </xf>
    <xf numFmtId="0" fontId="5" fillId="0" borderId="12" xfId="0" applyFont="1" applyBorder="1"/>
    <xf numFmtId="9" fontId="5" fillId="16" borderId="19" xfId="0" applyNumberFormat="1" applyFont="1" applyFill="1" applyBorder="1" applyAlignment="1">
      <alignment horizontal="center"/>
    </xf>
    <xf numFmtId="0" fontId="5" fillId="16" borderId="0" xfId="0" applyFont="1" applyFill="1"/>
    <xf numFmtId="0" fontId="4" fillId="18" borderId="14" xfId="0" applyFont="1" applyFill="1" applyBorder="1"/>
    <xf numFmtId="0" fontId="10" fillId="0" borderId="3" xfId="0" applyFont="1" applyFill="1" applyBorder="1" applyAlignment="1">
      <alignment horizontal="center"/>
    </xf>
    <xf numFmtId="9" fontId="39" fillId="0" borderId="0" xfId="77" applyFont="1" applyFill="1" applyBorder="1" applyAlignment="1">
      <alignment horizontal="center"/>
    </xf>
    <xf numFmtId="9" fontId="10" fillId="0" borderId="0" xfId="77" applyFont="1" applyFill="1" applyBorder="1" applyAlignment="1">
      <alignment horizontal="center"/>
    </xf>
    <xf numFmtId="171" fontId="10" fillId="0" borderId="0" xfId="77" applyNumberFormat="1" applyFont="1" applyFill="1" applyBorder="1" applyAlignment="1">
      <alignment horizontal="center"/>
    </xf>
    <xf numFmtId="4" fontId="61" fillId="0" borderId="0" xfId="0" applyNumberFormat="1" applyFont="1" applyFill="1" applyBorder="1" applyAlignment="1">
      <alignment horizontal="center"/>
    </xf>
    <xf numFmtId="39" fontId="21" fillId="0" borderId="0" xfId="0" applyNumberFormat="1" applyFont="1" applyFill="1" applyBorder="1"/>
    <xf numFmtId="4" fontId="21" fillId="0" borderId="0" xfId="0" applyNumberFormat="1" applyFont="1" applyFill="1" applyBorder="1" applyAlignment="1">
      <alignment horizontal="center"/>
    </xf>
    <xf numFmtId="0" fontId="62" fillId="0" borderId="15" xfId="0" applyFont="1" applyFill="1" applyBorder="1"/>
    <xf numFmtId="0" fontId="62" fillId="0" borderId="15" xfId="0" applyFont="1" applyFill="1" applyBorder="1" applyAlignment="1">
      <alignment horizontal="left" indent="1"/>
    </xf>
    <xf numFmtId="0" fontId="63" fillId="0" borderId="15" xfId="0" applyFont="1" applyFill="1" applyBorder="1"/>
    <xf numFmtId="0" fontId="62" fillId="0" borderId="17" xfId="0" applyFont="1" applyFill="1" applyBorder="1"/>
    <xf numFmtId="0" fontId="0" fillId="0" borderId="12" xfId="0" applyFill="1" applyBorder="1"/>
    <xf numFmtId="9" fontId="5" fillId="0" borderId="19" xfId="0" applyNumberFormat="1" applyFont="1" applyBorder="1" applyAlignment="1">
      <alignment horizontal="center"/>
    </xf>
    <xf numFmtId="173" fontId="2" fillId="0" borderId="0" xfId="0" applyNumberFormat="1" applyFont="1" applyFill="1" applyAlignment="1">
      <alignment horizontal="center"/>
    </xf>
    <xf numFmtId="187" fontId="2" fillId="0" borderId="0" xfId="0" applyNumberFormat="1" applyFont="1" applyAlignment="1">
      <alignment horizontal="center"/>
    </xf>
    <xf numFmtId="187" fontId="2" fillId="0" borderId="0" xfId="0" applyNumberFormat="1" applyFont="1" applyFill="1" applyAlignment="1">
      <alignment horizontal="center"/>
    </xf>
    <xf numFmtId="187" fontId="23" fillId="0" borderId="4" xfId="0" applyNumberFormat="1" applyFont="1" applyBorder="1" applyAlignment="1">
      <alignment horizontal="center"/>
    </xf>
    <xf numFmtId="187" fontId="2" fillId="0" borderId="0" xfId="0" applyNumberFormat="1" applyFont="1" applyFill="1"/>
    <xf numFmtId="0" fontId="0" fillId="0" borderId="0" xfId="0" applyNumberFormat="1"/>
    <xf numFmtId="9" fontId="12" fillId="0" borderId="0" xfId="0" applyNumberFormat="1" applyFont="1" applyFill="1" applyBorder="1" applyAlignment="1">
      <alignment horizontal="center"/>
    </xf>
    <xf numFmtId="180" fontId="0" fillId="0" borderId="0" xfId="0" applyNumberFormat="1"/>
    <xf numFmtId="174" fontId="0" fillId="0" borderId="0" xfId="0" applyNumberFormat="1" applyAlignment="1">
      <alignment horizontal="center"/>
    </xf>
    <xf numFmtId="174" fontId="5" fillId="16" borderId="0" xfId="0" applyNumberFormat="1" applyFont="1" applyFill="1" applyBorder="1" applyAlignment="1">
      <alignment horizontal="center"/>
    </xf>
    <xf numFmtId="174" fontId="0" fillId="0" borderId="0" xfId="0" applyNumberFormat="1" applyBorder="1" applyAlignment="1">
      <alignment horizontal="center"/>
    </xf>
    <xf numFmtId="174" fontId="2" fillId="0" borderId="0" xfId="0" applyNumberFormat="1" applyFont="1" applyBorder="1" applyAlignment="1">
      <alignment horizontal="center"/>
    </xf>
    <xf numFmtId="187" fontId="2" fillId="0" borderId="0" xfId="0" applyNumberFormat="1" applyFont="1"/>
    <xf numFmtId="6" fontId="2" fillId="0" borderId="22" xfId="0" applyNumberFormat="1" applyFont="1" applyBorder="1" applyAlignment="1">
      <alignment horizontal="center"/>
    </xf>
    <xf numFmtId="6" fontId="2" fillId="0" borderId="0" xfId="0" applyNumberFormat="1" applyFont="1" applyBorder="1"/>
    <xf numFmtId="9" fontId="5" fillId="0" borderId="0" xfId="77" applyFont="1" applyFill="1" applyBorder="1" applyAlignment="1">
      <alignment horizontal="center"/>
    </xf>
    <xf numFmtId="7" fontId="16" fillId="0" borderId="0" xfId="0" applyNumberFormat="1" applyFont="1" applyFill="1" applyBorder="1" applyAlignment="1">
      <alignment horizontal="center"/>
    </xf>
    <xf numFmtId="171" fontId="10" fillId="0" borderId="0" xfId="0" applyNumberFormat="1" applyFont="1" applyFill="1" applyBorder="1" applyAlignment="1">
      <alignment horizontal="center"/>
    </xf>
    <xf numFmtId="171" fontId="5" fillId="0" borderId="0" xfId="0" applyNumberFormat="1" applyFont="1" applyFill="1" applyBorder="1" applyAlignment="1">
      <alignment horizontal="center"/>
    </xf>
    <xf numFmtId="171" fontId="10" fillId="0" borderId="3" xfId="0" applyNumberFormat="1" applyFont="1" applyFill="1" applyBorder="1" applyAlignment="1">
      <alignment horizontal="center"/>
    </xf>
    <xf numFmtId="175" fontId="2" fillId="0" borderId="0" xfId="0" applyNumberFormat="1" applyFont="1" applyFill="1" applyAlignment="1">
      <alignment horizontal="center"/>
    </xf>
    <xf numFmtId="4" fontId="5" fillId="0" borderId="0" xfId="0" applyNumberFormat="1" applyFont="1" applyFill="1" applyBorder="1"/>
    <xf numFmtId="9" fontId="5" fillId="0" borderId="0" xfId="0" applyNumberFormat="1" applyFont="1" applyFill="1" applyBorder="1"/>
    <xf numFmtId="39" fontId="5" fillId="0" borderId="0" xfId="0" applyNumberFormat="1" applyFont="1" applyFill="1" applyBorder="1"/>
    <xf numFmtId="10" fontId="5" fillId="0" borderId="0" xfId="0" applyNumberFormat="1" applyFont="1" applyFill="1" applyBorder="1"/>
    <xf numFmtId="0" fontId="5" fillId="0" borderId="17" xfId="0" applyFont="1" applyFill="1" applyBorder="1"/>
    <xf numFmtId="4" fontId="5" fillId="0" borderId="12" xfId="0" applyNumberFormat="1" applyFont="1" applyFill="1" applyBorder="1"/>
    <xf numFmtId="0" fontId="5" fillId="0" borderId="15" xfId="0" applyFont="1" applyFill="1" applyBorder="1"/>
    <xf numFmtId="0" fontId="5" fillId="0" borderId="16" xfId="0" applyFont="1" applyFill="1" applyBorder="1"/>
    <xf numFmtId="9" fontId="5" fillId="0" borderId="3" xfId="0" applyNumberFormat="1" applyFont="1" applyFill="1" applyBorder="1"/>
    <xf numFmtId="4" fontId="5" fillId="0" borderId="12" xfId="0" applyNumberFormat="1" applyFont="1" applyFill="1" applyBorder="1" applyAlignment="1">
      <alignment horizontal="center"/>
    </xf>
    <xf numFmtId="4" fontId="5" fillId="0" borderId="18" xfId="0" applyNumberFormat="1" applyFont="1" applyFill="1" applyBorder="1" applyAlignment="1">
      <alignment horizontal="center"/>
    </xf>
    <xf numFmtId="9" fontId="10" fillId="0" borderId="19" xfId="0" applyNumberFormat="1" applyFont="1" applyFill="1" applyBorder="1" applyAlignment="1">
      <alignment horizontal="center"/>
    </xf>
    <xf numFmtId="4" fontId="5" fillId="0" borderId="0" xfId="0" applyNumberFormat="1" applyFont="1" applyFill="1" applyBorder="1" applyAlignment="1">
      <alignment horizontal="center"/>
    </xf>
    <xf numFmtId="4" fontId="5" fillId="0" borderId="19" xfId="0" applyNumberFormat="1" applyFont="1" applyFill="1" applyBorder="1" applyAlignment="1">
      <alignment horizontal="center"/>
    </xf>
    <xf numFmtId="9" fontId="10" fillId="16" borderId="19" xfId="0" applyNumberFormat="1" applyFont="1" applyFill="1" applyBorder="1" applyAlignment="1">
      <alignment horizontal="center"/>
    </xf>
    <xf numFmtId="39" fontId="5" fillId="0" borderId="0" xfId="0" applyNumberFormat="1" applyFont="1" applyFill="1" applyBorder="1" applyAlignment="1">
      <alignment horizontal="center"/>
    </xf>
    <xf numFmtId="39" fontId="5" fillId="0" borderId="19" xfId="0" applyNumberFormat="1" applyFont="1" applyFill="1" applyBorder="1" applyAlignment="1">
      <alignment horizontal="center"/>
    </xf>
    <xf numFmtId="39" fontId="5" fillId="16" borderId="0" xfId="0" applyNumberFormat="1" applyFont="1" applyFill="1" applyBorder="1" applyAlignment="1">
      <alignment horizontal="center"/>
    </xf>
    <xf numFmtId="39" fontId="5" fillId="16" borderId="19" xfId="0" applyNumberFormat="1" applyFont="1" applyFill="1" applyBorder="1" applyAlignment="1">
      <alignment horizontal="center"/>
    </xf>
    <xf numFmtId="9" fontId="5" fillId="0" borderId="0" xfId="0" applyNumberFormat="1" applyFont="1" applyBorder="1" applyAlignment="1">
      <alignment horizontal="center"/>
    </xf>
    <xf numFmtId="10" fontId="5" fillId="0" borderId="0" xfId="0" applyNumberFormat="1" applyFont="1" applyFill="1" applyBorder="1" applyAlignment="1">
      <alignment horizontal="center"/>
    </xf>
    <xf numFmtId="10" fontId="10" fillId="16" borderId="0" xfId="0" applyNumberFormat="1" applyFont="1" applyFill="1" applyBorder="1" applyAlignment="1">
      <alignment horizontal="center"/>
    </xf>
    <xf numFmtId="10" fontId="10" fillId="16" borderId="19" xfId="0" applyNumberFormat="1" applyFont="1" applyFill="1" applyBorder="1" applyAlignment="1">
      <alignment horizontal="center"/>
    </xf>
    <xf numFmtId="9" fontId="5" fillId="0" borderId="3" xfId="0" applyNumberFormat="1" applyFont="1" applyFill="1" applyBorder="1" applyAlignment="1">
      <alignment horizontal="center"/>
    </xf>
    <xf numFmtId="9" fontId="10" fillId="16" borderId="3" xfId="0" applyNumberFormat="1" applyFont="1" applyFill="1" applyBorder="1" applyAlignment="1">
      <alignment horizontal="center"/>
    </xf>
    <xf numFmtId="9" fontId="10" fillId="16" borderId="20" xfId="0" applyNumberFormat="1" applyFont="1" applyFill="1" applyBorder="1" applyAlignment="1">
      <alignment horizontal="center"/>
    </xf>
    <xf numFmtId="0" fontId="21" fillId="0" borderId="17" xfId="0" applyFont="1" applyBorder="1"/>
    <xf numFmtId="4" fontId="0" fillId="0" borderId="12" xfId="0" applyNumberFormat="1" applyBorder="1"/>
    <xf numFmtId="4" fontId="0" fillId="0" borderId="18" xfId="0" applyNumberFormat="1" applyBorder="1"/>
    <xf numFmtId="4" fontId="0" fillId="0" borderId="19" xfId="0" applyNumberFormat="1" applyBorder="1"/>
    <xf numFmtId="165" fontId="15" fillId="0" borderId="19" xfId="0" applyNumberFormat="1" applyFont="1" applyBorder="1" applyAlignment="1">
      <alignment horizontal="center"/>
    </xf>
    <xf numFmtId="9" fontId="2" fillId="0" borderId="20" xfId="0" applyNumberFormat="1" applyFont="1" applyFill="1" applyBorder="1"/>
    <xf numFmtId="0" fontId="21" fillId="0" borderId="3" xfId="0" applyFont="1" applyFill="1" applyBorder="1"/>
    <xf numFmtId="165" fontId="2" fillId="0" borderId="3" xfId="0" applyNumberFormat="1" applyFont="1" applyFill="1" applyBorder="1"/>
    <xf numFmtId="0" fontId="21" fillId="0" borderId="17" xfId="0" applyFont="1" applyFill="1" applyBorder="1"/>
    <xf numFmtId="7" fontId="2" fillId="0" borderId="12" xfId="0" applyNumberFormat="1" applyFont="1" applyFill="1" applyBorder="1"/>
    <xf numFmtId="5" fontId="2" fillId="0" borderId="12" xfId="0" applyNumberFormat="1" applyFont="1" applyFill="1" applyBorder="1"/>
    <xf numFmtId="5" fontId="2" fillId="0" borderId="18" xfId="0" applyNumberFormat="1" applyFont="1" applyFill="1" applyBorder="1"/>
    <xf numFmtId="7" fontId="2" fillId="0" borderId="19" xfId="0" applyNumberFormat="1" applyFont="1" applyFill="1" applyBorder="1"/>
    <xf numFmtId="7" fontId="2" fillId="0" borderId="20" xfId="0" applyNumberFormat="1" applyFont="1" applyFill="1" applyBorder="1"/>
    <xf numFmtId="177" fontId="5" fillId="0" borderId="0" xfId="52" applyNumberFormat="1" applyFont="1" applyFill="1" applyBorder="1"/>
    <xf numFmtId="180" fontId="9" fillId="0" borderId="16" xfId="71" applyNumberFormat="1" applyFont="1" applyFill="1" applyBorder="1" applyAlignment="1"/>
    <xf numFmtId="177" fontId="5" fillId="0" borderId="3" xfId="52" applyNumberFormat="1" applyFont="1" applyFill="1" applyBorder="1"/>
    <xf numFmtId="38" fontId="5" fillId="0" borderId="3" xfId="72" applyNumberFormat="1" applyFont="1" applyFill="1" applyBorder="1"/>
    <xf numFmtId="0" fontId="5" fillId="0" borderId="3" xfId="72" applyFont="1" applyFill="1" applyBorder="1" applyAlignment="1">
      <alignment horizontal="center"/>
    </xf>
    <xf numFmtId="0" fontId="4" fillId="0" borderId="0" xfId="70" applyFont="1" applyFill="1" applyBorder="1"/>
    <xf numFmtId="0" fontId="5" fillId="0" borderId="0" xfId="70" applyFont="1" applyFill="1" applyBorder="1"/>
    <xf numFmtId="177" fontId="10" fillId="0" borderId="0" xfId="52" applyNumberFormat="1" applyFont="1" applyFill="1" applyBorder="1" applyAlignment="1">
      <alignment horizontal="right"/>
    </xf>
    <xf numFmtId="178" fontId="5" fillId="0" borderId="0" xfId="52" applyNumberFormat="1" applyFont="1" applyFill="1" applyBorder="1" applyAlignment="1">
      <alignment horizontal="center"/>
    </xf>
    <xf numFmtId="179" fontId="5" fillId="0" borderId="0" xfId="52" applyNumberFormat="1" applyFont="1" applyFill="1" applyBorder="1" applyAlignment="1">
      <alignment horizontal="center"/>
    </xf>
    <xf numFmtId="169" fontId="10" fillId="0" borderId="0" xfId="70" applyNumberFormat="1" applyFont="1" applyFill="1" applyBorder="1" applyAlignment="1">
      <alignment horizontal="right"/>
    </xf>
    <xf numFmtId="178" fontId="5" fillId="0" borderId="0" xfId="70" applyNumberFormat="1" applyFont="1" applyFill="1" applyBorder="1" applyAlignment="1">
      <alignment horizontal="center"/>
    </xf>
    <xf numFmtId="2" fontId="10" fillId="0" borderId="0" xfId="70" applyNumberFormat="1" applyFont="1" applyFill="1" applyBorder="1" applyAlignment="1">
      <alignment horizontal="right"/>
    </xf>
    <xf numFmtId="8" fontId="5" fillId="0" borderId="0" xfId="70" applyNumberFormat="1" applyFont="1" applyFill="1" applyBorder="1" applyAlignment="1">
      <alignment horizontal="center"/>
    </xf>
    <xf numFmtId="167" fontId="5" fillId="0" borderId="0" xfId="70" applyNumberFormat="1" applyFont="1" applyFill="1" applyBorder="1" applyAlignment="1">
      <alignment horizontal="center"/>
    </xf>
    <xf numFmtId="177" fontId="5" fillId="0" borderId="0" xfId="52" applyNumberFormat="1" applyFont="1" applyFill="1" applyBorder="1" applyAlignment="1">
      <alignment horizontal="right"/>
    </xf>
    <xf numFmtId="2" fontId="5" fillId="0" borderId="0" xfId="52" applyNumberFormat="1" applyFont="1" applyFill="1" applyBorder="1" applyAlignment="1">
      <alignment horizontal="center"/>
    </xf>
    <xf numFmtId="169" fontId="5" fillId="0" borderId="0" xfId="70" applyNumberFormat="1" applyFont="1" applyFill="1" applyBorder="1" applyAlignment="1">
      <alignment horizontal="right"/>
    </xf>
    <xf numFmtId="169" fontId="5" fillId="0" borderId="0" xfId="70" applyNumberFormat="1" applyFont="1" applyFill="1" applyBorder="1" applyAlignment="1">
      <alignment horizontal="center"/>
    </xf>
    <xf numFmtId="4" fontId="5" fillId="0" borderId="0" xfId="70" applyNumberFormat="1" applyFont="1" applyFill="1" applyBorder="1" applyAlignment="1">
      <alignment horizontal="center"/>
    </xf>
    <xf numFmtId="179" fontId="5" fillId="0" borderId="0" xfId="81" applyNumberFormat="1" applyFont="1" applyFill="1" applyBorder="1" applyAlignment="1">
      <alignment horizontal="center"/>
    </xf>
    <xf numFmtId="9" fontId="5" fillId="0" borderId="0" xfId="81" applyFont="1" applyFill="1" applyBorder="1" applyAlignment="1">
      <alignment horizontal="center"/>
    </xf>
    <xf numFmtId="9" fontId="5" fillId="0" borderId="0" xfId="81" applyFont="1" applyFill="1" applyBorder="1" applyAlignment="1">
      <alignment horizontal="left"/>
    </xf>
    <xf numFmtId="0" fontId="5" fillId="0" borderId="0" xfId="0" applyFont="1" applyFill="1" applyBorder="1" applyAlignment="1">
      <alignment horizontal="center"/>
    </xf>
    <xf numFmtId="180" fontId="5" fillId="0" borderId="0" xfId="52" applyNumberFormat="1" applyFont="1" applyFill="1" applyBorder="1"/>
    <xf numFmtId="4" fontId="5" fillId="0" borderId="0" xfId="52" applyNumberFormat="1" applyFont="1" applyFill="1" applyBorder="1" applyAlignment="1">
      <alignment horizontal="center"/>
    </xf>
    <xf numFmtId="179" fontId="10" fillId="0" borderId="0" xfId="52" applyNumberFormat="1" applyFont="1" applyFill="1" applyBorder="1" applyAlignment="1">
      <alignment horizontal="center"/>
    </xf>
    <xf numFmtId="2" fontId="5" fillId="0" borderId="0" xfId="70" applyNumberFormat="1" applyFont="1" applyFill="1" applyBorder="1"/>
    <xf numFmtId="179" fontId="5" fillId="0" borderId="0" xfId="70" applyNumberFormat="1" applyFont="1" applyFill="1" applyBorder="1" applyAlignment="1">
      <alignment horizontal="center"/>
    </xf>
    <xf numFmtId="38" fontId="5" fillId="0" borderId="0" xfId="70" applyNumberFormat="1" applyFont="1" applyFill="1" applyBorder="1"/>
    <xf numFmtId="8" fontId="5" fillId="0" borderId="0" xfId="52" applyNumberFormat="1" applyFont="1" applyFill="1" applyBorder="1" applyAlignment="1">
      <alignment horizontal="center"/>
    </xf>
    <xf numFmtId="179" fontId="64" fillId="0" borderId="0" xfId="70" applyNumberFormat="1" applyFont="1" applyFill="1" applyBorder="1" applyAlignment="1">
      <alignment horizontal="center"/>
    </xf>
    <xf numFmtId="177" fontId="64" fillId="0" borderId="0" xfId="70" applyNumberFormat="1" applyFont="1" applyFill="1" applyBorder="1" applyAlignment="1">
      <alignment horizontal="center"/>
    </xf>
    <xf numFmtId="1" fontId="64" fillId="0" borderId="0" xfId="70" applyNumberFormat="1" applyFont="1" applyFill="1" applyBorder="1" applyAlignment="1">
      <alignment horizontal="center"/>
    </xf>
    <xf numFmtId="165" fontId="5" fillId="0" borderId="0" xfId="70" applyNumberFormat="1" applyFont="1" applyFill="1" applyBorder="1" applyAlignment="1">
      <alignment horizontal="center"/>
    </xf>
    <xf numFmtId="181" fontId="5" fillId="0" borderId="0" xfId="70" applyNumberFormat="1" applyFont="1" applyFill="1" applyBorder="1" applyAlignment="1">
      <alignment horizontal="center"/>
    </xf>
    <xf numFmtId="180" fontId="4" fillId="0" borderId="0" xfId="70" applyNumberFormat="1" applyFont="1" applyFill="1" applyBorder="1" applyAlignment="1">
      <alignment horizontal="center"/>
    </xf>
    <xf numFmtId="38" fontId="4" fillId="0" borderId="0" xfId="70" applyNumberFormat="1" applyFont="1" applyFill="1" applyBorder="1" applyAlignment="1">
      <alignment horizontal="center"/>
    </xf>
    <xf numFmtId="40" fontId="4" fillId="0" borderId="0" xfId="70" applyNumberFormat="1" applyFont="1" applyFill="1" applyBorder="1" applyAlignment="1">
      <alignment horizontal="center"/>
    </xf>
    <xf numFmtId="38" fontId="5" fillId="0" borderId="0" xfId="52" applyNumberFormat="1" applyFont="1" applyFill="1" applyBorder="1" applyAlignment="1">
      <alignment horizontal="center"/>
    </xf>
    <xf numFmtId="183" fontId="5" fillId="0" borderId="0" xfId="52" applyNumberFormat="1" applyFont="1" applyFill="1" applyBorder="1" applyAlignment="1">
      <alignment horizontal="center"/>
    </xf>
    <xf numFmtId="177" fontId="5" fillId="0" borderId="0" xfId="70" applyNumberFormat="1" applyFont="1" applyFill="1" applyBorder="1"/>
    <xf numFmtId="182" fontId="5" fillId="0" borderId="0" xfId="52" applyNumberFormat="1" applyFont="1" applyFill="1" applyBorder="1" applyAlignment="1">
      <alignment horizontal="center"/>
    </xf>
    <xf numFmtId="38" fontId="4" fillId="0" borderId="0" xfId="72" applyNumberFormat="1" applyFont="1" applyFill="1" applyBorder="1"/>
    <xf numFmtId="4" fontId="4" fillId="0" borderId="0" xfId="72" applyNumberFormat="1" applyFont="1" applyFill="1" applyBorder="1" applyAlignment="1">
      <alignment horizontal="center"/>
    </xf>
    <xf numFmtId="184" fontId="5" fillId="0" borderId="0" xfId="0" applyNumberFormat="1" applyFont="1" applyFill="1" applyBorder="1"/>
    <xf numFmtId="7" fontId="5" fillId="0" borderId="0" xfId="0" applyNumberFormat="1" applyFont="1" applyFill="1" applyBorder="1" applyAlignment="1"/>
    <xf numFmtId="0" fontId="5" fillId="0" borderId="17" xfId="70" applyFont="1" applyFill="1" applyBorder="1"/>
    <xf numFmtId="165" fontId="5" fillId="0" borderId="12" xfId="70" applyNumberFormat="1" applyFont="1" applyFill="1" applyBorder="1" applyAlignment="1">
      <alignment horizontal="right"/>
    </xf>
    <xf numFmtId="165" fontId="4" fillId="0" borderId="12" xfId="70" applyNumberFormat="1" applyFont="1" applyFill="1" applyBorder="1" applyAlignment="1">
      <alignment horizontal="center"/>
    </xf>
    <xf numFmtId="165" fontId="4" fillId="0" borderId="18" xfId="70" applyNumberFormat="1" applyFont="1" applyFill="1" applyBorder="1" applyAlignment="1">
      <alignment horizontal="center"/>
    </xf>
    <xf numFmtId="177" fontId="5" fillId="0" borderId="15" xfId="52" applyNumberFormat="1" applyFont="1" applyFill="1" applyBorder="1"/>
    <xf numFmtId="179" fontId="5" fillId="0" borderId="19" xfId="52" applyNumberFormat="1" applyFont="1" applyFill="1" applyBorder="1" applyAlignment="1">
      <alignment horizontal="center"/>
    </xf>
    <xf numFmtId="178" fontId="5" fillId="0" borderId="19" xfId="52" applyNumberFormat="1" applyFont="1" applyFill="1" applyBorder="1" applyAlignment="1">
      <alignment horizontal="center"/>
    </xf>
    <xf numFmtId="0" fontId="5" fillId="0" borderId="15" xfId="70" applyFont="1" applyFill="1" applyBorder="1"/>
    <xf numFmtId="167" fontId="5" fillId="0" borderId="19" xfId="70" applyNumberFormat="1" applyFont="1" applyFill="1" applyBorder="1" applyAlignment="1">
      <alignment horizontal="center"/>
    </xf>
    <xf numFmtId="0" fontId="5" fillId="0" borderId="19" xfId="0" applyFont="1" applyFill="1" applyBorder="1" applyAlignment="1">
      <alignment horizontal="center"/>
    </xf>
    <xf numFmtId="179" fontId="5" fillId="0" borderId="19" xfId="70" applyNumberFormat="1" applyFont="1" applyFill="1" applyBorder="1" applyAlignment="1">
      <alignment horizontal="center"/>
    </xf>
    <xf numFmtId="8" fontId="5" fillId="0" borderId="19" xfId="70" applyNumberFormat="1" applyFont="1" applyFill="1" applyBorder="1" applyAlignment="1">
      <alignment horizontal="center"/>
    </xf>
    <xf numFmtId="181" fontId="5" fillId="0" borderId="19" xfId="70" applyNumberFormat="1" applyFont="1" applyFill="1" applyBorder="1" applyAlignment="1">
      <alignment horizontal="center"/>
    </xf>
    <xf numFmtId="40" fontId="4" fillId="0" borderId="19" xfId="70" applyNumberFormat="1" applyFont="1" applyFill="1" applyBorder="1" applyAlignment="1">
      <alignment horizontal="center"/>
    </xf>
    <xf numFmtId="182" fontId="5" fillId="0" borderId="19" xfId="52" applyNumberFormat="1" applyFont="1" applyFill="1" applyBorder="1" applyAlignment="1">
      <alignment horizontal="center"/>
    </xf>
    <xf numFmtId="0" fontId="5" fillId="0" borderId="15" xfId="73" applyFont="1" applyFill="1" applyBorder="1"/>
    <xf numFmtId="4" fontId="4" fillId="0" borderId="19" xfId="72" applyNumberFormat="1" applyFont="1" applyFill="1" applyBorder="1" applyAlignment="1">
      <alignment horizontal="center"/>
    </xf>
    <xf numFmtId="0" fontId="5" fillId="0" borderId="20" xfId="72" applyFont="1" applyFill="1" applyBorder="1" applyAlignment="1">
      <alignment horizontal="center"/>
    </xf>
    <xf numFmtId="167" fontId="36"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187" fontId="23" fillId="0" borderId="4" xfId="0" applyNumberFormat="1" applyFont="1" applyFill="1" applyBorder="1" applyAlignment="1">
      <alignment horizontal="center"/>
    </xf>
    <xf numFmtId="183" fontId="2" fillId="0" borderId="0" xfId="0" applyNumberFormat="1" applyFont="1" applyFill="1" applyBorder="1" applyAlignment="1">
      <alignment horizontal="center"/>
    </xf>
    <xf numFmtId="0" fontId="5" fillId="0" borderId="0" xfId="0" applyFont="1" applyFill="1" applyBorder="1" applyAlignment="1">
      <alignment horizontal="left" indent="1"/>
    </xf>
    <xf numFmtId="0" fontId="5" fillId="0" borderId="0" xfId="0" applyFont="1" applyBorder="1" applyAlignment="1">
      <alignment horizontal="center"/>
    </xf>
    <xf numFmtId="0" fontId="2" fillId="0" borderId="0" xfId="0" applyFont="1" applyBorder="1" applyAlignment="1">
      <alignment horizontal="left"/>
    </xf>
    <xf numFmtId="0" fontId="5" fillId="0" borderId="0" xfId="0" applyFont="1" applyBorder="1" applyAlignment="1">
      <alignment horizontal="left"/>
    </xf>
    <xf numFmtId="0" fontId="5" fillId="0" borderId="0" xfId="0" applyFont="1" applyBorder="1" applyAlignment="1">
      <alignment horizontal="left" indent="1"/>
    </xf>
    <xf numFmtId="0" fontId="4" fillId="0" borderId="0" xfId="0" applyFont="1" applyBorder="1" applyAlignment="1">
      <alignment horizontal="left" indent="1"/>
    </xf>
    <xf numFmtId="9" fontId="5" fillId="0" borderId="0" xfId="77" applyFont="1" applyBorder="1" applyAlignment="1">
      <alignment horizontal="center"/>
    </xf>
    <xf numFmtId="0" fontId="4" fillId="17" borderId="14" xfId="0" applyFont="1" applyFill="1" applyBorder="1" applyAlignment="1">
      <alignment horizontal="left"/>
    </xf>
    <xf numFmtId="0" fontId="0" fillId="15" borderId="14" xfId="0" applyFill="1" applyBorder="1" applyAlignment="1">
      <alignment horizontal="center"/>
    </xf>
    <xf numFmtId="5" fontId="0" fillId="15" borderId="22" xfId="52" applyNumberFormat="1" applyFont="1" applyFill="1" applyBorder="1" applyAlignment="1">
      <alignment horizontal="center"/>
    </xf>
    <xf numFmtId="0" fontId="5" fillId="0" borderId="0" xfId="0" applyFont="1" applyBorder="1" applyAlignment="1">
      <alignment horizontal="left" indent="2"/>
    </xf>
    <xf numFmtId="174" fontId="0" fillId="0" borderId="0" xfId="0" applyNumberFormat="1" applyFill="1" applyAlignment="1">
      <alignment horizontal="center"/>
    </xf>
    <xf numFmtId="0" fontId="65" fillId="0" borderId="0" xfId="0" applyFont="1" applyFill="1" applyBorder="1"/>
    <xf numFmtId="5" fontId="0" fillId="0" borderId="0" xfId="0" applyNumberFormat="1" applyFill="1" applyBorder="1" applyAlignment="1">
      <alignment horizontal="center"/>
    </xf>
    <xf numFmtId="5" fontId="2" fillId="0" borderId="0" xfId="0" applyNumberFormat="1" applyFont="1" applyFill="1" applyBorder="1" applyAlignment="1">
      <alignment horizontal="center"/>
    </xf>
    <xf numFmtId="5" fontId="0" fillId="0" borderId="0" xfId="0" applyNumberFormat="1" applyFill="1" applyAlignment="1">
      <alignment horizontal="center"/>
    </xf>
    <xf numFmtId="171" fontId="5" fillId="0" borderId="0" xfId="0" applyNumberFormat="1" applyFont="1" applyFill="1" applyAlignment="1">
      <alignment horizontal="center"/>
    </xf>
    <xf numFmtId="0" fontId="40" fillId="0" borderId="0" xfId="0" applyFont="1" applyFill="1" applyBorder="1"/>
    <xf numFmtId="0" fontId="9" fillId="16" borderId="12" xfId="0" applyFont="1" applyFill="1" applyBorder="1"/>
    <xf numFmtId="0" fontId="0" fillId="16" borderId="12" xfId="0" applyFill="1" applyBorder="1"/>
    <xf numFmtId="0" fontId="0" fillId="16" borderId="3" xfId="0" applyFill="1" applyBorder="1"/>
    <xf numFmtId="0" fontId="4" fillId="0" borderId="12" xfId="0" applyFont="1" applyFill="1" applyBorder="1"/>
    <xf numFmtId="0" fontId="40" fillId="0" borderId="12" xfId="0" applyFont="1" applyFill="1" applyBorder="1"/>
    <xf numFmtId="165" fontId="4" fillId="0" borderId="12" xfId="0" applyNumberFormat="1" applyFont="1" applyFill="1" applyBorder="1" applyAlignment="1">
      <alignment horizontal="center"/>
    </xf>
    <xf numFmtId="0" fontId="65" fillId="0" borderId="3" xfId="0" applyFont="1" applyFill="1" applyBorder="1"/>
    <xf numFmtId="0" fontId="40" fillId="0" borderId="3" xfId="0" applyFont="1" applyFill="1" applyBorder="1"/>
    <xf numFmtId="0" fontId="4" fillId="0" borderId="3" xfId="0" applyFont="1" applyFill="1" applyBorder="1" applyAlignment="1">
      <alignment horizontal="center"/>
    </xf>
    <xf numFmtId="5" fontId="66" fillId="0" borderId="0" xfId="0" applyNumberFormat="1" applyFont="1" applyBorder="1" applyAlignment="1">
      <alignment horizontal="left"/>
    </xf>
    <xf numFmtId="39" fontId="5" fillId="0" borderId="0" xfId="0" applyNumberFormat="1" applyFont="1" applyFill="1" applyAlignment="1">
      <alignment horizontal="center"/>
    </xf>
    <xf numFmtId="0" fontId="65" fillId="16" borderId="0" xfId="0" applyFont="1" applyFill="1" applyBorder="1"/>
    <xf numFmtId="171" fontId="5" fillId="0" borderId="0" xfId="0" applyNumberFormat="1" applyFont="1" applyBorder="1" applyAlignment="1">
      <alignment horizontal="center"/>
    </xf>
    <xf numFmtId="171" fontId="5" fillId="0" borderId="0" xfId="82" applyNumberFormat="1" applyFont="1" applyFill="1" applyBorder="1" applyAlignment="1">
      <alignment horizontal="right"/>
    </xf>
    <xf numFmtId="10" fontId="5" fillId="0" borderId="0" xfId="82" applyNumberFormat="1" applyFont="1" applyFill="1" applyBorder="1" applyAlignment="1">
      <alignment horizontal="center"/>
    </xf>
    <xf numFmtId="10" fontId="10" fillId="0" borderId="0" xfId="52" applyNumberFormat="1" applyFont="1" applyFill="1" applyBorder="1" applyAlignment="1">
      <alignment horizontal="center"/>
    </xf>
    <xf numFmtId="10" fontId="10" fillId="0" borderId="19" xfId="52" applyNumberFormat="1" applyFont="1" applyFill="1" applyBorder="1" applyAlignment="1">
      <alignment horizontal="center"/>
    </xf>
    <xf numFmtId="9" fontId="5" fillId="0" borderId="0" xfId="81" applyFont="1" applyFill="1" applyBorder="1" applyAlignment="1">
      <alignment horizontal="right"/>
    </xf>
    <xf numFmtId="10" fontId="5" fillId="0" borderId="0" xfId="81" applyNumberFormat="1" applyFont="1" applyFill="1" applyBorder="1" applyAlignment="1">
      <alignment horizontal="center"/>
    </xf>
    <xf numFmtId="171" fontId="5" fillId="0" borderId="0" xfId="82" applyNumberFormat="1" applyFont="1" applyFill="1" applyBorder="1" applyAlignment="1">
      <alignment horizontal="center"/>
    </xf>
    <xf numFmtId="171" fontId="5" fillId="0" borderId="19" xfId="82" applyNumberFormat="1" applyFont="1" applyFill="1" applyBorder="1" applyAlignment="1">
      <alignment horizontal="center"/>
    </xf>
    <xf numFmtId="171" fontId="5" fillId="0" borderId="0" xfId="81" applyNumberFormat="1" applyFont="1" applyFill="1" applyBorder="1" applyAlignment="1">
      <alignment horizontal="center"/>
    </xf>
    <xf numFmtId="9" fontId="10" fillId="0" borderId="21" xfId="52" applyNumberFormat="1" applyFont="1" applyFill="1" applyBorder="1" applyAlignment="1">
      <alignment horizontal="center"/>
    </xf>
    <xf numFmtId="165" fontId="69" fillId="0" borderId="0" xfId="0" applyNumberFormat="1" applyFont="1" applyFill="1" applyBorder="1" applyAlignment="1">
      <alignment horizontal="center"/>
    </xf>
    <xf numFmtId="174" fontId="10" fillId="0" borderId="0" xfId="0" applyNumberFormat="1" applyFont="1" applyFill="1" applyAlignment="1">
      <alignment horizontal="center"/>
    </xf>
    <xf numFmtId="7" fontId="0" fillId="0" borderId="0" xfId="0" applyNumberFormat="1" applyFill="1"/>
    <xf numFmtId="0" fontId="11" fillId="0" borderId="0" xfId="0" applyFont="1" applyFill="1"/>
    <xf numFmtId="6" fontId="2" fillId="0" borderId="18" xfId="0" applyNumberFormat="1" applyFont="1" applyFill="1" applyBorder="1" applyAlignment="1">
      <alignment horizontal="center"/>
    </xf>
    <xf numFmtId="0" fontId="0" fillId="0" borderId="16" xfId="0" applyFill="1" applyBorder="1"/>
    <xf numFmtId="0" fontId="9" fillId="0" borderId="3" xfId="0" applyFont="1" applyFill="1" applyBorder="1"/>
    <xf numFmtId="0" fontId="0" fillId="0" borderId="20" xfId="0" applyFill="1" applyBorder="1" applyAlignment="1">
      <alignment horizontal="center"/>
    </xf>
    <xf numFmtId="0" fontId="35" fillId="0" borderId="0" xfId="0" applyNumberFormat="1" applyFont="1" applyFill="1" applyAlignment="1">
      <alignment horizontal="center"/>
    </xf>
    <xf numFmtId="0" fontId="10" fillId="0" borderId="0" xfId="0" applyFont="1" applyFill="1" applyAlignment="1">
      <alignment horizontal="center"/>
    </xf>
    <xf numFmtId="174" fontId="0" fillId="0" borderId="0" xfId="0" applyNumberFormat="1" applyFill="1"/>
    <xf numFmtId="2" fontId="5" fillId="0" borderId="0" xfId="0" applyNumberFormat="1" applyFont="1" applyFill="1" applyAlignment="1">
      <alignment horizontal="center"/>
    </xf>
    <xf numFmtId="169" fontId="5" fillId="0" borderId="0" xfId="0" applyNumberFormat="1" applyFont="1" applyFill="1" applyAlignment="1">
      <alignment horizontal="center"/>
    </xf>
    <xf numFmtId="174" fontId="2" fillId="0" borderId="0" xfId="0" applyNumberFormat="1" applyFont="1" applyFill="1" applyAlignment="1">
      <alignment horizontal="center"/>
    </xf>
    <xf numFmtId="7" fontId="42" fillId="0" borderId="0" xfId="0" applyNumberFormat="1" applyFont="1" applyFill="1" applyBorder="1" applyAlignment="1">
      <alignment horizontal="center"/>
    </xf>
    <xf numFmtId="173" fontId="4" fillId="0" borderId="0" xfId="0" applyNumberFormat="1" applyFont="1" applyFill="1" applyBorder="1" applyAlignment="1">
      <alignment horizontal="center"/>
    </xf>
    <xf numFmtId="7" fontId="41" fillId="0" borderId="0" xfId="0" applyNumberFormat="1" applyFont="1" applyFill="1" applyBorder="1" applyAlignment="1">
      <alignment horizontal="center"/>
    </xf>
    <xf numFmtId="173" fontId="41" fillId="0" borderId="0" xfId="0" applyNumberFormat="1" applyFont="1" applyFill="1" applyBorder="1" applyAlignment="1">
      <alignment horizontal="center"/>
    </xf>
    <xf numFmtId="9" fontId="12" fillId="0" borderId="12" xfId="0" applyNumberFormat="1" applyFont="1" applyFill="1" applyBorder="1"/>
    <xf numFmtId="173" fontId="0" fillId="0" borderId="0" xfId="0" applyNumberFormat="1" applyFill="1" applyBorder="1"/>
    <xf numFmtId="187" fontId="0" fillId="0" borderId="0" xfId="0" applyNumberFormat="1" applyFill="1" applyBorder="1"/>
    <xf numFmtId="173" fontId="2" fillId="0" borderId="0" xfId="0" applyNumberFormat="1" applyFont="1" applyFill="1" applyBorder="1"/>
    <xf numFmtId="7" fontId="0" fillId="0" borderId="0" xfId="0" applyNumberFormat="1" applyFill="1" applyBorder="1"/>
    <xf numFmtId="0" fontId="4" fillId="0" borderId="3" xfId="0" applyFont="1" applyFill="1" applyBorder="1"/>
    <xf numFmtId="39" fontId="0" fillId="0" borderId="3" xfId="0" applyNumberFormat="1" applyFill="1" applyBorder="1"/>
    <xf numFmtId="8" fontId="0" fillId="0" borderId="0" xfId="0" applyNumberFormat="1" applyFill="1"/>
    <xf numFmtId="39" fontId="0" fillId="0" borderId="12" xfId="0" applyNumberFormat="1" applyFill="1" applyBorder="1"/>
    <xf numFmtId="39" fontId="0" fillId="0" borderId="12" xfId="0" applyNumberFormat="1" applyFill="1" applyBorder="1" applyAlignment="1">
      <alignment horizontal="center"/>
    </xf>
    <xf numFmtId="9" fontId="9" fillId="0" borderId="0" xfId="0" applyNumberFormat="1" applyFont="1" applyFill="1" applyBorder="1"/>
    <xf numFmtId="2" fontId="0" fillId="0" borderId="3" xfId="0" applyNumberFormat="1" applyFill="1" applyBorder="1"/>
    <xf numFmtId="2" fontId="0" fillId="0" borderId="3" xfId="0" applyNumberFormat="1" applyFill="1" applyBorder="1" applyAlignment="1">
      <alignment horizontal="center"/>
    </xf>
    <xf numFmtId="2" fontId="0" fillId="0" borderId="0" xfId="0" applyNumberFormat="1" applyFill="1" applyBorder="1"/>
    <xf numFmtId="2" fontId="0" fillId="0" borderId="0" xfId="0" applyNumberFormat="1" applyFill="1" applyBorder="1" applyAlignment="1">
      <alignment horizontal="center"/>
    </xf>
    <xf numFmtId="2" fontId="16" fillId="0" borderId="0" xfId="0" applyNumberFormat="1" applyFont="1" applyFill="1" applyBorder="1" applyAlignment="1">
      <alignment horizontal="center"/>
    </xf>
    <xf numFmtId="4" fontId="0" fillId="0" borderId="0" xfId="0" applyNumberFormat="1" applyFill="1"/>
    <xf numFmtId="9" fontId="0" fillId="0" borderId="0" xfId="0" applyNumberFormat="1" applyFill="1" applyBorder="1" applyAlignment="1">
      <alignment horizontal="center"/>
    </xf>
    <xf numFmtId="165" fontId="0" fillId="0" borderId="0" xfId="0" applyNumberFormat="1" applyFill="1" applyAlignment="1">
      <alignment horizontal="center"/>
    </xf>
    <xf numFmtId="167" fontId="0" fillId="0" borderId="0" xfId="0" applyNumberFormat="1" applyFill="1" applyAlignment="1">
      <alignment horizontal="center"/>
    </xf>
    <xf numFmtId="3" fontId="4" fillId="0" borderId="0" xfId="0" applyNumberFormat="1" applyFont="1" applyFill="1" applyBorder="1" applyAlignment="1">
      <alignment horizontal="center"/>
    </xf>
    <xf numFmtId="0" fontId="38" fillId="0" borderId="12" xfId="0" applyFont="1" applyFill="1" applyBorder="1"/>
    <xf numFmtId="0" fontId="38" fillId="0" borderId="12" xfId="0" applyFont="1" applyFill="1" applyBorder="1" applyAlignment="1">
      <alignment horizontal="center"/>
    </xf>
    <xf numFmtId="2" fontId="38" fillId="0" borderId="12" xfId="0" applyNumberFormat="1" applyFont="1" applyFill="1" applyBorder="1" applyAlignment="1">
      <alignment horizontal="center"/>
    </xf>
    <xf numFmtId="165" fontId="41" fillId="0" borderId="0" xfId="0" applyNumberFormat="1" applyFont="1" applyFill="1" applyBorder="1" applyAlignment="1">
      <alignment horizontal="center"/>
    </xf>
    <xf numFmtId="0" fontId="38" fillId="0" borderId="0" xfId="0" applyFont="1" applyFill="1" applyBorder="1"/>
    <xf numFmtId="9" fontId="0" fillId="0" borderId="0" xfId="77" applyFont="1" applyFill="1"/>
    <xf numFmtId="167" fontId="2" fillId="20" borderId="0" xfId="0" applyNumberFormat="1" applyFont="1" applyFill="1" applyBorder="1" applyAlignment="1">
      <alignment horizontal="center"/>
    </xf>
    <xf numFmtId="0" fontId="2" fillId="20" borderId="0" xfId="0" applyFont="1" applyFill="1" applyAlignment="1">
      <alignment horizontal="center"/>
    </xf>
    <xf numFmtId="171" fontId="35" fillId="20" borderId="0" xfId="0" applyNumberFormat="1" applyFont="1" applyFill="1" applyAlignment="1">
      <alignment horizontal="center"/>
    </xf>
    <xf numFmtId="2" fontId="78" fillId="20" borderId="0" xfId="0" applyNumberFormat="1" applyFont="1" applyFill="1" applyAlignment="1">
      <alignment horizontal="center"/>
    </xf>
    <xf numFmtId="2" fontId="2" fillId="20" borderId="0" xfId="0" applyNumberFormat="1" applyFont="1" applyFill="1" applyAlignment="1">
      <alignment horizontal="center"/>
    </xf>
    <xf numFmtId="7" fontId="2" fillId="20" borderId="0" xfId="0" applyNumberFormat="1" applyFont="1" applyFill="1" applyAlignment="1">
      <alignment horizontal="center"/>
    </xf>
    <xf numFmtId="39" fontId="78" fillId="20" borderId="0" xfId="0" applyNumberFormat="1" applyFont="1" applyFill="1" applyAlignment="1">
      <alignment horizontal="center"/>
    </xf>
    <xf numFmtId="39" fontId="10" fillId="20" borderId="0" xfId="0" applyNumberFormat="1" applyFont="1" applyFill="1" applyAlignment="1">
      <alignment horizontal="center"/>
    </xf>
    <xf numFmtId="187" fontId="2" fillId="20" borderId="0" xfId="0" applyNumberFormat="1" applyFont="1" applyFill="1" applyAlignment="1">
      <alignment horizontal="center"/>
    </xf>
    <xf numFmtId="9" fontId="2" fillId="20" borderId="0" xfId="0" applyNumberFormat="1" applyFont="1" applyFill="1" applyAlignment="1">
      <alignment horizontal="center"/>
    </xf>
    <xf numFmtId="7" fontId="2" fillId="20" borderId="0" xfId="0" applyNumberFormat="1" applyFont="1" applyFill="1" applyBorder="1" applyAlignment="1">
      <alignment horizontal="center"/>
    </xf>
    <xf numFmtId="39" fontId="2" fillId="20" borderId="0" xfId="0" applyNumberFormat="1" applyFont="1" applyFill="1" applyAlignment="1">
      <alignment horizontal="center"/>
    </xf>
    <xf numFmtId="173" fontId="2" fillId="20" borderId="0" xfId="0" applyNumberFormat="1" applyFont="1" applyFill="1" applyAlignment="1">
      <alignment horizontal="center"/>
    </xf>
    <xf numFmtId="7" fontId="36" fillId="20" borderId="0" xfId="0" applyNumberFormat="1" applyFont="1" applyFill="1" applyBorder="1" applyAlignment="1">
      <alignment horizontal="center"/>
    </xf>
    <xf numFmtId="171" fontId="5" fillId="20" borderId="0" xfId="0" applyNumberFormat="1" applyFont="1" applyFill="1" applyAlignment="1">
      <alignment horizontal="center"/>
    </xf>
    <xf numFmtId="4" fontId="78" fillId="20" borderId="0" xfId="0" applyNumberFormat="1" applyFont="1" applyFill="1" applyAlignment="1">
      <alignment horizontal="center"/>
    </xf>
    <xf numFmtId="5" fontId="2" fillId="20" borderId="0" xfId="0" applyNumberFormat="1" applyFont="1" applyFill="1" applyAlignment="1">
      <alignment horizontal="center"/>
    </xf>
    <xf numFmtId="7" fontId="4" fillId="20" borderId="4" xfId="0" applyNumberFormat="1" applyFont="1" applyFill="1" applyBorder="1" applyAlignment="1">
      <alignment horizontal="center"/>
    </xf>
    <xf numFmtId="0" fontId="2" fillId="20" borderId="0" xfId="0" applyFont="1" applyFill="1"/>
    <xf numFmtId="5" fontId="0" fillId="20" borderId="0" xfId="0" applyNumberFormat="1" applyFill="1" applyBorder="1" applyAlignment="1">
      <alignment horizontal="center"/>
    </xf>
    <xf numFmtId="7" fontId="0" fillId="20" borderId="0" xfId="0" applyNumberFormat="1" applyFill="1" applyBorder="1" applyAlignment="1">
      <alignment horizontal="center"/>
    </xf>
    <xf numFmtId="169" fontId="2" fillId="20" borderId="0" xfId="0" applyNumberFormat="1" applyFont="1" applyFill="1" applyAlignment="1">
      <alignment horizontal="center"/>
    </xf>
    <xf numFmtId="4" fontId="2" fillId="20" borderId="0" xfId="0" applyNumberFormat="1" applyFont="1" applyFill="1" applyAlignment="1">
      <alignment horizontal="center"/>
    </xf>
    <xf numFmtId="1" fontId="78" fillId="20" borderId="0" xfId="0" applyNumberFormat="1" applyFont="1" applyFill="1" applyAlignment="1">
      <alignment horizontal="center"/>
    </xf>
    <xf numFmtId="187" fontId="78" fillId="20" borderId="0" xfId="0" applyNumberFormat="1" applyFont="1" applyFill="1" applyAlignment="1">
      <alignment horizontal="center"/>
    </xf>
    <xf numFmtId="169" fontId="78" fillId="20" borderId="0" xfId="0" applyNumberFormat="1" applyFont="1" applyFill="1" applyAlignment="1">
      <alignment horizontal="center"/>
    </xf>
    <xf numFmtId="167" fontId="5" fillId="20" borderId="0" xfId="0" applyNumberFormat="1" applyFont="1" applyFill="1" applyBorder="1" applyAlignment="1">
      <alignment horizontal="center"/>
    </xf>
    <xf numFmtId="0" fontId="5" fillId="20" borderId="0" xfId="0" applyFont="1" applyFill="1" applyAlignment="1">
      <alignment horizontal="center"/>
    </xf>
    <xf numFmtId="171" fontId="9" fillId="20" borderId="0" xfId="0" applyNumberFormat="1" applyFont="1" applyFill="1" applyAlignment="1">
      <alignment horizontal="center"/>
    </xf>
    <xf numFmtId="169" fontId="5" fillId="20" borderId="0" xfId="0" applyNumberFormat="1" applyFont="1" applyFill="1" applyAlignment="1">
      <alignment horizontal="center"/>
    </xf>
    <xf numFmtId="7" fontId="5" fillId="20" borderId="0" xfId="0" applyNumberFormat="1" applyFont="1" applyFill="1" applyAlignment="1">
      <alignment horizontal="center"/>
    </xf>
    <xf numFmtId="187" fontId="5" fillId="20" borderId="0" xfId="0" applyNumberFormat="1" applyFont="1" applyFill="1" applyAlignment="1">
      <alignment horizontal="center"/>
    </xf>
    <xf numFmtId="39" fontId="5" fillId="20" borderId="0" xfId="0" applyNumberFormat="1" applyFont="1" applyFill="1" applyAlignment="1">
      <alignment horizontal="center"/>
    </xf>
    <xf numFmtId="9" fontId="5" fillId="20" borderId="0" xfId="0" applyNumberFormat="1" applyFont="1" applyFill="1" applyAlignment="1">
      <alignment horizontal="center"/>
    </xf>
    <xf numFmtId="7" fontId="5" fillId="20" borderId="0" xfId="0" applyNumberFormat="1" applyFont="1" applyFill="1" applyBorder="1" applyAlignment="1">
      <alignment horizontal="center"/>
    </xf>
    <xf numFmtId="173" fontId="5" fillId="20" borderId="0" xfId="0" applyNumberFormat="1" applyFont="1" applyFill="1" applyAlignment="1">
      <alignment horizontal="center"/>
    </xf>
    <xf numFmtId="4" fontId="5" fillId="20" borderId="0" xfId="0" applyNumberFormat="1" applyFont="1" applyFill="1" applyAlignment="1">
      <alignment horizontal="center"/>
    </xf>
    <xf numFmtId="5" fontId="5" fillId="20" borderId="0" xfId="0" applyNumberFormat="1" applyFont="1" applyFill="1" applyAlignment="1">
      <alignment horizontal="center"/>
    </xf>
    <xf numFmtId="0" fontId="5" fillId="20" borderId="0" xfId="0" applyFont="1" applyFill="1"/>
    <xf numFmtId="5" fontId="5" fillId="20" borderId="0" xfId="0" applyNumberFormat="1" applyFont="1" applyFill="1" applyBorder="1" applyAlignment="1">
      <alignment horizontal="center"/>
    </xf>
    <xf numFmtId="2" fontId="78" fillId="0" borderId="0" xfId="0" applyNumberFormat="1" applyFont="1" applyFill="1" applyAlignment="1">
      <alignment horizontal="center"/>
    </xf>
    <xf numFmtId="9" fontId="79" fillId="0" borderId="0" xfId="0" applyNumberFormat="1" applyFont="1" applyFill="1" applyBorder="1" applyAlignment="1">
      <alignment horizontal="center"/>
    </xf>
    <xf numFmtId="9" fontId="79" fillId="0" borderId="3" xfId="0" applyNumberFormat="1" applyFont="1" applyFill="1" applyBorder="1" applyAlignment="1">
      <alignment horizontal="center"/>
    </xf>
    <xf numFmtId="9" fontId="80" fillId="0" borderId="0" xfId="0" applyNumberFormat="1" applyFont="1" applyFill="1" applyBorder="1" applyAlignment="1">
      <alignment horizontal="center"/>
    </xf>
    <xf numFmtId="9" fontId="78" fillId="0" borderId="0" xfId="0" applyNumberFormat="1" applyFont="1" applyFill="1" applyBorder="1" applyAlignment="1">
      <alignment horizontal="center"/>
    </xf>
    <xf numFmtId="9" fontId="78" fillId="0" borderId="3" xfId="0" applyNumberFormat="1" applyFont="1" applyFill="1" applyBorder="1" applyAlignment="1">
      <alignment horizontal="center"/>
    </xf>
    <xf numFmtId="9" fontId="9" fillId="0" borderId="12" xfId="0" applyNumberFormat="1" applyFont="1" applyFill="1" applyBorder="1"/>
    <xf numFmtId="9" fontId="81" fillId="0" borderId="12" xfId="0" applyNumberFormat="1" applyFont="1" applyFill="1" applyBorder="1"/>
    <xf numFmtId="9" fontId="79" fillId="0" borderId="0" xfId="77" applyFont="1" applyFill="1" applyBorder="1" applyAlignment="1">
      <alignment horizontal="center"/>
    </xf>
    <xf numFmtId="171" fontId="5" fillId="0" borderId="0" xfId="77" applyNumberFormat="1" applyFont="1" applyFill="1" applyBorder="1" applyAlignment="1">
      <alignment horizontal="center"/>
    </xf>
    <xf numFmtId="4" fontId="80" fillId="0" borderId="0" xfId="0" applyNumberFormat="1" applyFont="1" applyFill="1" applyAlignment="1">
      <alignment horizontal="center"/>
    </xf>
    <xf numFmtId="169" fontId="78" fillId="0" borderId="0" xfId="0" applyNumberFormat="1" applyFont="1" applyFill="1" applyAlignment="1">
      <alignment horizontal="center"/>
    </xf>
    <xf numFmtId="186" fontId="5" fillId="0" borderId="0" xfId="0" applyNumberFormat="1" applyFont="1" applyFill="1" applyAlignment="1">
      <alignment horizontal="center"/>
    </xf>
    <xf numFmtId="187" fontId="78" fillId="0" borderId="0" xfId="0" applyNumberFormat="1" applyFont="1" applyAlignment="1">
      <alignment horizontal="center"/>
    </xf>
    <xf numFmtId="187" fontId="78" fillId="0" borderId="0" xfId="0" applyNumberFormat="1" applyFont="1" applyFill="1" applyAlignment="1">
      <alignment horizontal="center"/>
    </xf>
    <xf numFmtId="165" fontId="83" fillId="0" borderId="12" xfId="70" applyNumberFormat="1" applyFont="1" applyFill="1" applyBorder="1" applyAlignment="1">
      <alignment horizontal="center"/>
    </xf>
    <xf numFmtId="178" fontId="78" fillId="0" borderId="0" xfId="52" applyNumberFormat="1" applyFont="1" applyFill="1" applyBorder="1" applyAlignment="1">
      <alignment horizontal="center"/>
    </xf>
    <xf numFmtId="167" fontId="78" fillId="0" borderId="0" xfId="70" applyNumberFormat="1" applyFont="1" applyFill="1" applyBorder="1" applyAlignment="1">
      <alignment horizontal="center"/>
    </xf>
    <xf numFmtId="169" fontId="78" fillId="0" borderId="0" xfId="70" applyNumberFormat="1" applyFont="1" applyFill="1" applyBorder="1" applyAlignment="1">
      <alignment horizontal="center"/>
    </xf>
    <xf numFmtId="194" fontId="78" fillId="0" borderId="0" xfId="52" applyNumberFormat="1" applyFont="1" applyFill="1" applyBorder="1" applyAlignment="1">
      <alignment horizontal="center"/>
    </xf>
    <xf numFmtId="179" fontId="78" fillId="0" borderId="0" xfId="52" applyNumberFormat="1" applyFont="1" applyFill="1" applyBorder="1" applyAlignment="1">
      <alignment horizontal="center"/>
    </xf>
    <xf numFmtId="8" fontId="78" fillId="0" borderId="0" xfId="70" applyNumberFormat="1" applyFont="1" applyFill="1" applyBorder="1" applyAlignment="1">
      <alignment horizontal="center"/>
    </xf>
    <xf numFmtId="43" fontId="0" fillId="0" borderId="0" xfId="0" applyNumberFormat="1" applyBorder="1"/>
    <xf numFmtId="43" fontId="24" fillId="0" borderId="0" xfId="0" applyNumberFormat="1" applyFont="1" applyBorder="1" applyAlignment="1">
      <alignment horizontal="center"/>
    </xf>
    <xf numFmtId="43" fontId="0" fillId="0" borderId="0" xfId="0" applyNumberFormat="1" applyBorder="1" applyAlignment="1">
      <alignment horizontal="center"/>
    </xf>
    <xf numFmtId="7" fontId="78" fillId="0" borderId="0" xfId="0" applyNumberFormat="1" applyFont="1" applyFill="1" applyBorder="1" applyAlignment="1">
      <alignment horizontal="center"/>
    </xf>
    <xf numFmtId="9" fontId="79" fillId="21" borderId="0" xfId="0" applyNumberFormat="1" applyFont="1" applyFill="1" applyBorder="1" applyAlignment="1">
      <alignment horizontal="center"/>
    </xf>
    <xf numFmtId="9" fontId="80" fillId="21" borderId="0" xfId="0" applyNumberFormat="1" applyFont="1" applyFill="1" applyBorder="1" applyAlignment="1">
      <alignment horizontal="center"/>
    </xf>
    <xf numFmtId="0" fontId="78" fillId="0" borderId="0" xfId="0" applyFont="1" applyFill="1" applyBorder="1" applyAlignment="1">
      <alignment horizontal="center"/>
    </xf>
    <xf numFmtId="0" fontId="78" fillId="0" borderId="3" xfId="0" applyFont="1" applyFill="1" applyBorder="1" applyAlignment="1">
      <alignment horizontal="center"/>
    </xf>
    <xf numFmtId="165" fontId="78" fillId="0" borderId="3" xfId="0" applyNumberFormat="1" applyFont="1" applyFill="1" applyBorder="1" applyAlignment="1">
      <alignment horizontal="center"/>
    </xf>
    <xf numFmtId="165" fontId="78" fillId="0" borderId="12" xfId="0" applyNumberFormat="1" applyFont="1" applyFill="1" applyBorder="1" applyAlignment="1">
      <alignment horizontal="center"/>
    </xf>
    <xf numFmtId="167" fontId="14" fillId="0" borderId="0" xfId="0" applyNumberFormat="1" applyFont="1" applyBorder="1" applyAlignment="1">
      <alignment horizontal="center"/>
    </xf>
    <xf numFmtId="0" fontId="5" fillId="0" borderId="0" xfId="0" applyFont="1" applyFill="1" applyBorder="1" applyAlignment="1">
      <alignment horizontal="right"/>
    </xf>
    <xf numFmtId="195" fontId="35" fillId="20" borderId="0" xfId="0" applyNumberFormat="1" applyFont="1" applyFill="1" applyAlignment="1">
      <alignment horizontal="center"/>
    </xf>
    <xf numFmtId="175" fontId="85" fillId="20" borderId="0" xfId="0" applyNumberFormat="1" applyFont="1" applyFill="1" applyAlignment="1">
      <alignment horizontal="center"/>
    </xf>
    <xf numFmtId="167" fontId="35" fillId="20" borderId="0" xfId="0" applyNumberFormat="1" applyFont="1" applyFill="1" applyAlignment="1">
      <alignment horizontal="center"/>
    </xf>
    <xf numFmtId="167" fontId="9" fillId="0" borderId="0" xfId="77" applyNumberFormat="1" applyFont="1" applyFill="1"/>
    <xf numFmtId="39" fontId="5" fillId="0" borderId="0" xfId="0" applyNumberFormat="1" applyFont="1" applyBorder="1"/>
    <xf numFmtId="9" fontId="5" fillId="0" borderId="0" xfId="0" applyNumberFormat="1" applyFont="1" applyBorder="1"/>
    <xf numFmtId="10" fontId="5" fillId="16" borderId="0" xfId="0" applyNumberFormat="1" applyFont="1" applyFill="1" applyBorder="1" applyAlignment="1">
      <alignment horizontal="center"/>
    </xf>
    <xf numFmtId="9" fontId="5" fillId="16" borderId="3" xfId="0" applyNumberFormat="1" applyFont="1" applyFill="1" applyBorder="1" applyAlignment="1">
      <alignment horizontal="center"/>
    </xf>
    <xf numFmtId="10" fontId="5" fillId="0" borderId="0" xfId="52" applyNumberFormat="1" applyFont="1" applyFill="1" applyBorder="1" applyAlignment="1">
      <alignment horizontal="center"/>
    </xf>
    <xf numFmtId="39" fontId="5" fillId="0" borderId="0" xfId="0" applyNumberFormat="1" applyFont="1" applyAlignment="1">
      <alignment horizontal="center"/>
    </xf>
    <xf numFmtId="0" fontId="82" fillId="23" borderId="0" xfId="0" applyFont="1" applyFill="1" applyAlignment="1">
      <alignment vertical="center"/>
    </xf>
    <xf numFmtId="197" fontId="82" fillId="23" borderId="0" xfId="0" applyNumberFormat="1" applyFont="1" applyFill="1" applyAlignment="1">
      <alignment horizontal="center" vertical="center"/>
    </xf>
    <xf numFmtId="0" fontId="0" fillId="0" borderId="0" xfId="0" applyAlignment="1">
      <alignment vertical="center"/>
    </xf>
    <xf numFmtId="0" fontId="5" fillId="0" borderId="0" xfId="0" applyFont="1" applyAlignment="1">
      <alignment horizontal="left" vertical="center"/>
    </xf>
    <xf numFmtId="0" fontId="9" fillId="24" borderId="0" xfId="0" applyFont="1" applyFill="1" applyAlignment="1">
      <alignment horizontal="left" vertical="center"/>
    </xf>
    <xf numFmtId="0" fontId="5" fillId="0" borderId="0" xfId="0" applyFont="1" applyAlignment="1">
      <alignment vertical="center"/>
    </xf>
    <xf numFmtId="0" fontId="9" fillId="24" borderId="0" xfId="0" applyFont="1" applyFill="1" applyAlignment="1">
      <alignment horizontal="left" vertical="center" indent="1"/>
    </xf>
    <xf numFmtId="0" fontId="5" fillId="0" borderId="0" xfId="0" applyFont="1" applyAlignment="1">
      <alignment horizontal="left" vertical="center" indent="1"/>
    </xf>
    <xf numFmtId="0" fontId="0" fillId="0" borderId="0" xfId="0" applyAlignment="1">
      <alignment horizontal="center" vertical="center"/>
    </xf>
    <xf numFmtId="0" fontId="9" fillId="24" borderId="3" xfId="0" applyFont="1" applyFill="1" applyBorder="1" applyAlignment="1">
      <alignment horizontal="left" vertical="center" indent="1"/>
    </xf>
    <xf numFmtId="5" fontId="0" fillId="0" borderId="0" xfId="0" applyNumberFormat="1" applyAlignment="1">
      <alignment horizontal="center" vertical="center"/>
    </xf>
    <xf numFmtId="9" fontId="9" fillId="24" borderId="0" xfId="0" applyNumberFormat="1" applyFont="1" applyFill="1" applyAlignment="1">
      <alignment horizontal="center" vertical="center"/>
    </xf>
    <xf numFmtId="9" fontId="9" fillId="24" borderId="3" xfId="0" applyNumberFormat="1" applyFont="1" applyFill="1" applyBorder="1" applyAlignment="1">
      <alignment horizontal="center" vertical="center"/>
    </xf>
    <xf numFmtId="9" fontId="84" fillId="24" borderId="0" xfId="0" applyNumberFormat="1" applyFont="1" applyFill="1" applyAlignment="1">
      <alignment horizontal="center" vertical="center"/>
    </xf>
    <xf numFmtId="5" fontId="5" fillId="0" borderId="0" xfId="0" applyNumberFormat="1" applyFont="1" applyAlignment="1">
      <alignment horizontal="center" vertical="center"/>
    </xf>
    <xf numFmtId="8" fontId="0" fillId="0" borderId="0" xfId="0" applyNumberFormat="1" applyAlignment="1">
      <alignment horizontal="center" vertical="center"/>
    </xf>
    <xf numFmtId="9" fontId="78" fillId="0" borderId="0" xfId="77" applyFont="1" applyAlignment="1">
      <alignment horizontal="center" vertical="center"/>
    </xf>
    <xf numFmtId="190" fontId="78" fillId="0" borderId="0" xfId="77" applyNumberFormat="1" applyFont="1" applyAlignment="1">
      <alignment horizontal="center" vertical="center"/>
    </xf>
    <xf numFmtId="8" fontId="5" fillId="0" borderId="0" xfId="0" applyNumberFormat="1" applyFont="1" applyAlignment="1">
      <alignment vertical="center"/>
    </xf>
    <xf numFmtId="0" fontId="4" fillId="0" borderId="23" xfId="0" applyFont="1" applyBorder="1" applyAlignment="1">
      <alignment vertical="center"/>
    </xf>
    <xf numFmtId="0" fontId="5" fillId="0" borderId="0" xfId="0" applyFont="1" applyBorder="1" applyAlignment="1">
      <alignment vertical="center"/>
    </xf>
    <xf numFmtId="37" fontId="5" fillId="0" borderId="0" xfId="0" applyNumberFormat="1" applyFont="1" applyBorder="1" applyAlignment="1">
      <alignment horizontal="center" vertical="center"/>
    </xf>
    <xf numFmtId="7" fontId="4" fillId="0" borderId="24" xfId="0" applyNumberFormat="1" applyFont="1" applyBorder="1" applyAlignment="1">
      <alignment horizontal="center" vertical="center"/>
    </xf>
    <xf numFmtId="0" fontId="5" fillId="25" borderId="0" xfId="0" applyFont="1" applyFill="1" applyAlignment="1">
      <alignment vertical="center"/>
    </xf>
    <xf numFmtId="5" fontId="0" fillId="25" borderId="0" xfId="0" applyNumberFormat="1" applyFill="1" applyAlignment="1">
      <alignment horizontal="center" vertical="center"/>
    </xf>
    <xf numFmtId="0" fontId="83" fillId="0" borderId="25" xfId="0" applyFont="1" applyFill="1" applyBorder="1" applyAlignment="1">
      <alignment horizontal="center" vertical="center"/>
    </xf>
    <xf numFmtId="0" fontId="82" fillId="23" borderId="26" xfId="0" applyFont="1" applyFill="1" applyBorder="1" applyAlignment="1">
      <alignment horizontal="center" vertical="center"/>
    </xf>
    <xf numFmtId="0" fontId="0" fillId="24" borderId="27" xfId="0" applyFill="1" applyBorder="1" applyAlignment="1">
      <alignment horizontal="center" vertical="center"/>
    </xf>
    <xf numFmtId="0" fontId="0" fillId="24" borderId="28" xfId="0" applyFill="1" applyBorder="1" applyAlignment="1">
      <alignment horizontal="center" vertical="center"/>
    </xf>
    <xf numFmtId="0" fontId="5" fillId="25" borderId="0" xfId="0" applyFont="1" applyFill="1" applyBorder="1" applyAlignment="1">
      <alignment vertical="center"/>
    </xf>
    <xf numFmtId="5" fontId="5" fillId="25" borderId="0" xfId="0" applyNumberFormat="1" applyFont="1" applyFill="1" applyBorder="1" applyAlignment="1">
      <alignment horizontal="center" vertical="center"/>
    </xf>
    <xf numFmtId="9" fontId="0" fillId="0" borderId="0" xfId="77" applyFont="1" applyAlignment="1">
      <alignment horizontal="center" vertical="center"/>
    </xf>
    <xf numFmtId="165" fontId="0" fillId="0" borderId="0" xfId="0" applyNumberFormat="1"/>
    <xf numFmtId="0" fontId="5" fillId="0" borderId="29" xfId="0" applyFont="1" applyBorder="1" applyAlignment="1">
      <alignment vertical="center"/>
    </xf>
    <xf numFmtId="5" fontId="0" fillId="0" borderId="29" xfId="0" applyNumberFormat="1" applyBorder="1" applyAlignment="1">
      <alignment horizontal="center" vertical="center"/>
    </xf>
    <xf numFmtId="0" fontId="79" fillId="0" borderId="0" xfId="0" applyFont="1" applyAlignment="1">
      <alignment horizontal="center" vertical="center"/>
    </xf>
    <xf numFmtId="5" fontId="5" fillId="26" borderId="0" xfId="0" applyNumberFormat="1" applyFont="1" applyFill="1" applyAlignment="1">
      <alignment horizontal="center" vertical="center"/>
    </xf>
    <xf numFmtId="0" fontId="5" fillId="24" borderId="0" xfId="0" applyFont="1" applyFill="1" applyAlignment="1">
      <alignment vertical="center"/>
    </xf>
    <xf numFmtId="5" fontId="5" fillId="24" borderId="0" xfId="0" applyNumberFormat="1" applyFont="1" applyFill="1" applyAlignment="1">
      <alignment horizontal="center" vertical="center"/>
    </xf>
    <xf numFmtId="5" fontId="0" fillId="24" borderId="0" xfId="0" applyNumberFormat="1" applyFill="1" applyAlignment="1">
      <alignment horizontal="center" vertical="center"/>
    </xf>
    <xf numFmtId="0" fontId="26" fillId="24" borderId="0" xfId="0" applyFont="1" applyFill="1" applyAlignment="1">
      <alignment vertical="center"/>
    </xf>
    <xf numFmtId="5" fontId="26" fillId="24" borderId="0" xfId="0" applyNumberFormat="1" applyFont="1" applyFill="1" applyAlignment="1">
      <alignment horizontal="center" vertical="center"/>
    </xf>
    <xf numFmtId="0" fontId="9" fillId="26" borderId="0" xfId="0" applyFont="1" applyFill="1" applyAlignment="1">
      <alignment horizontal="left" vertical="center" indent="1"/>
    </xf>
    <xf numFmtId="5" fontId="9" fillId="26" borderId="0" xfId="0" applyNumberFormat="1" applyFont="1" applyFill="1" applyAlignment="1">
      <alignment horizontal="center" vertical="center"/>
    </xf>
    <xf numFmtId="199" fontId="5" fillId="24" borderId="0" xfId="0" applyNumberFormat="1" applyFont="1" applyFill="1" applyAlignment="1">
      <alignment horizontal="left" vertical="center"/>
    </xf>
    <xf numFmtId="199" fontId="5" fillId="26" borderId="0" xfId="0" applyNumberFormat="1" applyFont="1" applyFill="1" applyAlignment="1">
      <alignment horizontal="left" vertical="center"/>
    </xf>
    <xf numFmtId="0" fontId="5" fillId="24" borderId="0" xfId="0" applyFont="1" applyFill="1" applyBorder="1" applyAlignment="1">
      <alignment vertical="center"/>
    </xf>
    <xf numFmtId="5" fontId="5" fillId="24" borderId="0" xfId="0" applyNumberFormat="1" applyFont="1" applyFill="1" applyBorder="1" applyAlignment="1">
      <alignment horizontal="center" vertical="center"/>
    </xf>
    <xf numFmtId="5" fontId="0" fillId="24" borderId="0" xfId="0" applyNumberFormat="1" applyFill="1" applyBorder="1" applyAlignment="1">
      <alignment horizontal="center" vertical="center"/>
    </xf>
    <xf numFmtId="0" fontId="4" fillId="24" borderId="0" xfId="0" applyFont="1" applyFill="1" applyBorder="1" applyAlignment="1">
      <alignment vertical="center"/>
    </xf>
    <xf numFmtId="5" fontId="4" fillId="24" borderId="0" xfId="0" applyNumberFormat="1" applyFont="1" applyFill="1" applyBorder="1" applyAlignment="1">
      <alignment horizontal="center" vertical="center"/>
    </xf>
    <xf numFmtId="198" fontId="83" fillId="24" borderId="0" xfId="0" applyNumberFormat="1" applyFont="1" applyFill="1" applyBorder="1" applyAlignment="1">
      <alignment horizontal="center" vertical="center"/>
    </xf>
    <xf numFmtId="196" fontId="83" fillId="22" borderId="0" xfId="0" applyNumberFormat="1" applyFont="1" applyFill="1" applyBorder="1" applyAlignment="1">
      <alignment horizontal="center" vertical="center"/>
    </xf>
    <xf numFmtId="10" fontId="0" fillId="0" borderId="0" xfId="77" applyNumberFormat="1" applyFont="1"/>
    <xf numFmtId="0" fontId="2" fillId="0" borderId="30" xfId="0" applyFont="1" applyFill="1" applyBorder="1"/>
    <xf numFmtId="0" fontId="2" fillId="0" borderId="30" xfId="0" applyFont="1" applyFill="1" applyBorder="1" applyAlignment="1">
      <alignment horizontal="center"/>
    </xf>
    <xf numFmtId="0" fontId="4" fillId="0" borderId="30" xfId="0" applyFont="1" applyFill="1" applyBorder="1" applyAlignment="1">
      <alignment horizontal="center"/>
    </xf>
    <xf numFmtId="0" fontId="4" fillId="20" borderId="30" xfId="0" applyFont="1" applyFill="1" applyBorder="1" applyAlignment="1">
      <alignment horizontal="center"/>
    </xf>
    <xf numFmtId="2" fontId="2" fillId="20" borderId="0" xfId="0" applyNumberFormat="1" applyFont="1" applyFill="1" applyBorder="1" applyAlignment="1">
      <alignment horizontal="right"/>
    </xf>
    <xf numFmtId="2" fontId="36" fillId="0" borderId="0" xfId="0" applyNumberFormat="1" applyFont="1" applyFill="1" applyBorder="1" applyAlignment="1">
      <alignment horizontal="right"/>
    </xf>
    <xf numFmtId="2" fontId="78" fillId="20" borderId="0" xfId="0" applyNumberFormat="1" applyFont="1" applyFill="1" applyBorder="1" applyAlignment="1">
      <alignment horizontal="right"/>
    </xf>
    <xf numFmtId="2" fontId="2" fillId="0" borderId="0" xfId="0" applyNumberFormat="1" applyFont="1" applyFill="1" applyBorder="1" applyAlignment="1">
      <alignment horizontal="right"/>
    </xf>
    <xf numFmtId="2" fontId="10" fillId="0" borderId="0" xfId="0" applyNumberFormat="1" applyFont="1" applyFill="1" applyBorder="1" applyAlignment="1">
      <alignment horizontal="right"/>
    </xf>
    <xf numFmtId="0" fontId="10" fillId="0" borderId="0" xfId="0" applyFont="1" applyFill="1" applyBorder="1" applyAlignment="1">
      <alignment horizontal="right"/>
    </xf>
    <xf numFmtId="2" fontId="43" fillId="0" borderId="0" xfId="0" applyNumberFormat="1" applyFont="1" applyFill="1" applyBorder="1" applyAlignment="1">
      <alignment horizontal="right"/>
    </xf>
    <xf numFmtId="187" fontId="5" fillId="20" borderId="0" xfId="0" applyNumberFormat="1" applyFont="1" applyFill="1" applyBorder="1" applyAlignment="1">
      <alignment horizontal="right"/>
    </xf>
    <xf numFmtId="37" fontId="2" fillId="20" borderId="0" xfId="0" applyNumberFormat="1" applyFont="1" applyFill="1" applyBorder="1" applyAlignment="1">
      <alignment horizontal="right"/>
    </xf>
    <xf numFmtId="4" fontId="2" fillId="0" borderId="0" xfId="0" applyNumberFormat="1" applyFont="1" applyFill="1" applyBorder="1" applyAlignment="1">
      <alignment horizontal="right"/>
    </xf>
    <xf numFmtId="37" fontId="2" fillId="0" borderId="0" xfId="0" applyNumberFormat="1" applyFont="1" applyFill="1" applyBorder="1" applyAlignment="1">
      <alignment horizontal="right"/>
    </xf>
    <xf numFmtId="169" fontId="2" fillId="20" borderId="0" xfId="0" applyNumberFormat="1" applyFont="1" applyFill="1" applyBorder="1" applyAlignment="1">
      <alignment horizontal="right"/>
    </xf>
    <xf numFmtId="169" fontId="2" fillId="0" borderId="0" xfId="0" applyNumberFormat="1" applyFont="1" applyFill="1" applyBorder="1" applyAlignment="1">
      <alignment horizontal="right"/>
    </xf>
    <xf numFmtId="2" fontId="5" fillId="20" borderId="0" xfId="0" applyNumberFormat="1" applyFont="1" applyFill="1" applyBorder="1" applyAlignment="1">
      <alignment horizontal="right"/>
    </xf>
    <xf numFmtId="0" fontId="43" fillId="0" borderId="0" xfId="0" applyFont="1" applyFill="1" applyBorder="1" applyAlignment="1">
      <alignment horizontal="right"/>
    </xf>
    <xf numFmtId="0" fontId="5" fillId="20" borderId="0" xfId="0" applyFont="1" applyFill="1" applyBorder="1" applyAlignment="1">
      <alignment horizontal="right"/>
    </xf>
    <xf numFmtId="0" fontId="2" fillId="20" borderId="0" xfId="0" applyFont="1" applyFill="1" applyBorder="1" applyAlignment="1">
      <alignment horizontal="right"/>
    </xf>
    <xf numFmtId="0" fontId="2" fillId="0" borderId="0" xfId="0" applyFont="1" applyFill="1" applyBorder="1" applyAlignment="1">
      <alignment horizontal="right"/>
    </xf>
    <xf numFmtId="0" fontId="78" fillId="20" borderId="3" xfId="0" applyFont="1" applyFill="1" applyBorder="1" applyAlignment="1">
      <alignment horizontal="right"/>
    </xf>
    <xf numFmtId="3" fontId="5" fillId="20" borderId="3" xfId="0" applyNumberFormat="1" applyFont="1" applyFill="1" applyBorder="1" applyAlignment="1">
      <alignment horizontal="right"/>
    </xf>
    <xf numFmtId="4" fontId="5" fillId="0" borderId="3" xfId="0" applyNumberFormat="1" applyFont="1" applyFill="1" applyBorder="1" applyAlignment="1">
      <alignment horizontal="right"/>
    </xf>
    <xf numFmtId="3" fontId="5" fillId="0" borderId="3" xfId="0" applyNumberFormat="1" applyFont="1" applyFill="1" applyBorder="1" applyAlignment="1">
      <alignment horizontal="right"/>
    </xf>
    <xf numFmtId="0" fontId="5" fillId="0" borderId="3" xfId="0" applyFont="1" applyFill="1" applyBorder="1" applyAlignment="1">
      <alignment horizontal="right"/>
    </xf>
    <xf numFmtId="169" fontId="78" fillId="20" borderId="0" xfId="0" applyNumberFormat="1" applyFont="1" applyFill="1" applyBorder="1" applyAlignment="1">
      <alignment horizontal="right"/>
    </xf>
    <xf numFmtId="0" fontId="78" fillId="20" borderId="0" xfId="0" applyFont="1" applyFill="1" applyBorder="1" applyAlignment="1">
      <alignment horizontal="right"/>
    </xf>
    <xf numFmtId="3" fontId="5" fillId="20" borderId="0" xfId="0" applyNumberFormat="1" applyFont="1" applyFill="1" applyAlignment="1">
      <alignment horizontal="right"/>
    </xf>
    <xf numFmtId="4" fontId="5" fillId="0" borderId="0" xfId="0" applyNumberFormat="1" applyFont="1" applyFill="1" applyAlignment="1">
      <alignment horizontal="right"/>
    </xf>
    <xf numFmtId="0" fontId="37" fillId="27" borderId="0" xfId="63" applyFont="1" applyFill="1" applyBorder="1" applyAlignment="1">
      <alignment horizontal="left" vertical="center"/>
    </xf>
    <xf numFmtId="0" fontId="4" fillId="20" borderId="0" xfId="0" applyFont="1" applyFill="1" applyBorder="1" applyAlignment="1">
      <alignment horizontal="center"/>
    </xf>
    <xf numFmtId="3" fontId="5" fillId="0" borderId="0" xfId="0" applyNumberFormat="1" applyFont="1" applyFill="1" applyAlignment="1">
      <alignment horizontal="right"/>
    </xf>
    <xf numFmtId="169" fontId="5" fillId="20" borderId="0" xfId="0" applyNumberFormat="1" applyFont="1" applyFill="1" applyBorder="1" applyAlignment="1">
      <alignment horizontal="right"/>
    </xf>
    <xf numFmtId="186" fontId="5" fillId="0" borderId="0" xfId="0" applyNumberFormat="1" applyFont="1" applyFill="1" applyAlignment="1">
      <alignment horizontal="right"/>
    </xf>
    <xf numFmtId="0" fontId="5" fillId="0" borderId="0" xfId="0" applyFont="1" applyFill="1" applyAlignment="1">
      <alignment horizontal="right"/>
    </xf>
    <xf numFmtId="0" fontId="5" fillId="0" borderId="0" xfId="0" applyFont="1" applyFill="1" applyAlignment="1">
      <alignment horizontal="left"/>
    </xf>
    <xf numFmtId="0" fontId="5" fillId="0" borderId="3" xfId="0" applyFont="1" applyFill="1" applyBorder="1" applyAlignment="1">
      <alignment horizontal="left"/>
    </xf>
    <xf numFmtId="0" fontId="5" fillId="0" borderId="0" xfId="0" applyFont="1" applyFill="1" applyBorder="1" applyAlignment="1">
      <alignment horizontal="left"/>
    </xf>
    <xf numFmtId="0" fontId="2" fillId="0" borderId="0" xfId="0" applyFont="1" applyFill="1" applyBorder="1" applyAlignment="1">
      <alignment horizontal="left"/>
    </xf>
    <xf numFmtId="0" fontId="4" fillId="0" borderId="0" xfId="0" applyFont="1" applyFill="1" applyBorder="1" applyAlignment="1">
      <alignment horizontal="left"/>
    </xf>
    <xf numFmtId="171" fontId="9" fillId="20" borderId="0" xfId="0" applyNumberFormat="1" applyFont="1" applyFill="1" applyAlignment="1">
      <alignment horizontal="right"/>
    </xf>
    <xf numFmtId="7" fontId="2" fillId="0" borderId="0" xfId="0" applyNumberFormat="1" applyFont="1" applyFill="1" applyBorder="1" applyAlignment="1">
      <alignment horizontal="right"/>
    </xf>
    <xf numFmtId="171" fontId="5" fillId="0" borderId="0" xfId="0" applyNumberFormat="1" applyFont="1" applyFill="1" applyAlignment="1">
      <alignment horizontal="right"/>
    </xf>
    <xf numFmtId="171" fontId="5" fillId="20" borderId="0" xfId="0" applyNumberFormat="1" applyFont="1" applyFill="1" applyAlignment="1">
      <alignment horizontal="right"/>
    </xf>
    <xf numFmtId="7" fontId="4" fillId="0" borderId="4" xfId="0" applyNumberFormat="1" applyFont="1" applyFill="1" applyBorder="1" applyAlignment="1">
      <alignment horizontal="right"/>
    </xf>
    <xf numFmtId="7" fontId="4" fillId="20" borderId="4" xfId="0" applyNumberFormat="1" applyFont="1" applyFill="1" applyBorder="1" applyAlignment="1">
      <alignment horizontal="right"/>
    </xf>
    <xf numFmtId="7" fontId="4" fillId="0" borderId="22" xfId="0" applyNumberFormat="1" applyFont="1" applyFill="1" applyBorder="1" applyAlignment="1">
      <alignment horizontal="right"/>
    </xf>
    <xf numFmtId="7" fontId="80" fillId="0" borderId="12" xfId="0" applyNumberFormat="1" applyFont="1" applyFill="1" applyBorder="1" applyAlignment="1">
      <alignment horizontal="right"/>
    </xf>
    <xf numFmtId="7" fontId="80" fillId="0" borderId="18" xfId="0" applyNumberFormat="1" applyFont="1" applyFill="1" applyBorder="1" applyAlignment="1">
      <alignment horizontal="right"/>
    </xf>
    <xf numFmtId="7" fontId="2" fillId="0" borderId="19" xfId="0" applyNumberFormat="1" applyFont="1" applyFill="1" applyBorder="1" applyAlignment="1">
      <alignment horizontal="right"/>
    </xf>
    <xf numFmtId="9" fontId="79" fillId="0" borderId="0" xfId="0" applyNumberFormat="1" applyFont="1" applyFill="1" applyBorder="1" applyAlignment="1">
      <alignment horizontal="right"/>
    </xf>
    <xf numFmtId="9" fontId="79" fillId="0" borderId="19" xfId="0" applyNumberFormat="1" applyFont="1" applyFill="1" applyBorder="1" applyAlignment="1">
      <alignment horizontal="right"/>
    </xf>
    <xf numFmtId="7" fontId="80" fillId="0" borderId="0" xfId="0" applyNumberFormat="1" applyFont="1" applyFill="1" applyBorder="1" applyAlignment="1">
      <alignment horizontal="right"/>
    </xf>
    <xf numFmtId="9" fontId="5" fillId="0" borderId="0" xfId="0" applyNumberFormat="1" applyFont="1" applyFill="1" applyBorder="1" applyAlignment="1">
      <alignment horizontal="right"/>
    </xf>
    <xf numFmtId="7" fontId="80" fillId="0" borderId="19" xfId="0" applyNumberFormat="1" applyFont="1" applyFill="1" applyBorder="1" applyAlignment="1">
      <alignment horizontal="right"/>
    </xf>
    <xf numFmtId="7" fontId="5" fillId="0" borderId="0" xfId="0" applyNumberFormat="1" applyFont="1" applyFill="1" applyBorder="1" applyAlignment="1">
      <alignment horizontal="right"/>
    </xf>
    <xf numFmtId="7" fontId="5" fillId="0" borderId="19" xfId="0" applyNumberFormat="1" applyFont="1" applyFill="1" applyBorder="1" applyAlignment="1">
      <alignment horizontal="right"/>
    </xf>
    <xf numFmtId="7" fontId="16" fillId="0" borderId="0" xfId="0" applyNumberFormat="1" applyFont="1" applyFill="1" applyBorder="1" applyAlignment="1">
      <alignment horizontal="right"/>
    </xf>
    <xf numFmtId="7" fontId="16" fillId="0" borderId="19" xfId="0" applyNumberFormat="1" applyFont="1" applyFill="1" applyBorder="1" applyAlignment="1">
      <alignment horizontal="right"/>
    </xf>
    <xf numFmtId="9" fontId="79" fillId="0" borderId="3" xfId="0" applyNumberFormat="1" applyFont="1" applyFill="1" applyBorder="1" applyAlignment="1">
      <alignment horizontal="right"/>
    </xf>
    <xf numFmtId="9" fontId="79" fillId="0" borderId="20" xfId="0" applyNumberFormat="1" applyFont="1" applyFill="1" applyBorder="1" applyAlignment="1">
      <alignment horizontal="right"/>
    </xf>
    <xf numFmtId="9" fontId="16" fillId="0" borderId="0" xfId="0" applyNumberFormat="1" applyFont="1" applyFill="1" applyBorder="1" applyAlignment="1">
      <alignment horizontal="right"/>
    </xf>
    <xf numFmtId="7" fontId="4" fillId="0" borderId="0" xfId="0" applyNumberFormat="1" applyFont="1" applyFill="1" applyBorder="1" applyAlignment="1">
      <alignment horizontal="right"/>
    </xf>
    <xf numFmtId="7" fontId="42" fillId="0" borderId="0" xfId="0" applyNumberFormat="1" applyFont="1" applyFill="1" applyBorder="1" applyAlignment="1">
      <alignment horizontal="right"/>
    </xf>
    <xf numFmtId="0" fontId="0" fillId="0" borderId="0" xfId="0" applyFill="1" applyAlignment="1">
      <alignment horizontal="right"/>
    </xf>
    <xf numFmtId="9" fontId="80" fillId="0" borderId="0" xfId="0" applyNumberFormat="1" applyFont="1" applyFill="1" applyBorder="1" applyAlignment="1">
      <alignment horizontal="right"/>
    </xf>
    <xf numFmtId="7" fontId="41" fillId="0" borderId="0" xfId="0" applyNumberFormat="1" applyFont="1" applyFill="1" applyBorder="1" applyAlignment="1">
      <alignment horizontal="right"/>
    </xf>
    <xf numFmtId="9" fontId="9" fillId="0" borderId="12" xfId="0" applyNumberFormat="1" applyFont="1" applyFill="1" applyBorder="1" applyAlignment="1">
      <alignment horizontal="right"/>
    </xf>
    <xf numFmtId="173" fontId="0" fillId="0" borderId="0" xfId="0" applyNumberFormat="1" applyFill="1" applyBorder="1" applyAlignment="1">
      <alignment horizontal="right"/>
    </xf>
    <xf numFmtId="173" fontId="0" fillId="0" borderId="19" xfId="0" applyNumberFormat="1" applyFill="1" applyBorder="1" applyAlignment="1">
      <alignment horizontal="right"/>
    </xf>
    <xf numFmtId="187" fontId="0" fillId="0" borderId="0" xfId="0" applyNumberFormat="1" applyFill="1" applyBorder="1" applyAlignment="1">
      <alignment horizontal="right"/>
    </xf>
    <xf numFmtId="187" fontId="0" fillId="0" borderId="19" xfId="0" applyNumberFormat="1" applyFill="1" applyBorder="1" applyAlignment="1">
      <alignment horizontal="right"/>
    </xf>
    <xf numFmtId="7" fontId="0" fillId="0" borderId="0" xfId="0" applyNumberFormat="1" applyFill="1" applyBorder="1" applyAlignment="1">
      <alignment horizontal="right"/>
    </xf>
    <xf numFmtId="7" fontId="0" fillId="0" borderId="19" xfId="0" applyNumberFormat="1" applyFill="1" applyBorder="1" applyAlignment="1">
      <alignment horizontal="right"/>
    </xf>
    <xf numFmtId="39" fontId="0" fillId="0" borderId="0" xfId="0" applyNumberFormat="1" applyFill="1" applyBorder="1" applyAlignment="1">
      <alignment horizontal="right"/>
    </xf>
    <xf numFmtId="39" fontId="0" fillId="0" borderId="19" xfId="0" applyNumberFormat="1" applyFill="1" applyBorder="1" applyAlignment="1">
      <alignment horizontal="right"/>
    </xf>
    <xf numFmtId="39" fontId="0" fillId="0" borderId="3" xfId="0" applyNumberFormat="1" applyFill="1" applyBorder="1" applyAlignment="1">
      <alignment horizontal="right"/>
    </xf>
    <xf numFmtId="39" fontId="0" fillId="0" borderId="20" xfId="0" applyNumberFormat="1" applyFill="1" applyBorder="1" applyAlignment="1">
      <alignment horizontal="right"/>
    </xf>
    <xf numFmtId="39" fontId="80" fillId="0" borderId="12" xfId="0" applyNumberFormat="1" applyFont="1" applyFill="1" applyBorder="1" applyAlignment="1">
      <alignment horizontal="right"/>
    </xf>
    <xf numFmtId="39" fontId="80" fillId="0" borderId="18" xfId="0" applyNumberFormat="1" applyFont="1" applyFill="1" applyBorder="1" applyAlignment="1">
      <alignment horizontal="right"/>
    </xf>
    <xf numFmtId="9" fontId="9" fillId="0" borderId="0" xfId="0" applyNumberFormat="1" applyFont="1" applyFill="1" applyBorder="1" applyAlignment="1">
      <alignment horizontal="right"/>
    </xf>
    <xf numFmtId="9" fontId="9" fillId="0" borderId="19" xfId="0" applyNumberFormat="1" applyFont="1" applyFill="1" applyBorder="1" applyAlignment="1">
      <alignment horizontal="right"/>
    </xf>
    <xf numFmtId="2" fontId="0" fillId="0" borderId="3" xfId="0" applyNumberFormat="1" applyFill="1" applyBorder="1" applyAlignment="1">
      <alignment horizontal="right"/>
    </xf>
    <xf numFmtId="2" fontId="0" fillId="0" borderId="20" xfId="0" applyNumberFormat="1" applyFill="1" applyBorder="1" applyAlignment="1">
      <alignment horizontal="right"/>
    </xf>
    <xf numFmtId="2" fontId="0" fillId="0" borderId="0" xfId="0" applyNumberFormat="1" applyFill="1" applyBorder="1" applyAlignment="1">
      <alignment horizontal="right"/>
    </xf>
    <xf numFmtId="186" fontId="2" fillId="0" borderId="0" xfId="0" applyNumberFormat="1" applyFont="1" applyFill="1" applyBorder="1" applyAlignment="1">
      <alignment horizontal="right"/>
    </xf>
    <xf numFmtId="186" fontId="2" fillId="0" borderId="19" xfId="0" applyNumberFormat="1" applyFont="1" applyFill="1" applyBorder="1" applyAlignment="1">
      <alignment horizontal="right"/>
    </xf>
    <xf numFmtId="9" fontId="5" fillId="0" borderId="0" xfId="77" applyFont="1" applyFill="1" applyBorder="1" applyAlignment="1">
      <alignment horizontal="right"/>
    </xf>
    <xf numFmtId="9" fontId="5" fillId="0" borderId="19" xfId="77" applyFont="1" applyFill="1" applyBorder="1" applyAlignment="1">
      <alignment horizontal="right"/>
    </xf>
    <xf numFmtId="4" fontId="5" fillId="0" borderId="0" xfId="0" applyNumberFormat="1" applyFont="1" applyFill="1" applyBorder="1" applyAlignment="1">
      <alignment horizontal="right"/>
    </xf>
    <xf numFmtId="4" fontId="5" fillId="0" borderId="19" xfId="0" applyNumberFormat="1" applyFont="1" applyFill="1" applyBorder="1" applyAlignment="1">
      <alignment horizontal="right"/>
    </xf>
    <xf numFmtId="171" fontId="5" fillId="0" borderId="0" xfId="77" applyNumberFormat="1" applyFont="1" applyFill="1" applyBorder="1" applyAlignment="1">
      <alignment horizontal="right"/>
    </xf>
    <xf numFmtId="171" fontId="5" fillId="0" borderId="19" xfId="77" applyNumberFormat="1" applyFont="1" applyFill="1" applyBorder="1" applyAlignment="1">
      <alignment horizontal="right"/>
    </xf>
    <xf numFmtId="4" fontId="2" fillId="0" borderId="19" xfId="0" applyNumberFormat="1" applyFont="1" applyFill="1" applyBorder="1" applyAlignment="1">
      <alignment horizontal="right"/>
    </xf>
    <xf numFmtId="4" fontId="78" fillId="0" borderId="0" xfId="0" applyNumberFormat="1" applyFont="1" applyFill="1" applyBorder="1" applyAlignment="1">
      <alignment horizontal="right"/>
    </xf>
    <xf numFmtId="4" fontId="21" fillId="0" borderId="0" xfId="0" applyNumberFormat="1" applyFont="1" applyFill="1" applyBorder="1" applyAlignment="1">
      <alignment horizontal="right"/>
    </xf>
    <xf numFmtId="4" fontId="80" fillId="0" borderId="0" xfId="0" applyNumberFormat="1" applyFont="1" applyFill="1" applyBorder="1" applyAlignment="1">
      <alignment horizontal="right"/>
    </xf>
    <xf numFmtId="4" fontId="80" fillId="0" borderId="19" xfId="0" applyNumberFormat="1" applyFont="1" applyFill="1" applyBorder="1" applyAlignment="1">
      <alignment horizontal="right"/>
    </xf>
    <xf numFmtId="186" fontId="78" fillId="0" borderId="0" xfId="0" applyNumberFormat="1" applyFont="1" applyFill="1" applyBorder="1" applyAlignment="1">
      <alignment horizontal="right"/>
    </xf>
    <xf numFmtId="10" fontId="78" fillId="0" borderId="0" xfId="77" applyNumberFormat="1" applyFont="1" applyFill="1" applyBorder="1" applyAlignment="1">
      <alignment horizontal="right"/>
    </xf>
    <xf numFmtId="10" fontId="2" fillId="0" borderId="0" xfId="77" applyNumberFormat="1" applyFont="1" applyFill="1" applyBorder="1" applyAlignment="1">
      <alignment horizontal="right"/>
    </xf>
    <xf numFmtId="10" fontId="2" fillId="0" borderId="0" xfId="0" applyNumberFormat="1" applyFont="1" applyFill="1" applyBorder="1" applyAlignment="1">
      <alignment horizontal="right"/>
    </xf>
    <xf numFmtId="10" fontId="5" fillId="0" borderId="19" xfId="77" applyNumberFormat="1" applyFont="1" applyFill="1" applyBorder="1" applyAlignment="1">
      <alignment horizontal="right"/>
    </xf>
    <xf numFmtId="169" fontId="2" fillId="0" borderId="3" xfId="0" applyNumberFormat="1" applyFont="1" applyFill="1" applyBorder="1" applyAlignment="1">
      <alignment horizontal="right"/>
    </xf>
    <xf numFmtId="169" fontId="2" fillId="0" borderId="20" xfId="0" applyNumberFormat="1" applyFont="1" applyFill="1" applyBorder="1" applyAlignment="1">
      <alignment horizontal="right"/>
    </xf>
    <xf numFmtId="0" fontId="0" fillId="0" borderId="12" xfId="0" applyFill="1" applyBorder="1" applyAlignment="1">
      <alignment horizontal="right"/>
    </xf>
    <xf numFmtId="0" fontId="0" fillId="0" borderId="18" xfId="0" applyFill="1" applyBorder="1" applyAlignment="1">
      <alignment horizontal="right"/>
    </xf>
    <xf numFmtId="9" fontId="0" fillId="0" borderId="0" xfId="0" applyNumberFormat="1" applyFill="1" applyBorder="1" applyAlignment="1">
      <alignment horizontal="right"/>
    </xf>
    <xf numFmtId="9" fontId="0" fillId="0" borderId="19" xfId="0" applyNumberFormat="1" applyFill="1" applyBorder="1" applyAlignment="1">
      <alignment horizontal="right"/>
    </xf>
    <xf numFmtId="2" fontId="80" fillId="0" borderId="0" xfId="0" applyNumberFormat="1" applyFont="1" applyFill="1" applyBorder="1" applyAlignment="1">
      <alignment horizontal="right"/>
    </xf>
    <xf numFmtId="2" fontId="80" fillId="0" borderId="19" xfId="0" applyNumberFormat="1" applyFont="1" applyFill="1" applyBorder="1" applyAlignment="1">
      <alignment horizontal="right"/>
    </xf>
    <xf numFmtId="0" fontId="79" fillId="0" borderId="0" xfId="0" applyFont="1" applyFill="1" applyBorder="1" applyAlignment="1">
      <alignment horizontal="right"/>
    </xf>
    <xf numFmtId="0" fontId="79" fillId="0" borderId="19" xfId="0" applyFont="1" applyFill="1" applyBorder="1" applyAlignment="1">
      <alignment horizontal="right"/>
    </xf>
    <xf numFmtId="0" fontId="79" fillId="0" borderId="3" xfId="0" applyFont="1" applyFill="1" applyBorder="1" applyAlignment="1">
      <alignment horizontal="right"/>
    </xf>
    <xf numFmtId="0" fontId="79" fillId="0" borderId="20" xfId="0" applyFont="1" applyFill="1" applyBorder="1" applyAlignment="1">
      <alignment horizontal="right"/>
    </xf>
    <xf numFmtId="0" fontId="0" fillId="0" borderId="0" xfId="0" applyFill="1" applyBorder="1" applyAlignment="1">
      <alignment horizontal="right"/>
    </xf>
    <xf numFmtId="0" fontId="0" fillId="0" borderId="19" xfId="0" applyFill="1" applyBorder="1" applyAlignment="1">
      <alignment horizontal="right"/>
    </xf>
    <xf numFmtId="0" fontId="0" fillId="0" borderId="3" xfId="0" applyFill="1" applyBorder="1" applyAlignment="1">
      <alignment horizontal="right"/>
    </xf>
    <xf numFmtId="0" fontId="0" fillId="0" borderId="20" xfId="0" applyFill="1" applyBorder="1" applyAlignment="1">
      <alignment horizontal="right"/>
    </xf>
    <xf numFmtId="165" fontId="0" fillId="0" borderId="12" xfId="0" applyNumberFormat="1" applyFill="1" applyBorder="1" applyAlignment="1">
      <alignment horizontal="right"/>
    </xf>
    <xf numFmtId="165" fontId="0" fillId="0" borderId="18" xfId="0" applyNumberFormat="1" applyFill="1" applyBorder="1" applyAlignment="1">
      <alignment horizontal="right"/>
    </xf>
    <xf numFmtId="165" fontId="0" fillId="0" borderId="3" xfId="0" applyNumberFormat="1" applyFill="1" applyBorder="1" applyAlignment="1">
      <alignment horizontal="right"/>
    </xf>
    <xf numFmtId="165" fontId="0" fillId="0" borderId="20" xfId="0" applyNumberFormat="1" applyFill="1" applyBorder="1" applyAlignment="1">
      <alignment horizontal="right"/>
    </xf>
    <xf numFmtId="165" fontId="0" fillId="0" borderId="0" xfId="0" applyNumberFormat="1" applyFill="1" applyBorder="1" applyAlignment="1">
      <alignment horizontal="right"/>
    </xf>
    <xf numFmtId="165" fontId="0" fillId="0" borderId="19" xfId="0" applyNumberFormat="1" applyFill="1" applyBorder="1" applyAlignment="1">
      <alignment horizontal="right"/>
    </xf>
    <xf numFmtId="165" fontId="4" fillId="0" borderId="3" xfId="0" applyNumberFormat="1" applyFont="1" applyFill="1" applyBorder="1" applyAlignment="1">
      <alignment horizontal="right"/>
    </xf>
    <xf numFmtId="165" fontId="4" fillId="0" borderId="20" xfId="0" applyNumberFormat="1" applyFont="1" applyFill="1" applyBorder="1" applyAlignment="1">
      <alignment horizontal="right"/>
    </xf>
    <xf numFmtId="165" fontId="4" fillId="0" borderId="0" xfId="0" applyNumberFormat="1" applyFont="1" applyFill="1" applyBorder="1" applyAlignment="1">
      <alignment horizontal="right"/>
    </xf>
    <xf numFmtId="2" fontId="38" fillId="0" borderId="12" xfId="0" applyNumberFormat="1" applyFont="1" applyFill="1" applyBorder="1" applyAlignment="1">
      <alignment horizontal="right"/>
    </xf>
    <xf numFmtId="0" fontId="38" fillId="0" borderId="18" xfId="0" applyFont="1" applyFill="1" applyBorder="1" applyAlignment="1">
      <alignment horizontal="right"/>
    </xf>
    <xf numFmtId="165" fontId="4" fillId="0" borderId="12" xfId="0" applyNumberFormat="1" applyFont="1" applyFill="1" applyBorder="1" applyAlignment="1">
      <alignment horizontal="right"/>
    </xf>
    <xf numFmtId="165" fontId="4" fillId="0" borderId="18" xfId="0" applyNumberFormat="1" applyFont="1" applyFill="1" applyBorder="1" applyAlignment="1">
      <alignment horizontal="right"/>
    </xf>
    <xf numFmtId="165" fontId="41" fillId="0" borderId="0" xfId="0" applyNumberFormat="1" applyFont="1" applyFill="1" applyBorder="1" applyAlignment="1">
      <alignment horizontal="right"/>
    </xf>
    <xf numFmtId="165" fontId="87" fillId="0" borderId="0" xfId="0" applyNumberFormat="1" applyFont="1" applyFill="1" applyBorder="1" applyAlignment="1">
      <alignment horizontal="right"/>
    </xf>
    <xf numFmtId="0" fontId="4" fillId="28" borderId="30" xfId="63" applyFont="1" applyFill="1" applyBorder="1" applyAlignment="1">
      <alignment horizontal="left" vertical="center"/>
    </xf>
    <xf numFmtId="0" fontId="2" fillId="28" borderId="30" xfId="0" applyFont="1" applyFill="1" applyBorder="1"/>
    <xf numFmtId="0" fontId="2" fillId="28" borderId="30" xfId="0" applyFont="1" applyFill="1" applyBorder="1" applyAlignment="1">
      <alignment horizontal="center"/>
    </xf>
    <xf numFmtId="0" fontId="4" fillId="28" borderId="30" xfId="0" applyFont="1" applyFill="1" applyBorder="1" applyAlignment="1">
      <alignment horizontal="center"/>
    </xf>
    <xf numFmtId="0" fontId="2" fillId="28" borderId="0" xfId="0" applyFont="1" applyFill="1" applyBorder="1"/>
    <xf numFmtId="0" fontId="2" fillId="28" borderId="0" xfId="0" applyFont="1" applyFill="1" applyBorder="1" applyAlignment="1">
      <alignment horizontal="center"/>
    </xf>
    <xf numFmtId="0" fontId="4" fillId="28" borderId="0" xfId="0" applyFont="1" applyFill="1" applyBorder="1" applyAlignment="1">
      <alignment horizontal="center"/>
    </xf>
    <xf numFmtId="186" fontId="2" fillId="0" borderId="0" xfId="0" applyNumberFormat="1" applyFont="1" applyAlignment="1">
      <alignment horizontal="right"/>
    </xf>
    <xf numFmtId="186" fontId="2" fillId="15" borderId="12" xfId="0" applyNumberFormat="1" applyFont="1" applyFill="1" applyBorder="1" applyAlignment="1">
      <alignment horizontal="right"/>
    </xf>
    <xf numFmtId="186" fontId="2" fillId="15" borderId="18" xfId="0" applyNumberFormat="1" applyFont="1" applyFill="1" applyBorder="1" applyAlignment="1">
      <alignment horizontal="right"/>
    </xf>
    <xf numFmtId="186" fontId="2" fillId="15" borderId="0" xfId="0" applyNumberFormat="1" applyFont="1" applyFill="1" applyBorder="1" applyAlignment="1">
      <alignment horizontal="right"/>
    </xf>
    <xf numFmtId="186" fontId="2" fillId="15" borderId="19" xfId="0" applyNumberFormat="1" applyFont="1" applyFill="1" applyBorder="1" applyAlignment="1">
      <alignment horizontal="right"/>
    </xf>
    <xf numFmtId="186" fontId="2" fillId="15" borderId="3" xfId="0" applyNumberFormat="1" applyFont="1" applyFill="1" applyBorder="1" applyAlignment="1">
      <alignment horizontal="right"/>
    </xf>
    <xf numFmtId="186" fontId="2" fillId="15" borderId="20" xfId="0" applyNumberFormat="1" applyFont="1" applyFill="1" applyBorder="1" applyAlignment="1">
      <alignment horizontal="right"/>
    </xf>
    <xf numFmtId="187" fontId="5" fillId="20" borderId="0" xfId="0" applyNumberFormat="1" applyFont="1" applyFill="1" applyAlignment="1">
      <alignment horizontal="right"/>
    </xf>
    <xf numFmtId="187" fontId="5" fillId="20" borderId="3" xfId="0" applyNumberFormat="1" applyFont="1" applyFill="1" applyBorder="1" applyAlignment="1">
      <alignment horizontal="right"/>
    </xf>
    <xf numFmtId="187" fontId="5" fillId="0" borderId="0" xfId="0" applyNumberFormat="1" applyFont="1" applyFill="1" applyAlignment="1">
      <alignment horizontal="right"/>
    </xf>
    <xf numFmtId="39" fontId="5" fillId="20" borderId="0" xfId="0" applyNumberFormat="1" applyFont="1" applyFill="1" applyAlignment="1">
      <alignment horizontal="right"/>
    </xf>
    <xf numFmtId="7" fontId="5" fillId="20" borderId="0" xfId="0" applyNumberFormat="1" applyFont="1" applyFill="1" applyAlignment="1">
      <alignment horizontal="right"/>
    </xf>
    <xf numFmtId="187" fontId="5" fillId="0" borderId="3" xfId="0" applyNumberFormat="1" applyFont="1" applyFill="1" applyBorder="1" applyAlignment="1">
      <alignment horizontal="right"/>
    </xf>
    <xf numFmtId="187" fontId="5" fillId="0" borderId="0" xfId="0" applyNumberFormat="1" applyFont="1" applyFill="1" applyBorder="1" applyAlignment="1">
      <alignment horizontal="right"/>
    </xf>
    <xf numFmtId="186" fontId="5" fillId="0" borderId="0" xfId="0" applyNumberFormat="1" applyFont="1" applyFill="1" applyBorder="1" applyAlignment="1">
      <alignment horizontal="center"/>
    </xf>
    <xf numFmtId="186" fontId="5" fillId="20" borderId="0" xfId="0" applyNumberFormat="1" applyFont="1" applyFill="1" applyBorder="1" applyAlignment="1">
      <alignment horizontal="center"/>
    </xf>
    <xf numFmtId="186" fontId="5" fillId="20" borderId="0" xfId="0" applyNumberFormat="1" applyFont="1" applyFill="1" applyAlignment="1">
      <alignment horizontal="center"/>
    </xf>
    <xf numFmtId="171" fontId="9" fillId="0" borderId="0" xfId="0" applyNumberFormat="1" applyFont="1" applyFill="1" applyAlignment="1">
      <alignment horizontal="right"/>
    </xf>
    <xf numFmtId="167" fontId="9" fillId="0" borderId="0" xfId="0" applyNumberFormat="1" applyFont="1" applyFill="1" applyAlignment="1">
      <alignment horizontal="center"/>
    </xf>
    <xf numFmtId="174" fontId="5" fillId="0" borderId="0" xfId="0" applyNumberFormat="1" applyFont="1" applyFill="1" applyAlignment="1">
      <alignment horizontal="center"/>
    </xf>
    <xf numFmtId="195" fontId="9" fillId="0" borderId="0" xfId="0" applyNumberFormat="1" applyFont="1" applyFill="1" applyAlignment="1">
      <alignment horizontal="center"/>
    </xf>
    <xf numFmtId="174" fontId="9" fillId="20" borderId="0" xfId="0" applyNumberFormat="1" applyFont="1" applyFill="1" applyAlignment="1">
      <alignment horizontal="right"/>
    </xf>
    <xf numFmtId="195" fontId="9" fillId="20" borderId="0" xfId="0" applyNumberFormat="1" applyFont="1" applyFill="1" applyAlignment="1">
      <alignment horizontal="right"/>
    </xf>
    <xf numFmtId="9" fontId="5" fillId="0" borderId="0" xfId="0" applyNumberFormat="1" applyFont="1" applyFill="1" applyAlignment="1">
      <alignment horizontal="right"/>
    </xf>
    <xf numFmtId="9" fontId="5" fillId="20" borderId="0" xfId="0" applyNumberFormat="1" applyFont="1" applyFill="1" applyAlignment="1">
      <alignment horizontal="right"/>
    </xf>
    <xf numFmtId="39" fontId="5" fillId="0" borderId="0" xfId="0" applyNumberFormat="1" applyFont="1" applyFill="1" applyAlignment="1">
      <alignment horizontal="right"/>
    </xf>
    <xf numFmtId="173" fontId="5" fillId="0" borderId="0" xfId="0" applyNumberFormat="1" applyFont="1" applyFill="1" applyAlignment="1">
      <alignment horizontal="right"/>
    </xf>
    <xf numFmtId="173" fontId="5" fillId="20" borderId="0" xfId="0" applyNumberFormat="1" applyFont="1" applyFill="1" applyAlignment="1">
      <alignment horizontal="right"/>
    </xf>
    <xf numFmtId="7" fontId="5" fillId="0" borderId="0" xfId="0" applyNumberFormat="1" applyFont="1" applyFill="1" applyAlignment="1">
      <alignment horizontal="right"/>
    </xf>
    <xf numFmtId="0" fontId="5" fillId="20" borderId="0" xfId="0" applyFont="1" applyFill="1" applyAlignment="1">
      <alignment horizontal="right"/>
    </xf>
    <xf numFmtId="173" fontId="5" fillId="0" borderId="0" xfId="0" applyNumberFormat="1" applyFont="1" applyFill="1" applyBorder="1" applyAlignment="1">
      <alignment horizontal="right"/>
    </xf>
    <xf numFmtId="7" fontId="5" fillId="20" borderId="0" xfId="0" applyNumberFormat="1" applyFont="1" applyFill="1" applyBorder="1" applyAlignment="1">
      <alignment horizontal="right"/>
    </xf>
    <xf numFmtId="187" fontId="5" fillId="0" borderId="0" xfId="0" applyNumberFormat="1" applyFont="1" applyAlignment="1">
      <alignment horizontal="right"/>
    </xf>
    <xf numFmtId="173" fontId="4" fillId="0" borderId="4" xfId="0" applyNumberFormat="1" applyFont="1" applyBorder="1" applyAlignment="1">
      <alignment horizontal="right"/>
    </xf>
    <xf numFmtId="173" fontId="4" fillId="0" borderId="4" xfId="0" applyNumberFormat="1" applyFont="1" applyFill="1" applyBorder="1" applyAlignment="1">
      <alignment horizontal="center"/>
    </xf>
    <xf numFmtId="173" fontId="4" fillId="0" borderId="4" xfId="0" applyNumberFormat="1" applyFont="1" applyFill="1" applyBorder="1" applyAlignment="1">
      <alignment horizontal="right"/>
    </xf>
    <xf numFmtId="173" fontId="4" fillId="0" borderId="22" xfId="0" applyNumberFormat="1" applyFont="1" applyFill="1" applyBorder="1" applyAlignment="1">
      <alignment horizontal="right"/>
    </xf>
    <xf numFmtId="173" fontId="4" fillId="0" borderId="14" xfId="0" applyNumberFormat="1" applyFont="1" applyFill="1" applyBorder="1"/>
    <xf numFmtId="173" fontId="4" fillId="0" borderId="4" xfId="0" applyNumberFormat="1" applyFont="1" applyFill="1" applyBorder="1"/>
    <xf numFmtId="173" fontId="4" fillId="20" borderId="4" xfId="0" applyNumberFormat="1" applyFont="1" applyFill="1" applyBorder="1" applyAlignment="1">
      <alignment horizontal="center"/>
    </xf>
    <xf numFmtId="173" fontId="4" fillId="20" borderId="4" xfId="0" applyNumberFormat="1" applyFont="1" applyFill="1" applyBorder="1" applyAlignment="1">
      <alignment horizontal="right"/>
    </xf>
    <xf numFmtId="173" fontId="4" fillId="0" borderId="4" xfId="0" applyNumberFormat="1" applyFont="1" applyBorder="1"/>
    <xf numFmtId="173" fontId="4" fillId="0" borderId="4" xfId="0" applyNumberFormat="1" applyFont="1" applyBorder="1" applyAlignment="1">
      <alignment horizontal="center"/>
    </xf>
    <xf numFmtId="39" fontId="4" fillId="0" borderId="12" xfId="0" applyNumberFormat="1" applyFont="1" applyBorder="1" applyAlignment="1">
      <alignment horizontal="center"/>
    </xf>
    <xf numFmtId="187" fontId="4" fillId="0" borderId="12" xfId="0" applyNumberFormat="1" applyFont="1" applyBorder="1" applyAlignment="1">
      <alignment horizontal="center"/>
    </xf>
    <xf numFmtId="0" fontId="4" fillId="0" borderId="15" xfId="0" applyFont="1" applyBorder="1"/>
    <xf numFmtId="39" fontId="4" fillId="0" borderId="0" xfId="0" applyNumberFormat="1" applyFont="1" applyBorder="1" applyAlignment="1">
      <alignment horizontal="center"/>
    </xf>
    <xf numFmtId="187" fontId="4" fillId="0" borderId="0" xfId="0" applyNumberFormat="1" applyFont="1" applyBorder="1" applyAlignment="1">
      <alignment horizontal="center"/>
    </xf>
    <xf numFmtId="0" fontId="4" fillId="0" borderId="16" xfId="0" applyFont="1" applyBorder="1"/>
    <xf numFmtId="0" fontId="4" fillId="0" borderId="3" xfId="0" applyFont="1" applyBorder="1"/>
    <xf numFmtId="39" fontId="4" fillId="0" borderId="3" xfId="0" applyNumberFormat="1" applyFont="1" applyBorder="1" applyAlignment="1">
      <alignment horizontal="center"/>
    </xf>
    <xf numFmtId="175" fontId="4" fillId="0" borderId="3" xfId="0" applyNumberFormat="1" applyFont="1" applyBorder="1" applyAlignment="1">
      <alignment horizontal="center"/>
    </xf>
    <xf numFmtId="187" fontId="4" fillId="0" borderId="3" xfId="0" applyNumberFormat="1" applyFont="1" applyBorder="1" applyAlignment="1">
      <alignment horizontal="center"/>
    </xf>
    <xf numFmtId="187" fontId="4" fillId="0" borderId="12" xfId="0" applyNumberFormat="1" applyFont="1" applyBorder="1" applyAlignment="1">
      <alignment horizontal="right"/>
    </xf>
    <xf numFmtId="187" fontId="4" fillId="0" borderId="18" xfId="0" applyNumberFormat="1" applyFont="1" applyBorder="1" applyAlignment="1">
      <alignment horizontal="right"/>
    </xf>
    <xf numFmtId="187" fontId="4" fillId="0" borderId="0" xfId="0" applyNumberFormat="1" applyFont="1" applyBorder="1" applyAlignment="1">
      <alignment horizontal="right"/>
    </xf>
    <xf numFmtId="187" fontId="4" fillId="0" borderId="19" xfId="0" applyNumberFormat="1" applyFont="1" applyBorder="1" applyAlignment="1">
      <alignment horizontal="right"/>
    </xf>
    <xf numFmtId="187" fontId="4" fillId="0" borderId="3" xfId="0" applyNumberFormat="1" applyFont="1" applyBorder="1" applyAlignment="1">
      <alignment horizontal="right"/>
    </xf>
    <xf numFmtId="187" fontId="4" fillId="0" borderId="20" xfId="0" applyNumberFormat="1" applyFont="1" applyBorder="1" applyAlignment="1">
      <alignment horizontal="right"/>
    </xf>
    <xf numFmtId="173" fontId="4" fillId="0" borderId="22" xfId="0" applyNumberFormat="1" applyFont="1" applyBorder="1" applyAlignment="1">
      <alignment horizontal="right"/>
    </xf>
    <xf numFmtId="173" fontId="4" fillId="0" borderId="14" xfId="0" applyNumberFormat="1" applyFont="1" applyBorder="1"/>
    <xf numFmtId="0" fontId="4" fillId="0" borderId="12" xfId="0" applyFont="1" applyBorder="1"/>
    <xf numFmtId="39" fontId="23" fillId="0" borderId="12" xfId="0" applyNumberFormat="1" applyFont="1" applyBorder="1" applyAlignment="1">
      <alignment horizontal="center"/>
    </xf>
    <xf numFmtId="187" fontId="23" fillId="0" borderId="12" xfId="0" applyNumberFormat="1" applyFont="1" applyBorder="1" applyAlignment="1">
      <alignment horizontal="center"/>
    </xf>
    <xf numFmtId="175" fontId="23" fillId="0" borderId="12" xfId="0" applyNumberFormat="1" applyFont="1" applyBorder="1" applyAlignment="1">
      <alignment horizontal="center"/>
    </xf>
    <xf numFmtId="187" fontId="23" fillId="0" borderId="12" xfId="0" applyNumberFormat="1" applyFont="1" applyFill="1" applyBorder="1" applyAlignment="1">
      <alignment horizontal="center"/>
    </xf>
    <xf numFmtId="173" fontId="4" fillId="0" borderId="12" xfId="0" applyNumberFormat="1" applyFont="1" applyBorder="1" applyAlignment="1">
      <alignment horizontal="right"/>
    </xf>
    <xf numFmtId="0" fontId="4" fillId="0" borderId="31" xfId="0" applyFont="1" applyBorder="1"/>
    <xf numFmtId="0" fontId="2" fillId="0" borderId="29" xfId="0" applyFont="1" applyBorder="1"/>
    <xf numFmtId="39" fontId="23" fillId="0" borderId="29" xfId="0" applyNumberFormat="1" applyFont="1" applyBorder="1" applyAlignment="1">
      <alignment horizontal="center"/>
    </xf>
    <xf numFmtId="187" fontId="23" fillId="0" borderId="29" xfId="0" applyNumberFormat="1" applyFont="1" applyBorder="1" applyAlignment="1">
      <alignment horizontal="center"/>
    </xf>
    <xf numFmtId="187" fontId="23" fillId="0" borderId="29" xfId="0" applyNumberFormat="1" applyFont="1" applyFill="1" applyBorder="1" applyAlignment="1">
      <alignment horizontal="center"/>
    </xf>
    <xf numFmtId="173" fontId="4" fillId="0" borderId="29" xfId="0" applyNumberFormat="1" applyFont="1" applyBorder="1" applyAlignment="1">
      <alignment horizontal="right"/>
    </xf>
    <xf numFmtId="173" fontId="4" fillId="0" borderId="32" xfId="0" applyNumberFormat="1" applyFont="1" applyBorder="1" applyAlignment="1">
      <alignment horizontal="right"/>
    </xf>
    <xf numFmtId="0" fontId="5" fillId="28" borderId="30" xfId="0" applyFont="1" applyFill="1" applyBorder="1"/>
    <xf numFmtId="0" fontId="5" fillId="28" borderId="30" xfId="0" applyFont="1" applyFill="1" applyBorder="1" applyAlignment="1">
      <alignment horizontal="center"/>
    </xf>
    <xf numFmtId="0" fontId="5" fillId="28" borderId="0" xfId="0" applyFont="1" applyFill="1" applyBorder="1"/>
    <xf numFmtId="0" fontId="5" fillId="28" borderId="0" xfId="0" applyFont="1" applyFill="1" applyBorder="1" applyAlignment="1">
      <alignment horizontal="center"/>
    </xf>
    <xf numFmtId="175" fontId="5" fillId="0" borderId="0" xfId="0" applyNumberFormat="1" applyFont="1" applyFill="1" applyAlignment="1">
      <alignment horizontal="center"/>
    </xf>
    <xf numFmtId="4" fontId="5" fillId="0" borderId="0" xfId="0" applyNumberFormat="1" applyFont="1" applyFill="1" applyAlignment="1">
      <alignment horizontal="center"/>
    </xf>
    <xf numFmtId="39" fontId="5" fillId="0" borderId="3" xfId="0" applyNumberFormat="1" applyFont="1" applyFill="1" applyBorder="1" applyAlignment="1">
      <alignment horizontal="center"/>
    </xf>
    <xf numFmtId="175" fontId="5" fillId="0" borderId="3" xfId="0" applyNumberFormat="1" applyFont="1" applyFill="1" applyBorder="1" applyAlignment="1">
      <alignment horizontal="center"/>
    </xf>
    <xf numFmtId="39" fontId="5" fillId="0" borderId="3" xfId="0" applyNumberFormat="1" applyFont="1" applyBorder="1" applyAlignment="1">
      <alignment horizontal="center"/>
    </xf>
    <xf numFmtId="187" fontId="5" fillId="0" borderId="3" xfId="0" applyNumberFormat="1" applyFont="1" applyBorder="1" applyAlignment="1">
      <alignment horizontal="right"/>
    </xf>
    <xf numFmtId="5" fontId="5" fillId="0" borderId="0" xfId="0" applyNumberFormat="1" applyFont="1" applyFill="1" applyAlignment="1">
      <alignment horizontal="center"/>
    </xf>
    <xf numFmtId="4" fontId="5" fillId="0" borderId="3" xfId="0" applyNumberFormat="1" applyFont="1" applyFill="1" applyBorder="1" applyAlignment="1">
      <alignment horizontal="center"/>
    </xf>
    <xf numFmtId="187" fontId="5" fillId="0" borderId="0" xfId="0" applyNumberFormat="1" applyFont="1"/>
    <xf numFmtId="39" fontId="5" fillId="0" borderId="0" xfId="0" applyNumberFormat="1" applyFont="1" applyBorder="1" applyAlignment="1">
      <alignment horizontal="center"/>
    </xf>
    <xf numFmtId="187" fontId="5" fillId="0" borderId="0" xfId="0" applyNumberFormat="1" applyFont="1" applyAlignment="1">
      <alignment horizontal="center"/>
    </xf>
    <xf numFmtId="0" fontId="0" fillId="0" borderId="0" xfId="0" applyBorder="1" applyAlignment="1">
      <alignment horizontal="right"/>
    </xf>
    <xf numFmtId="171" fontId="0" fillId="0" borderId="0" xfId="0" applyNumberFormat="1" applyBorder="1" applyAlignment="1">
      <alignment horizontal="right"/>
    </xf>
    <xf numFmtId="9" fontId="10" fillId="0" borderId="0" xfId="0" applyNumberFormat="1" applyFont="1" applyBorder="1" applyAlignment="1">
      <alignment horizontal="right"/>
    </xf>
    <xf numFmtId="171" fontId="10" fillId="0" borderId="0" xfId="0" applyNumberFormat="1" applyFont="1" applyBorder="1" applyAlignment="1">
      <alignment horizontal="right"/>
    </xf>
    <xf numFmtId="9" fontId="10" fillId="0" borderId="3" xfId="0" applyNumberFormat="1" applyFont="1" applyBorder="1" applyAlignment="1">
      <alignment horizontal="right"/>
    </xf>
    <xf numFmtId="0" fontId="4" fillId="17" borderId="4" xfId="0" applyFont="1" applyFill="1" applyBorder="1" applyAlignment="1">
      <alignment horizontal="right"/>
    </xf>
    <xf numFmtId="0" fontId="4" fillId="17" borderId="22" xfId="0" applyFont="1" applyFill="1" applyBorder="1" applyAlignment="1">
      <alignment horizontal="right"/>
    </xf>
    <xf numFmtId="9" fontId="10" fillId="0" borderId="0" xfId="0" applyNumberFormat="1" applyFont="1" applyFill="1" applyBorder="1" applyAlignment="1">
      <alignment horizontal="right"/>
    </xf>
    <xf numFmtId="0" fontId="0" fillId="0" borderId="0" xfId="0" applyAlignment="1">
      <alignment horizontal="right"/>
    </xf>
    <xf numFmtId="0" fontId="2" fillId="0" borderId="0" xfId="0" applyFont="1" applyAlignment="1">
      <alignment horizontal="right"/>
    </xf>
    <xf numFmtId="10" fontId="2" fillId="0" borderId="0" xfId="0" applyNumberFormat="1" applyFont="1" applyAlignment="1">
      <alignment horizontal="right"/>
    </xf>
    <xf numFmtId="0" fontId="4" fillId="0" borderId="0" xfId="0" applyFont="1" applyFill="1" applyBorder="1" applyAlignment="1">
      <alignment horizontal="right"/>
    </xf>
    <xf numFmtId="3" fontId="2" fillId="0" borderId="12" xfId="0" applyNumberFormat="1" applyFont="1" applyBorder="1" applyAlignment="1">
      <alignment horizontal="right"/>
    </xf>
    <xf numFmtId="3" fontId="2" fillId="0" borderId="0" xfId="0" applyNumberFormat="1" applyFont="1" applyBorder="1" applyAlignment="1">
      <alignment horizontal="right"/>
    </xf>
    <xf numFmtId="9" fontId="16" fillId="0" borderId="0" xfId="0" applyNumberFormat="1" applyFont="1" applyBorder="1" applyAlignment="1">
      <alignment horizontal="right"/>
    </xf>
    <xf numFmtId="1" fontId="2" fillId="0" borderId="0" xfId="0" applyNumberFormat="1" applyFont="1" applyBorder="1" applyAlignment="1">
      <alignment horizontal="right"/>
    </xf>
    <xf numFmtId="9" fontId="16" fillId="0" borderId="3" xfId="0" applyNumberFormat="1" applyFont="1" applyBorder="1" applyAlignment="1">
      <alignment horizontal="right"/>
    </xf>
    <xf numFmtId="171" fontId="16" fillId="0" borderId="3" xfId="0" applyNumberFormat="1" applyFont="1" applyBorder="1" applyAlignment="1">
      <alignment horizontal="right"/>
    </xf>
    <xf numFmtId="9" fontId="10" fillId="0" borderId="0" xfId="0" applyNumberFormat="1" applyFont="1" applyAlignment="1">
      <alignment horizontal="right"/>
    </xf>
    <xf numFmtId="9" fontId="16" fillId="0" borderId="0" xfId="0" applyNumberFormat="1" applyFont="1" applyAlignment="1">
      <alignment horizontal="right"/>
    </xf>
    <xf numFmtId="171" fontId="16" fillId="0" borderId="0" xfId="0" applyNumberFormat="1" applyFont="1" applyAlignment="1">
      <alignment horizontal="right"/>
    </xf>
    <xf numFmtId="1" fontId="2" fillId="0" borderId="12" xfId="0" applyNumberFormat="1" applyFont="1" applyBorder="1" applyAlignment="1">
      <alignment horizontal="right"/>
    </xf>
    <xf numFmtId="1" fontId="2" fillId="0" borderId="12" xfId="0" applyNumberFormat="1" applyFont="1" applyFill="1" applyBorder="1" applyAlignment="1">
      <alignment horizontal="right"/>
    </xf>
    <xf numFmtId="1" fontId="2" fillId="0" borderId="0" xfId="0" applyNumberFormat="1" applyFont="1" applyFill="1" applyBorder="1" applyAlignment="1">
      <alignment horizontal="right"/>
    </xf>
    <xf numFmtId="9" fontId="10" fillId="0" borderId="0" xfId="77" applyFont="1" applyFill="1" applyBorder="1" applyAlignment="1">
      <alignment horizontal="right"/>
    </xf>
    <xf numFmtId="9" fontId="2" fillId="0" borderId="0" xfId="77" applyFont="1" applyFill="1" applyBorder="1" applyAlignment="1">
      <alignment horizontal="right"/>
    </xf>
    <xf numFmtId="1" fontId="10" fillId="0" borderId="0" xfId="0" applyNumberFormat="1" applyFont="1" applyFill="1" applyBorder="1" applyAlignment="1">
      <alignment horizontal="right"/>
    </xf>
    <xf numFmtId="169" fontId="10" fillId="0" borderId="0" xfId="0" applyNumberFormat="1" applyFont="1" applyFill="1" applyBorder="1" applyAlignment="1">
      <alignment horizontal="right"/>
    </xf>
    <xf numFmtId="165" fontId="2" fillId="0" borderId="3" xfId="0" applyNumberFormat="1" applyFont="1" applyBorder="1" applyAlignment="1">
      <alignment horizontal="right"/>
    </xf>
    <xf numFmtId="165" fontId="2" fillId="0" borderId="3" xfId="0" applyNumberFormat="1" applyFont="1" applyFill="1" applyBorder="1" applyAlignment="1">
      <alignment horizontal="right"/>
    </xf>
    <xf numFmtId="165" fontId="2" fillId="0" borderId="0" xfId="0" applyNumberFormat="1" applyFont="1" applyAlignment="1">
      <alignment horizontal="right"/>
    </xf>
    <xf numFmtId="165" fontId="2" fillId="0" borderId="0" xfId="0" applyNumberFormat="1" applyFont="1" applyFill="1" applyAlignment="1">
      <alignment horizontal="right"/>
    </xf>
    <xf numFmtId="165" fontId="4" fillId="18" borderId="4" xfId="0" applyNumberFormat="1" applyFont="1" applyFill="1" applyBorder="1" applyAlignment="1">
      <alignment horizontal="right"/>
    </xf>
    <xf numFmtId="165" fontId="4" fillId="18" borderId="22" xfId="0" applyNumberFormat="1" applyFont="1" applyFill="1" applyBorder="1" applyAlignment="1">
      <alignment horizontal="right"/>
    </xf>
    <xf numFmtId="3" fontId="5" fillId="0" borderId="0" xfId="0" applyNumberFormat="1" applyFont="1" applyFill="1" applyBorder="1" applyAlignment="1">
      <alignment horizontal="right"/>
    </xf>
    <xf numFmtId="3" fontId="5" fillId="0" borderId="0" xfId="0" applyNumberFormat="1" applyFont="1" applyBorder="1" applyAlignment="1">
      <alignment horizontal="right"/>
    </xf>
    <xf numFmtId="9" fontId="14" fillId="0" borderId="0" xfId="0" applyNumberFormat="1" applyFont="1" applyBorder="1" applyAlignment="1">
      <alignment horizontal="right"/>
    </xf>
    <xf numFmtId="1" fontId="5" fillId="0" borderId="0" xfId="0" applyNumberFormat="1" applyFont="1" applyBorder="1" applyAlignment="1">
      <alignment horizontal="right"/>
    </xf>
    <xf numFmtId="9" fontId="10" fillId="0" borderId="3" xfId="0" applyNumberFormat="1" applyFont="1" applyFill="1" applyBorder="1" applyAlignment="1">
      <alignment horizontal="right"/>
    </xf>
    <xf numFmtId="9" fontId="14" fillId="0" borderId="3" xfId="0" applyNumberFormat="1" applyFont="1" applyFill="1" applyBorder="1" applyAlignment="1">
      <alignment horizontal="right"/>
    </xf>
    <xf numFmtId="171" fontId="14" fillId="0" borderId="3" xfId="0" applyNumberFormat="1" applyFont="1" applyFill="1" applyBorder="1" applyAlignment="1">
      <alignment horizontal="right"/>
    </xf>
    <xf numFmtId="9" fontId="10" fillId="0" borderId="0" xfId="0" applyNumberFormat="1" applyFont="1" applyFill="1" applyAlignment="1">
      <alignment horizontal="right"/>
    </xf>
    <xf numFmtId="9" fontId="16" fillId="0" borderId="0" xfId="0" applyNumberFormat="1" applyFont="1" applyFill="1" applyAlignment="1">
      <alignment horizontal="right"/>
    </xf>
    <xf numFmtId="171" fontId="16" fillId="0" borderId="0" xfId="0" applyNumberFormat="1" applyFont="1" applyFill="1" applyAlignment="1">
      <alignment horizontal="right"/>
    </xf>
    <xf numFmtId="165" fontId="2" fillId="0" borderId="12" xfId="0" applyNumberFormat="1" applyFont="1" applyBorder="1" applyAlignment="1">
      <alignment horizontal="right"/>
    </xf>
    <xf numFmtId="165" fontId="2" fillId="0" borderId="0" xfId="0" applyNumberFormat="1" applyFont="1" applyBorder="1" applyAlignment="1">
      <alignment horizontal="right"/>
    </xf>
    <xf numFmtId="3" fontId="10" fillId="0" borderId="0" xfId="0" applyNumberFormat="1" applyFont="1" applyBorder="1" applyAlignment="1">
      <alignment horizontal="right"/>
    </xf>
    <xf numFmtId="0" fontId="10" fillId="0" borderId="0" xfId="0" applyFont="1" applyBorder="1" applyAlignment="1">
      <alignment horizontal="right"/>
    </xf>
    <xf numFmtId="169" fontId="10" fillId="16" borderId="0" xfId="0" applyNumberFormat="1" applyFont="1" applyFill="1" applyBorder="1" applyAlignment="1">
      <alignment horizontal="right"/>
    </xf>
    <xf numFmtId="168" fontId="65" fillId="0" borderId="0" xfId="0" applyNumberFormat="1" applyFont="1" applyFill="1" applyBorder="1" applyAlignment="1">
      <alignment horizontal="right"/>
    </xf>
    <xf numFmtId="9" fontId="2" fillId="0" borderId="0" xfId="0" applyNumberFormat="1" applyFont="1" applyBorder="1" applyAlignment="1">
      <alignment horizontal="right"/>
    </xf>
    <xf numFmtId="0" fontId="4" fillId="0" borderId="12" xfId="0" applyFont="1" applyFill="1" applyBorder="1" applyAlignment="1">
      <alignment horizontal="right"/>
    </xf>
    <xf numFmtId="168" fontId="4" fillId="0" borderId="12" xfId="0" applyNumberFormat="1" applyFont="1" applyFill="1" applyBorder="1" applyAlignment="1">
      <alignment horizontal="right"/>
    </xf>
    <xf numFmtId="0" fontId="4" fillId="0" borderId="3" xfId="0" applyFont="1" applyFill="1" applyBorder="1" applyAlignment="1">
      <alignment horizontal="right"/>
    </xf>
    <xf numFmtId="168" fontId="65" fillId="0" borderId="3" xfId="0" applyNumberFormat="1" applyFont="1" applyFill="1" applyBorder="1" applyAlignment="1">
      <alignment horizontal="right"/>
    </xf>
    <xf numFmtId="0" fontId="4" fillId="16" borderId="0" xfId="0" applyFont="1" applyFill="1" applyAlignment="1">
      <alignment horizontal="right"/>
    </xf>
    <xf numFmtId="165" fontId="4" fillId="16" borderId="0" xfId="0" applyNumberFormat="1" applyFont="1" applyFill="1" applyAlignment="1">
      <alignment horizontal="right"/>
    </xf>
    <xf numFmtId="168" fontId="4" fillId="16" borderId="0" xfId="0" applyNumberFormat="1" applyFont="1" applyFill="1" applyAlignment="1">
      <alignment horizontal="right"/>
    </xf>
    <xf numFmtId="0" fontId="0" fillId="16" borderId="12" xfId="0" applyFill="1" applyBorder="1" applyAlignment="1">
      <alignment horizontal="right"/>
    </xf>
    <xf numFmtId="9" fontId="0" fillId="16" borderId="12" xfId="0" applyNumberFormat="1" applyFill="1" applyBorder="1" applyAlignment="1">
      <alignment horizontal="right"/>
    </xf>
    <xf numFmtId="9" fontId="10" fillId="16" borderId="12" xfId="0" applyNumberFormat="1" applyFont="1" applyFill="1" applyBorder="1" applyAlignment="1">
      <alignment horizontal="right"/>
    </xf>
    <xf numFmtId="0" fontId="0" fillId="16" borderId="3" xfId="0" applyFill="1" applyBorder="1" applyAlignment="1">
      <alignment horizontal="right"/>
    </xf>
    <xf numFmtId="9" fontId="0" fillId="16" borderId="3" xfId="0" applyNumberFormat="1" applyFill="1" applyBorder="1" applyAlignment="1">
      <alignment horizontal="right"/>
    </xf>
    <xf numFmtId="2" fontId="2" fillId="0" borderId="3" xfId="0" applyNumberFormat="1" applyFont="1" applyFill="1" applyBorder="1" applyAlignment="1">
      <alignment horizontal="right"/>
    </xf>
    <xf numFmtId="2" fontId="2" fillId="16" borderId="3" xfId="0" applyNumberFormat="1" applyFont="1" applyFill="1" applyBorder="1" applyAlignment="1">
      <alignment horizontal="right"/>
    </xf>
    <xf numFmtId="0" fontId="2" fillId="16" borderId="0" xfId="0" applyFont="1" applyFill="1" applyAlignment="1">
      <alignment horizontal="right"/>
    </xf>
    <xf numFmtId="9" fontId="2" fillId="16" borderId="0" xfId="0" applyNumberFormat="1" applyFont="1" applyFill="1" applyAlignment="1">
      <alignment horizontal="right"/>
    </xf>
    <xf numFmtId="2" fontId="2" fillId="0" borderId="0" xfId="0" applyNumberFormat="1" applyFont="1" applyFill="1" applyAlignment="1">
      <alignment horizontal="right"/>
    </xf>
    <xf numFmtId="2" fontId="2" fillId="16" borderId="0" xfId="0" applyNumberFormat="1" applyFont="1" applyFill="1" applyAlignment="1">
      <alignment horizontal="right"/>
    </xf>
    <xf numFmtId="0" fontId="4" fillId="16" borderId="3" xfId="0" applyFont="1" applyFill="1" applyBorder="1" applyAlignment="1">
      <alignment horizontal="right"/>
    </xf>
    <xf numFmtId="165" fontId="4" fillId="16" borderId="3" xfId="0" applyNumberFormat="1" applyFont="1" applyFill="1" applyBorder="1" applyAlignment="1">
      <alignment horizontal="right"/>
    </xf>
    <xf numFmtId="168" fontId="4" fillId="0" borderId="3" xfId="0" applyNumberFormat="1" applyFont="1" applyFill="1" applyBorder="1" applyAlignment="1">
      <alignment horizontal="right"/>
    </xf>
    <xf numFmtId="0" fontId="4" fillId="16" borderId="0" xfId="0" applyFont="1" applyFill="1" applyBorder="1" applyAlignment="1">
      <alignment horizontal="right"/>
    </xf>
    <xf numFmtId="165" fontId="4" fillId="16" borderId="0" xfId="0" applyNumberFormat="1" applyFont="1" applyFill="1" applyBorder="1" applyAlignment="1">
      <alignment horizontal="right"/>
    </xf>
    <xf numFmtId="165" fontId="86" fillId="0" borderId="0" xfId="0" applyNumberFormat="1" applyFont="1" applyFill="1" applyBorder="1" applyAlignment="1">
      <alignment horizontal="right"/>
    </xf>
    <xf numFmtId="168" fontId="68" fillId="0" borderId="0" xfId="0" applyNumberFormat="1" applyFont="1" applyFill="1" applyBorder="1" applyAlignment="1">
      <alignment horizontal="right"/>
    </xf>
    <xf numFmtId="0" fontId="5" fillId="16" borderId="0" xfId="0" applyFont="1" applyFill="1" applyBorder="1" applyAlignment="1">
      <alignment horizontal="right"/>
    </xf>
    <xf numFmtId="165" fontId="5" fillId="16" borderId="0" xfId="0" applyNumberFormat="1" applyFont="1" applyFill="1" applyBorder="1" applyAlignment="1">
      <alignment horizontal="right"/>
    </xf>
    <xf numFmtId="165" fontId="5" fillId="0" borderId="0" xfId="0" applyNumberFormat="1" applyFont="1" applyFill="1" applyBorder="1" applyAlignment="1">
      <alignment horizontal="right"/>
    </xf>
    <xf numFmtId="3" fontId="67" fillId="0" borderId="0" xfId="0" applyNumberFormat="1" applyFont="1" applyFill="1" applyBorder="1" applyAlignment="1">
      <alignment horizontal="right"/>
    </xf>
    <xf numFmtId="167" fontId="5" fillId="0" borderId="0" xfId="0" applyNumberFormat="1" applyFont="1" applyFill="1" applyBorder="1" applyAlignment="1">
      <alignment horizontal="right"/>
    </xf>
    <xf numFmtId="167" fontId="5" fillId="16" borderId="0" xfId="0" applyNumberFormat="1" applyFont="1" applyFill="1" applyBorder="1" applyAlignment="1">
      <alignment horizontal="right"/>
    </xf>
    <xf numFmtId="9" fontId="67" fillId="0" borderId="0" xfId="77" applyFont="1" applyFill="1" applyBorder="1" applyAlignment="1">
      <alignment horizontal="right"/>
    </xf>
    <xf numFmtId="9" fontId="67" fillId="16" borderId="0" xfId="77" applyFont="1" applyFill="1" applyBorder="1" applyAlignment="1">
      <alignment horizontal="right"/>
    </xf>
    <xf numFmtId="165" fontId="25" fillId="16" borderId="0" xfId="0" applyNumberFormat="1" applyFont="1" applyFill="1" applyBorder="1" applyAlignment="1">
      <alignment horizontal="right"/>
    </xf>
    <xf numFmtId="165" fontId="5" fillId="0" borderId="0" xfId="77" applyNumberFormat="1" applyFont="1" applyFill="1" applyBorder="1" applyAlignment="1">
      <alignment horizontal="right"/>
    </xf>
    <xf numFmtId="9" fontId="5" fillId="16" borderId="0" xfId="77" applyFont="1" applyFill="1" applyBorder="1" applyAlignment="1">
      <alignment horizontal="right"/>
    </xf>
    <xf numFmtId="3" fontId="25" fillId="0" borderId="0" xfId="0" applyNumberFormat="1" applyFont="1" applyFill="1" applyBorder="1" applyAlignment="1">
      <alignment horizontal="right"/>
    </xf>
    <xf numFmtId="3" fontId="25" fillId="16" borderId="0" xfId="0" applyNumberFormat="1" applyFont="1" applyFill="1" applyBorder="1" applyAlignment="1">
      <alignment horizontal="right"/>
    </xf>
    <xf numFmtId="9" fontId="67" fillId="0" borderId="0" xfId="0" applyNumberFormat="1" applyFont="1" applyFill="1" applyBorder="1" applyAlignment="1">
      <alignment horizontal="right"/>
    </xf>
    <xf numFmtId="168" fontId="5" fillId="0" borderId="0" xfId="0" applyNumberFormat="1" applyFont="1" applyFill="1" applyBorder="1" applyAlignment="1">
      <alignment horizontal="right"/>
    </xf>
    <xf numFmtId="165" fontId="78" fillId="0" borderId="0" xfId="0" applyNumberFormat="1" applyFont="1" applyFill="1" applyBorder="1" applyAlignment="1">
      <alignment horizontal="right"/>
    </xf>
    <xf numFmtId="165" fontId="14" fillId="0" borderId="0" xfId="0" applyNumberFormat="1" applyFont="1" applyFill="1" applyBorder="1" applyAlignment="1">
      <alignment horizontal="right"/>
    </xf>
    <xf numFmtId="165" fontId="14" fillId="16" borderId="0" xfId="0" applyNumberFormat="1" applyFont="1" applyFill="1" applyBorder="1" applyAlignment="1">
      <alignment horizontal="right"/>
    </xf>
    <xf numFmtId="168" fontId="5" fillId="16" borderId="0" xfId="0" applyNumberFormat="1" applyFont="1" applyFill="1" applyBorder="1" applyAlignment="1">
      <alignment horizontal="right"/>
    </xf>
    <xf numFmtId="165" fontId="25" fillId="0" borderId="0" xfId="0" applyNumberFormat="1" applyFont="1" applyFill="1" applyBorder="1" applyAlignment="1">
      <alignment horizontal="right"/>
    </xf>
    <xf numFmtId="0" fontId="10" fillId="16" borderId="0" xfId="0" applyFont="1" applyFill="1" applyBorder="1" applyAlignment="1">
      <alignment horizontal="right"/>
    </xf>
    <xf numFmtId="165" fontId="10" fillId="16" borderId="0" xfId="0" applyNumberFormat="1" applyFont="1" applyFill="1" applyBorder="1" applyAlignment="1">
      <alignment horizontal="right"/>
    </xf>
    <xf numFmtId="9" fontId="10" fillId="16" borderId="0" xfId="0" applyNumberFormat="1" applyFont="1" applyFill="1" applyBorder="1" applyAlignment="1">
      <alignment horizontal="right"/>
    </xf>
    <xf numFmtId="0" fontId="2" fillId="16" borderId="0" xfId="0" applyFont="1" applyFill="1" applyBorder="1" applyAlignment="1">
      <alignment horizontal="right"/>
    </xf>
    <xf numFmtId="165" fontId="2" fillId="0" borderId="0" xfId="0" applyNumberFormat="1" applyFont="1" applyFill="1" applyBorder="1" applyAlignment="1">
      <alignment horizontal="right"/>
    </xf>
    <xf numFmtId="165" fontId="2" fillId="16" borderId="0" xfId="0" applyNumberFormat="1" applyFont="1" applyFill="1" applyBorder="1" applyAlignment="1">
      <alignment horizontal="right"/>
    </xf>
    <xf numFmtId="1" fontId="2" fillId="16" borderId="0" xfId="0" applyNumberFormat="1" applyFont="1" applyFill="1" applyBorder="1" applyAlignment="1">
      <alignment horizontal="right"/>
    </xf>
    <xf numFmtId="0" fontId="2" fillId="0" borderId="3" xfId="0" applyFont="1" applyFill="1" applyBorder="1" applyAlignment="1">
      <alignment horizontal="right"/>
    </xf>
    <xf numFmtId="1" fontId="2" fillId="0" borderId="3" xfId="0" applyNumberFormat="1" applyFont="1" applyFill="1" applyBorder="1" applyAlignment="1">
      <alignment horizontal="right"/>
    </xf>
    <xf numFmtId="0" fontId="2" fillId="0" borderId="0" xfId="0" applyFont="1" applyFill="1" applyAlignment="1">
      <alignment horizontal="right"/>
    </xf>
    <xf numFmtId="1" fontId="2" fillId="0" borderId="0" xfId="0" applyNumberFormat="1" applyFont="1" applyFill="1" applyAlignment="1">
      <alignment horizontal="right"/>
    </xf>
    <xf numFmtId="165" fontId="29" fillId="18" borderId="4" xfId="0" applyNumberFormat="1" applyFont="1" applyFill="1" applyBorder="1" applyAlignment="1">
      <alignment horizontal="right"/>
    </xf>
    <xf numFmtId="5" fontId="4" fillId="18" borderId="4" xfId="0" applyNumberFormat="1" applyFont="1" applyFill="1" applyBorder="1" applyAlignment="1">
      <alignment horizontal="right"/>
    </xf>
    <xf numFmtId="5" fontId="4" fillId="18" borderId="22" xfId="0" applyNumberFormat="1" applyFont="1" applyFill="1" applyBorder="1" applyAlignment="1">
      <alignment horizontal="right"/>
    </xf>
    <xf numFmtId="165" fontId="29" fillId="0" borderId="0" xfId="0" applyNumberFormat="1" applyFont="1" applyBorder="1" applyAlignment="1">
      <alignment horizontal="right"/>
    </xf>
    <xf numFmtId="5" fontId="5" fillId="0" borderId="0" xfId="0" applyNumberFormat="1" applyFont="1" applyBorder="1" applyAlignment="1">
      <alignment horizontal="right"/>
    </xf>
    <xf numFmtId="173" fontId="66" fillId="0" borderId="0" xfId="0" applyNumberFormat="1" applyFont="1" applyBorder="1" applyAlignment="1">
      <alignment horizontal="right"/>
    </xf>
    <xf numFmtId="173" fontId="5" fillId="0" borderId="0" xfId="0" applyNumberFormat="1" applyFont="1" applyBorder="1" applyAlignment="1">
      <alignment horizontal="right"/>
    </xf>
    <xf numFmtId="5" fontId="66" fillId="0" borderId="0" xfId="0" applyNumberFormat="1" applyFont="1" applyBorder="1" applyAlignment="1">
      <alignment horizontal="right"/>
    </xf>
    <xf numFmtId="5" fontId="4" fillId="0" borderId="0" xfId="0" applyNumberFormat="1" applyFont="1" applyBorder="1" applyAlignment="1">
      <alignment horizontal="right"/>
    </xf>
    <xf numFmtId="5" fontId="2" fillId="0" borderId="0" xfId="0" applyNumberFormat="1" applyFont="1" applyBorder="1" applyAlignment="1">
      <alignment horizontal="right"/>
    </xf>
    <xf numFmtId="9" fontId="10" fillId="0" borderId="12" xfId="0" applyNumberFormat="1" applyFont="1" applyBorder="1" applyAlignment="1">
      <alignment horizontal="right"/>
    </xf>
    <xf numFmtId="1" fontId="2" fillId="0" borderId="3" xfId="0" applyNumberFormat="1" applyFont="1" applyBorder="1" applyAlignment="1">
      <alignment horizontal="right"/>
    </xf>
    <xf numFmtId="7" fontId="0" fillId="0" borderId="0" xfId="0" applyNumberFormat="1" applyAlignment="1">
      <alignment horizontal="right"/>
    </xf>
    <xf numFmtId="3" fontId="2" fillId="0" borderId="0" xfId="0" applyNumberFormat="1" applyFont="1" applyAlignment="1">
      <alignment horizontal="right"/>
    </xf>
    <xf numFmtId="3" fontId="5" fillId="0" borderId="0" xfId="0" applyNumberFormat="1" applyFont="1" applyAlignment="1">
      <alignment horizontal="right"/>
    </xf>
    <xf numFmtId="171" fontId="10" fillId="0" borderId="0" xfId="0" applyNumberFormat="1" applyFont="1" applyFill="1" applyAlignment="1">
      <alignment horizontal="right"/>
    </xf>
    <xf numFmtId="0" fontId="5" fillId="0" borderId="0" xfId="0" applyFont="1" applyAlignment="1">
      <alignment horizontal="right"/>
    </xf>
    <xf numFmtId="1" fontId="5" fillId="0" borderId="0" xfId="0" applyNumberFormat="1" applyFont="1" applyAlignment="1">
      <alignment horizontal="right"/>
    </xf>
    <xf numFmtId="9" fontId="14" fillId="0" borderId="0" xfId="0" applyNumberFormat="1" applyFont="1" applyAlignment="1">
      <alignment horizontal="right"/>
    </xf>
    <xf numFmtId="9" fontId="12" fillId="0" borderId="0" xfId="0" applyNumberFormat="1" applyFont="1" applyAlignment="1">
      <alignment horizontal="right"/>
    </xf>
    <xf numFmtId="9" fontId="27" fillId="0" borderId="0" xfId="0" applyNumberFormat="1" applyFont="1" applyAlignment="1">
      <alignment horizontal="right"/>
    </xf>
    <xf numFmtId="9" fontId="10" fillId="0" borderId="0" xfId="77" applyFont="1" applyFill="1" applyAlignment="1">
      <alignment horizontal="right"/>
    </xf>
    <xf numFmtId="9" fontId="2" fillId="0" borderId="0" xfId="77" applyFont="1" applyFill="1" applyAlignment="1">
      <alignment horizontal="right"/>
    </xf>
    <xf numFmtId="165" fontId="2" fillId="16" borderId="0" xfId="0" applyNumberFormat="1" applyFont="1" applyFill="1" applyAlignment="1">
      <alignment horizontal="right"/>
    </xf>
    <xf numFmtId="9" fontId="10" fillId="16" borderId="0" xfId="77" applyFont="1" applyFill="1" applyAlignment="1">
      <alignment horizontal="right"/>
    </xf>
    <xf numFmtId="9" fontId="2" fillId="16" borderId="0" xfId="77" applyFont="1" applyFill="1" applyAlignment="1">
      <alignment horizontal="right"/>
    </xf>
    <xf numFmtId="167" fontId="4" fillId="18" borderId="4" xfId="0" applyNumberFormat="1" applyFont="1" applyFill="1" applyBorder="1" applyAlignment="1">
      <alignment horizontal="right"/>
    </xf>
    <xf numFmtId="167" fontId="2" fillId="0" borderId="0" xfId="0" applyNumberFormat="1" applyFont="1" applyBorder="1" applyAlignment="1">
      <alignment horizontal="right"/>
    </xf>
    <xf numFmtId="167" fontId="2" fillId="0" borderId="0" xfId="0" applyNumberFormat="1" applyFont="1" applyAlignment="1">
      <alignment horizontal="right"/>
    </xf>
    <xf numFmtId="0" fontId="2" fillId="0" borderId="0" xfId="0" applyFont="1" applyBorder="1" applyAlignment="1">
      <alignment horizontal="right"/>
    </xf>
    <xf numFmtId="165" fontId="0" fillId="0" borderId="0" xfId="0" applyNumberFormat="1" applyBorder="1" applyAlignment="1">
      <alignment horizontal="right"/>
    </xf>
    <xf numFmtId="9" fontId="0" fillId="0" borderId="0" xfId="77" applyFont="1" applyBorder="1" applyAlignment="1">
      <alignment horizontal="right"/>
    </xf>
    <xf numFmtId="9" fontId="80" fillId="0" borderId="19" xfId="0" applyNumberFormat="1" applyFont="1" applyFill="1" applyBorder="1" applyAlignment="1">
      <alignment horizontal="right"/>
    </xf>
    <xf numFmtId="9" fontId="9" fillId="0" borderId="18" xfId="0" applyNumberFormat="1" applyFont="1" applyFill="1" applyBorder="1" applyAlignment="1">
      <alignment horizontal="right"/>
    </xf>
    <xf numFmtId="9" fontId="88" fillId="0" borderId="0" xfId="77" applyFont="1"/>
    <xf numFmtId="171" fontId="2" fillId="0" borderId="0" xfId="0" applyNumberFormat="1" applyFont="1" applyBorder="1" applyAlignment="1">
      <alignment horizontal="center"/>
    </xf>
    <xf numFmtId="171" fontId="2" fillId="0" borderId="0" xfId="0" applyNumberFormat="1" applyFont="1" applyFill="1" applyBorder="1" applyAlignment="1">
      <alignment horizontal="center"/>
    </xf>
    <xf numFmtId="0" fontId="0" fillId="28" borderId="0" xfId="0" applyFill="1" applyBorder="1"/>
    <xf numFmtId="165" fontId="5" fillId="28" borderId="0" xfId="0" applyNumberFormat="1" applyFont="1" applyFill="1" applyBorder="1" applyAlignment="1">
      <alignment horizontal="center" vertical="center"/>
    </xf>
    <xf numFmtId="0" fontId="4" fillId="28" borderId="0" xfId="0" applyFont="1" applyFill="1" applyBorder="1"/>
    <xf numFmtId="165" fontId="4" fillId="28" borderId="0" xfId="0" applyNumberFormat="1" applyFont="1" applyFill="1" applyBorder="1" applyAlignment="1">
      <alignment horizontal="center" vertical="center"/>
    </xf>
    <xf numFmtId="43" fontId="5" fillId="28" borderId="0" xfId="0" applyNumberFormat="1" applyFont="1" applyFill="1" applyBorder="1"/>
    <xf numFmtId="0" fontId="4" fillId="28" borderId="4" xfId="0" applyFont="1" applyFill="1" applyBorder="1"/>
    <xf numFmtId="0" fontId="0" fillId="28" borderId="4" xfId="0" applyFill="1" applyBorder="1"/>
    <xf numFmtId="165" fontId="4" fillId="28" borderId="4" xfId="0" applyNumberFormat="1" applyFont="1" applyFill="1" applyBorder="1" applyAlignment="1">
      <alignment horizontal="center" vertical="center"/>
    </xf>
    <xf numFmtId="9" fontId="2" fillId="28" borderId="0" xfId="0" applyNumberFormat="1" applyFont="1" applyFill="1" applyBorder="1" applyAlignment="1">
      <alignment horizontal="center"/>
    </xf>
    <xf numFmtId="43" fontId="2" fillId="28" borderId="0" xfId="0" applyNumberFormat="1" applyFont="1" applyFill="1" applyBorder="1"/>
    <xf numFmtId="169" fontId="2" fillId="28" borderId="0" xfId="0" applyNumberFormat="1" applyFont="1" applyFill="1" applyBorder="1" applyAlignment="1">
      <alignment horizontal="center"/>
    </xf>
    <xf numFmtId="1" fontId="2" fillId="28" borderId="0" xfId="0" applyNumberFormat="1" applyFont="1" applyFill="1" applyBorder="1" applyAlignment="1">
      <alignment horizontal="center"/>
    </xf>
    <xf numFmtId="5" fontId="5" fillId="0" borderId="29" xfId="0" applyNumberFormat="1" applyFont="1" applyBorder="1" applyAlignment="1">
      <alignment horizontal="center"/>
    </xf>
    <xf numFmtId="0" fontId="4" fillId="29" borderId="20" xfId="0" applyFont="1" applyFill="1" applyBorder="1" applyAlignment="1">
      <alignment horizontal="center" wrapText="1"/>
    </xf>
    <xf numFmtId="0" fontId="4" fillId="29" borderId="18" xfId="0" applyFont="1" applyFill="1" applyBorder="1" applyAlignment="1">
      <alignment horizontal="center" wrapText="1"/>
    </xf>
    <xf numFmtId="0" fontId="4" fillId="29" borderId="12" xfId="0" applyFont="1" applyFill="1" applyBorder="1" applyAlignment="1">
      <alignment horizontal="center"/>
    </xf>
    <xf numFmtId="0" fontId="5" fillId="29" borderId="12" xfId="0" applyFont="1" applyFill="1" applyBorder="1" applyAlignment="1">
      <alignment horizontal="center"/>
    </xf>
    <xf numFmtId="0" fontId="5" fillId="29" borderId="12" xfId="0" applyFont="1" applyFill="1" applyBorder="1"/>
    <xf numFmtId="0" fontId="5" fillId="0" borderId="29" xfId="0" applyFont="1" applyBorder="1"/>
    <xf numFmtId="0" fontId="4" fillId="29" borderId="3" xfId="0" applyFont="1" applyFill="1" applyBorder="1" applyAlignment="1">
      <alignment horizontal="center"/>
    </xf>
    <xf numFmtId="0" fontId="5" fillId="29" borderId="3" xfId="0" applyFont="1" applyFill="1" applyBorder="1" applyAlignment="1">
      <alignment horizontal="center"/>
    </xf>
    <xf numFmtId="0" fontId="5" fillId="29" borderId="3" xfId="0" applyFont="1" applyFill="1" applyBorder="1"/>
    <xf numFmtId="175" fontId="5" fillId="20" borderId="0" xfId="0" applyNumberFormat="1" applyFont="1" applyFill="1" applyAlignment="1">
      <alignment horizontal="right"/>
    </xf>
    <xf numFmtId="200" fontId="5" fillId="0" borderId="0" xfId="77" applyNumberFormat="1" applyFont="1" applyFill="1" applyBorder="1" applyAlignment="1">
      <alignment horizontal="right"/>
    </xf>
    <xf numFmtId="200" fontId="88" fillId="0" borderId="0" xfId="77" applyNumberFormat="1" applyFont="1" applyFill="1" applyBorder="1" applyAlignment="1">
      <alignment horizontal="right"/>
    </xf>
    <xf numFmtId="200" fontId="5" fillId="0" borderId="19" xfId="77" applyNumberFormat="1" applyFont="1" applyFill="1" applyBorder="1" applyAlignment="1">
      <alignment horizontal="right"/>
    </xf>
    <xf numFmtId="4" fontId="78" fillId="0" borderId="0" xfId="0" applyNumberFormat="1" applyFont="1" applyFill="1" applyBorder="1" applyAlignment="1">
      <alignment horizontal="center"/>
    </xf>
    <xf numFmtId="0" fontId="2" fillId="0" borderId="12" xfId="0" applyFont="1" applyFill="1" applyBorder="1" applyAlignment="1">
      <alignment horizontal="center"/>
    </xf>
    <xf numFmtId="0" fontId="4" fillId="0" borderId="12" xfId="0" applyFont="1" applyFill="1" applyBorder="1" applyAlignment="1">
      <alignment horizontal="center"/>
    </xf>
    <xf numFmtId="0" fontId="4" fillId="0" borderId="18" xfId="0" applyFont="1" applyFill="1" applyBorder="1" applyAlignment="1">
      <alignment horizontal="right"/>
    </xf>
    <xf numFmtId="0" fontId="2" fillId="0" borderId="3" xfId="0" applyFont="1" applyFill="1" applyBorder="1" applyAlignment="1">
      <alignment horizontal="center"/>
    </xf>
    <xf numFmtId="4" fontId="88" fillId="0" borderId="19" xfId="0" applyNumberFormat="1" applyFont="1" applyFill="1" applyBorder="1" applyAlignment="1">
      <alignment horizontal="right"/>
    </xf>
    <xf numFmtId="0" fontId="4" fillId="27" borderId="30" xfId="63" applyFont="1" applyFill="1" applyBorder="1" applyAlignment="1">
      <alignment horizontal="left" vertical="center"/>
    </xf>
    <xf numFmtId="187" fontId="2" fillId="20" borderId="0" xfId="0" applyNumberFormat="1" applyFont="1" applyFill="1" applyAlignment="1">
      <alignment horizontal="right"/>
    </xf>
    <xf numFmtId="187" fontId="2" fillId="20" borderId="0" xfId="0" applyNumberFormat="1" applyFont="1" applyFill="1" applyBorder="1" applyAlignment="1">
      <alignment horizontal="right"/>
    </xf>
    <xf numFmtId="187" fontId="2" fillId="0" borderId="0" xfId="0" applyNumberFormat="1" applyFont="1" applyFill="1" applyBorder="1"/>
    <xf numFmtId="0" fontId="5" fillId="21" borderId="15" xfId="70" applyFont="1" applyFill="1" applyBorder="1"/>
    <xf numFmtId="180" fontId="4" fillId="21" borderId="0" xfId="70" applyNumberFormat="1" applyFont="1" applyFill="1" applyBorder="1" applyAlignment="1">
      <alignment horizontal="center"/>
    </xf>
    <xf numFmtId="38" fontId="4" fillId="21" borderId="0" xfId="70" applyNumberFormat="1" applyFont="1" applyFill="1" applyBorder="1" applyAlignment="1">
      <alignment horizontal="center"/>
    </xf>
    <xf numFmtId="40" fontId="4" fillId="21" borderId="0" xfId="70" applyNumberFormat="1" applyFont="1" applyFill="1" applyBorder="1" applyAlignment="1">
      <alignment horizontal="center"/>
    </xf>
    <xf numFmtId="40" fontId="4" fillId="21" borderId="19" xfId="70" applyNumberFormat="1" applyFont="1" applyFill="1" applyBorder="1" applyAlignment="1">
      <alignment horizontal="center"/>
    </xf>
    <xf numFmtId="177" fontId="5" fillId="21" borderId="15" xfId="52" applyNumberFormat="1" applyFont="1" applyFill="1" applyBorder="1"/>
    <xf numFmtId="177" fontId="5" fillId="21" borderId="0" xfId="52" applyNumberFormat="1" applyFont="1" applyFill="1" applyBorder="1"/>
    <xf numFmtId="38" fontId="5" fillId="21" borderId="0" xfId="52" applyNumberFormat="1" applyFont="1" applyFill="1" applyBorder="1" applyAlignment="1">
      <alignment horizontal="center"/>
    </xf>
    <xf numFmtId="183" fontId="5" fillId="21" borderId="0" xfId="52" applyNumberFormat="1" applyFont="1" applyFill="1" applyBorder="1" applyAlignment="1">
      <alignment horizontal="center"/>
    </xf>
    <xf numFmtId="183" fontId="78" fillId="21" borderId="0" xfId="52" applyNumberFormat="1" applyFont="1" applyFill="1" applyBorder="1" applyAlignment="1">
      <alignment horizontal="center"/>
    </xf>
    <xf numFmtId="183" fontId="5" fillId="21" borderId="19" xfId="52" applyNumberFormat="1" applyFont="1" applyFill="1" applyBorder="1" applyAlignment="1">
      <alignment horizontal="center"/>
    </xf>
    <xf numFmtId="179" fontId="10" fillId="21" borderId="0" xfId="52" applyNumberFormat="1" applyFont="1" applyFill="1" applyBorder="1" applyAlignment="1">
      <alignment horizontal="center"/>
    </xf>
    <xf numFmtId="183" fontId="10" fillId="21" borderId="0" xfId="52" applyNumberFormat="1" applyFont="1" applyFill="1" applyBorder="1" applyAlignment="1">
      <alignment horizontal="center"/>
    </xf>
    <xf numFmtId="177" fontId="5" fillId="21" borderId="0" xfId="70" applyNumberFormat="1" applyFont="1" applyFill="1" applyBorder="1"/>
    <xf numFmtId="182" fontId="5" fillId="21" borderId="0" xfId="52" applyNumberFormat="1" applyFont="1" applyFill="1" applyBorder="1" applyAlignment="1">
      <alignment horizontal="center"/>
    </xf>
    <xf numFmtId="182" fontId="5" fillId="21" borderId="19" xfId="52" applyNumberFormat="1" applyFont="1" applyFill="1" applyBorder="1" applyAlignment="1">
      <alignment horizontal="center"/>
    </xf>
    <xf numFmtId="4" fontId="88" fillId="0" borderId="0" xfId="0" applyNumberFormat="1" applyFont="1" applyFill="1" applyBorder="1" applyAlignment="1">
      <alignment horizontal="right"/>
    </xf>
    <xf numFmtId="187" fontId="5" fillId="21" borderId="0" xfId="0" applyNumberFormat="1" applyFont="1" applyFill="1" applyBorder="1" applyAlignment="1">
      <alignment horizontal="right"/>
    </xf>
    <xf numFmtId="187" fontId="5" fillId="20" borderId="0" xfId="77" applyNumberFormat="1" applyFont="1" applyFill="1" applyBorder="1" applyAlignment="1">
      <alignment horizontal="right"/>
    </xf>
    <xf numFmtId="187" fontId="5" fillId="0" borderId="0" xfId="77" applyNumberFormat="1" applyFont="1" applyFill="1" applyBorder="1" applyAlignment="1">
      <alignment horizontal="right"/>
    </xf>
    <xf numFmtId="187" fontId="78" fillId="20" borderId="0" xfId="0" applyNumberFormat="1" applyFont="1" applyFill="1" applyBorder="1" applyAlignment="1">
      <alignment horizontal="right"/>
    </xf>
    <xf numFmtId="0" fontId="2" fillId="0" borderId="0" xfId="0" applyFont="1" applyFill="1" applyBorder="1" applyAlignment="1">
      <alignment horizontal="left" indent="2"/>
    </xf>
    <xf numFmtId="171" fontId="89" fillId="20" borderId="0" xfId="77" applyNumberFormat="1" applyFont="1" applyFill="1" applyBorder="1" applyAlignment="1">
      <alignment horizontal="right"/>
    </xf>
    <xf numFmtId="171" fontId="88" fillId="20" borderId="0" xfId="77" applyNumberFormat="1" applyFont="1" applyFill="1" applyBorder="1" applyAlignment="1">
      <alignment horizontal="right"/>
    </xf>
    <xf numFmtId="187" fontId="89" fillId="20" borderId="0" xfId="0" applyNumberFormat="1" applyFont="1" applyFill="1" applyAlignment="1">
      <alignment horizontal="right"/>
    </xf>
    <xf numFmtId="187" fontId="89" fillId="0" borderId="0" xfId="0" applyNumberFormat="1" applyFont="1" applyFill="1" applyAlignment="1">
      <alignment horizontal="right"/>
    </xf>
    <xf numFmtId="187" fontId="89" fillId="20" borderId="3" xfId="0" applyNumberFormat="1" applyFont="1" applyFill="1" applyBorder="1" applyAlignment="1">
      <alignment horizontal="right"/>
    </xf>
    <xf numFmtId="187" fontId="89" fillId="0" borderId="3" xfId="0" applyNumberFormat="1" applyFont="1" applyFill="1" applyBorder="1" applyAlignment="1">
      <alignment horizontal="right"/>
    </xf>
    <xf numFmtId="187" fontId="89" fillId="20" borderId="0" xfId="0" applyNumberFormat="1" applyFont="1" applyFill="1" applyBorder="1" applyAlignment="1">
      <alignment horizontal="right"/>
    </xf>
    <xf numFmtId="187" fontId="89" fillId="0" borderId="0" xfId="0" applyNumberFormat="1" applyFont="1" applyFill="1" applyBorder="1" applyAlignment="1">
      <alignment horizontal="right"/>
    </xf>
    <xf numFmtId="171" fontId="88" fillId="0" borderId="0" xfId="77" applyNumberFormat="1" applyFont="1" applyFill="1" applyBorder="1" applyAlignment="1">
      <alignment horizontal="right"/>
    </xf>
    <xf numFmtId="171" fontId="2" fillId="20" borderId="0" xfId="77" applyNumberFormat="1" applyFont="1" applyFill="1" applyBorder="1" applyAlignment="1">
      <alignment horizontal="right"/>
    </xf>
    <xf numFmtId="171" fontId="35" fillId="20" borderId="0" xfId="0" applyNumberFormat="1" applyFont="1" applyFill="1" applyAlignment="1">
      <alignment horizontal="right"/>
    </xf>
    <xf numFmtId="169" fontId="2" fillId="20" borderId="0" xfId="0" applyNumberFormat="1" applyFont="1" applyFill="1" applyAlignment="1">
      <alignment horizontal="right"/>
    </xf>
    <xf numFmtId="1" fontId="78" fillId="20" borderId="0" xfId="0" applyNumberFormat="1" applyFont="1" applyFill="1" applyAlignment="1">
      <alignment horizontal="right"/>
    </xf>
    <xf numFmtId="165" fontId="35" fillId="20" borderId="0" xfId="0" applyNumberFormat="1" applyFont="1" applyFill="1" applyAlignment="1">
      <alignment horizontal="right"/>
    </xf>
    <xf numFmtId="168" fontId="35" fillId="20" borderId="0" xfId="0" applyNumberFormat="1" applyFont="1" applyFill="1" applyAlignment="1">
      <alignment horizontal="right"/>
    </xf>
    <xf numFmtId="7" fontId="2" fillId="20" borderId="0" xfId="0" applyNumberFormat="1" applyFont="1" applyFill="1" applyAlignment="1">
      <alignment horizontal="right"/>
    </xf>
    <xf numFmtId="9" fontId="2" fillId="20" borderId="0" xfId="0" applyNumberFormat="1" applyFont="1" applyFill="1" applyAlignment="1">
      <alignment horizontal="right"/>
    </xf>
    <xf numFmtId="173" fontId="2" fillId="20" borderId="0" xfId="0" applyNumberFormat="1" applyFont="1" applyFill="1" applyBorder="1" applyAlignment="1"/>
    <xf numFmtId="173" fontId="5" fillId="0" borderId="0" xfId="0" applyNumberFormat="1" applyFont="1" applyFill="1" applyAlignment="1"/>
    <xf numFmtId="173" fontId="5" fillId="20" borderId="0" xfId="0" applyNumberFormat="1" applyFont="1" applyFill="1" applyAlignment="1"/>
    <xf numFmtId="7" fontId="0" fillId="20" borderId="0" xfId="0" applyNumberFormat="1" applyFill="1" applyBorder="1" applyAlignment="1">
      <alignment horizontal="right"/>
    </xf>
    <xf numFmtId="0" fontId="2" fillId="0" borderId="0" xfId="0" applyFont="1" applyFill="1" applyBorder="1" applyAlignment="1">
      <alignment horizontal="left" indent="1"/>
    </xf>
    <xf numFmtId="0" fontId="2" fillId="28" borderId="0" xfId="0" applyFont="1" applyFill="1"/>
    <xf numFmtId="169" fontId="2" fillId="28" borderId="0" xfId="0" applyNumberFormat="1" applyFont="1" applyFill="1" applyAlignment="1">
      <alignment horizontal="center"/>
    </xf>
    <xf numFmtId="174" fontId="2" fillId="28" borderId="0" xfId="0" applyNumberFormat="1" applyFont="1" applyFill="1" applyAlignment="1">
      <alignment horizontal="center"/>
    </xf>
    <xf numFmtId="174" fontId="10" fillId="28" borderId="0" xfId="0" applyNumberFormat="1" applyFont="1" applyFill="1" applyAlignment="1">
      <alignment horizontal="center"/>
    </xf>
    <xf numFmtId="2" fontId="2" fillId="28" borderId="0" xfId="0" applyNumberFormat="1" applyFont="1" applyFill="1" applyAlignment="1">
      <alignment horizontal="center"/>
    </xf>
    <xf numFmtId="2" fontId="5" fillId="28" borderId="0" xfId="0" applyNumberFormat="1" applyFont="1" applyFill="1" applyAlignment="1">
      <alignment horizontal="center"/>
    </xf>
    <xf numFmtId="2" fontId="78" fillId="28" borderId="0" xfId="0" applyNumberFormat="1" applyFont="1" applyFill="1" applyAlignment="1">
      <alignment horizontal="center"/>
    </xf>
    <xf numFmtId="169" fontId="5" fillId="28" borderId="0" xfId="0" applyNumberFormat="1" applyFont="1" applyFill="1" applyAlignment="1">
      <alignment horizontal="center"/>
    </xf>
    <xf numFmtId="187" fontId="5" fillId="28" borderId="0" xfId="0" applyNumberFormat="1" applyFont="1" applyFill="1" applyAlignment="1">
      <alignment horizontal="right"/>
    </xf>
    <xf numFmtId="0" fontId="0" fillId="28" borderId="0" xfId="0" applyFill="1"/>
    <xf numFmtId="0" fontId="5" fillId="28" borderId="0" xfId="0" applyFont="1" applyFill="1" applyAlignment="1">
      <alignment horizontal="left"/>
    </xf>
    <xf numFmtId="0" fontId="5" fillId="28" borderId="0" xfId="0" applyFont="1" applyFill="1" applyBorder="1" applyAlignment="1">
      <alignment horizontal="right"/>
    </xf>
    <xf numFmtId="3" fontId="5" fillId="28" borderId="0" xfId="0" applyNumberFormat="1" applyFont="1" applyFill="1" applyAlignment="1">
      <alignment horizontal="right"/>
    </xf>
    <xf numFmtId="4" fontId="5" fillId="28" borderId="0" xfId="0" applyNumberFormat="1" applyFont="1" applyFill="1" applyAlignment="1">
      <alignment horizontal="right"/>
    </xf>
    <xf numFmtId="0" fontId="78" fillId="28" borderId="0" xfId="0" applyFont="1" applyFill="1" applyBorder="1" applyAlignment="1">
      <alignment horizontal="right"/>
    </xf>
    <xf numFmtId="169" fontId="78" fillId="28" borderId="0" xfId="0" applyNumberFormat="1" applyFont="1" applyFill="1" applyBorder="1" applyAlignment="1">
      <alignment horizontal="right"/>
    </xf>
    <xf numFmtId="169" fontId="5" fillId="28" borderId="0" xfId="0" applyNumberFormat="1" applyFont="1" applyFill="1" applyBorder="1" applyAlignment="1">
      <alignment horizontal="right"/>
    </xf>
    <xf numFmtId="187" fontId="89" fillId="28" borderId="0" xfId="0" applyNumberFormat="1" applyFont="1" applyFill="1" applyAlignment="1">
      <alignment horizontal="right"/>
    </xf>
    <xf numFmtId="187" fontId="5" fillId="28" borderId="0" xfId="0" applyNumberFormat="1" applyFont="1" applyFill="1" applyBorder="1" applyAlignment="1">
      <alignment horizontal="right"/>
    </xf>
    <xf numFmtId="4" fontId="2" fillId="21" borderId="0" xfId="0" applyNumberFormat="1" applyFont="1" applyFill="1" applyBorder="1" applyAlignment="1">
      <alignment horizontal="right"/>
    </xf>
    <xf numFmtId="201" fontId="0" fillId="0" borderId="0" xfId="0" applyNumberFormat="1" applyBorder="1" applyAlignment="1">
      <alignment horizontal="center"/>
    </xf>
    <xf numFmtId="5" fontId="4" fillId="0" borderId="4" xfId="0" applyNumberFormat="1" applyFont="1" applyBorder="1" applyAlignment="1">
      <alignment horizontal="right"/>
    </xf>
    <xf numFmtId="167" fontId="0" fillId="0" borderId="18" xfId="0" applyNumberFormat="1" applyBorder="1" applyAlignment="1">
      <alignment horizontal="center"/>
    </xf>
    <xf numFmtId="9" fontId="10" fillId="0" borderId="19" xfId="0" applyNumberFormat="1" applyFont="1" applyBorder="1"/>
    <xf numFmtId="0" fontId="0" fillId="0" borderId="33" xfId="0" applyBorder="1"/>
    <xf numFmtId="39" fontId="0" fillId="0" borderId="33" xfId="0" applyNumberFormat="1" applyBorder="1"/>
    <xf numFmtId="4" fontId="0" fillId="0" borderId="33" xfId="0" applyNumberFormat="1" applyBorder="1"/>
    <xf numFmtId="4" fontId="0" fillId="0" borderId="20" xfId="0" applyNumberFormat="1" applyBorder="1"/>
    <xf numFmtId="187" fontId="2" fillId="28" borderId="0" xfId="0" applyNumberFormat="1" applyFont="1" applyFill="1" applyAlignment="1">
      <alignment horizontal="right"/>
    </xf>
    <xf numFmtId="187" fontId="5" fillId="21" borderId="0" xfId="0" applyNumberFormat="1" applyFont="1" applyFill="1" applyAlignment="1">
      <alignment horizontal="right"/>
    </xf>
    <xf numFmtId="0" fontId="5" fillId="21" borderId="0" xfId="0" applyFont="1" applyFill="1" applyAlignment="1">
      <alignment vertical="center"/>
    </xf>
    <xf numFmtId="187" fontId="2" fillId="0" borderId="0" xfId="0" applyNumberFormat="1" applyFont="1" applyFill="1" applyBorder="1" applyAlignment="1">
      <alignment horizontal="right"/>
    </xf>
    <xf numFmtId="171" fontId="2" fillId="0" borderId="0" xfId="77" applyNumberFormat="1" applyFont="1" applyFill="1" applyBorder="1" applyAlignment="1">
      <alignment horizontal="right"/>
    </xf>
    <xf numFmtId="9" fontId="5" fillId="20" borderId="0" xfId="77" applyFont="1" applyFill="1" applyBorder="1" applyAlignment="1">
      <alignment horizontal="right"/>
    </xf>
    <xf numFmtId="187" fontId="5" fillId="30" borderId="0" xfId="0" applyNumberFormat="1" applyFont="1" applyFill="1" applyAlignment="1">
      <alignment horizontal="right"/>
    </xf>
    <xf numFmtId="187" fontId="5" fillId="30" borderId="3" xfId="0" applyNumberFormat="1" applyFont="1" applyFill="1" applyBorder="1" applyAlignment="1">
      <alignment horizontal="right"/>
    </xf>
    <xf numFmtId="0" fontId="4" fillId="15" borderId="25" xfId="0" applyFont="1" applyFill="1" applyBorder="1" applyAlignment="1">
      <alignment horizontal="center"/>
    </xf>
    <xf numFmtId="5" fontId="4" fillId="0" borderId="25" xfId="0" applyNumberFormat="1" applyFont="1" applyBorder="1" applyAlignment="1">
      <alignment horizontal="center"/>
    </xf>
    <xf numFmtId="0" fontId="26" fillId="29" borderId="17" xfId="0" quotePrefix="1" applyFont="1" applyFill="1" applyBorder="1" applyAlignment="1">
      <alignment vertical="center"/>
    </xf>
    <xf numFmtId="0" fontId="26" fillId="29" borderId="16" xfId="0" applyFont="1" applyFill="1" applyBorder="1" applyAlignment="1">
      <alignment vertical="center"/>
    </xf>
    <xf numFmtId="0" fontId="2" fillId="19" borderId="0" xfId="102" applyFont="1" applyFill="1" applyAlignment="1">
      <alignment vertical="top"/>
    </xf>
    <xf numFmtId="0" fontId="2" fillId="19" borderId="0" xfId="6" applyFill="1" applyAlignment="1">
      <alignment vertical="top"/>
    </xf>
    <xf numFmtId="0" fontId="2" fillId="19" borderId="0" xfId="6" applyFill="1"/>
    <xf numFmtId="0" fontId="30" fillId="19" borderId="0" xfId="102" applyFont="1" applyFill="1" applyAlignment="1">
      <alignment horizontal="left" vertical="top"/>
    </xf>
    <xf numFmtId="0" fontId="2" fillId="19" borderId="0" xfId="6" applyFont="1" applyFill="1" applyAlignment="1">
      <alignment vertical="top"/>
    </xf>
    <xf numFmtId="0" fontId="9" fillId="19" borderId="0" xfId="102" applyFont="1" applyFill="1" applyAlignment="1">
      <alignment vertical="top"/>
    </xf>
    <xf numFmtId="0" fontId="0" fillId="19" borderId="0" xfId="0" applyFill="1" applyAlignment="1">
      <alignment vertical="top"/>
    </xf>
    <xf numFmtId="0" fontId="92" fillId="19" borderId="0" xfId="0" applyFont="1" applyFill="1" applyAlignment="1">
      <alignment vertical="top"/>
    </xf>
    <xf numFmtId="0" fontId="93" fillId="19" borderId="0" xfId="0" applyFont="1" applyFill="1" applyAlignment="1">
      <alignment vertical="top"/>
    </xf>
    <xf numFmtId="0" fontId="93" fillId="19" borderId="0" xfId="0" applyFont="1" applyFill="1" applyAlignment="1">
      <alignment vertical="top"/>
    </xf>
    <xf numFmtId="0" fontId="92" fillId="19" borderId="0" xfId="0" applyFont="1" applyFill="1" applyAlignment="1">
      <alignment vertical="top"/>
    </xf>
    <xf numFmtId="0" fontId="0" fillId="19" borderId="0" xfId="0" applyFill="1" applyAlignment="1">
      <alignment vertical="top"/>
    </xf>
    <xf numFmtId="0" fontId="0" fillId="19" borderId="38" xfId="0" applyFill="1" applyBorder="1" applyAlignment="1">
      <alignment vertical="top"/>
    </xf>
    <xf numFmtId="0" fontId="92" fillId="19" borderId="34" xfId="0" applyFont="1" applyFill="1" applyBorder="1" applyAlignment="1">
      <alignment vertical="top"/>
    </xf>
    <xf numFmtId="0" fontId="92" fillId="19" borderId="35" xfId="0" applyFont="1" applyFill="1" applyBorder="1" applyAlignment="1">
      <alignment vertical="top"/>
    </xf>
    <xf numFmtId="0" fontId="92" fillId="19" borderId="36" xfId="0" applyFont="1" applyFill="1" applyBorder="1" applyAlignment="1">
      <alignment vertical="top"/>
    </xf>
    <xf numFmtId="0" fontId="92" fillId="19" borderId="37" xfId="0" applyFont="1" applyFill="1" applyBorder="1" applyAlignment="1">
      <alignment vertical="top"/>
    </xf>
    <xf numFmtId="9" fontId="92" fillId="19" borderId="34" xfId="0" applyNumberFormat="1" applyFont="1" applyFill="1" applyBorder="1" applyAlignment="1">
      <alignment vertical="top"/>
    </xf>
    <xf numFmtId="3" fontId="92" fillId="19" borderId="34" xfId="0" applyNumberFormat="1" applyFont="1" applyFill="1" applyBorder="1" applyAlignment="1">
      <alignment vertical="top"/>
    </xf>
    <xf numFmtId="0" fontId="0" fillId="19" borderId="39" xfId="0" applyFill="1" applyBorder="1" applyAlignment="1">
      <alignment vertical="top"/>
    </xf>
    <xf numFmtId="2" fontId="2" fillId="0" borderId="0" xfId="6" applyNumberFormat="1" applyAlignment="1">
      <alignment horizontal="left"/>
    </xf>
    <xf numFmtId="0" fontId="2" fillId="0" borderId="0" xfId="6" applyNumberFormat="1" applyAlignment="1">
      <alignment horizontal="left"/>
    </xf>
    <xf numFmtId="1" fontId="2" fillId="0" borderId="0" xfId="6" applyNumberFormat="1" applyAlignment="1">
      <alignment horizontal="left"/>
    </xf>
    <xf numFmtId="0" fontId="2" fillId="0" borderId="0" xfId="6" applyFont="1"/>
    <xf numFmtId="207" fontId="2" fillId="0" borderId="0" xfId="6" applyNumberFormat="1" applyAlignment="1">
      <alignment horizontal="left"/>
    </xf>
    <xf numFmtId="49" fontId="2" fillId="0" borderId="0" xfId="6" applyNumberFormat="1"/>
  </cellXfs>
  <cellStyles count="103">
    <cellStyle name=" 1" xfId="1"/>
    <cellStyle name=" 1 2" xfId="2"/>
    <cellStyle name=" 1 2 2" xfId="94"/>
    <cellStyle name=" 1 3" xfId="3"/>
    <cellStyle name=" 1 3 2" xfId="93"/>
    <cellStyle name=" 1 4" xfId="92"/>
    <cellStyle name=" 2" xfId="4"/>
    <cellStyle name=" 2 2" xfId="5"/>
    <cellStyle name=" 2 2 2" xfId="96"/>
    <cellStyle name=" 2 3" xfId="95"/>
    <cellStyle name="_BS " xfId="7"/>
    <cellStyle name="_DCF " xfId="8"/>
    <cellStyle name="_SUMMARY " xfId="9"/>
    <cellStyle name="0_Annual-VRTX " xfId="10"/>
    <cellStyle name="0_Capex &amp; Depreciation " xfId="11"/>
    <cellStyle name="0_OMV EP 2000-2015 Consolidated " xfId="12"/>
    <cellStyle name="0_P&amp;L-adj " xfId="13"/>
    <cellStyle name="0_Quarterly " xfId="14"/>
    <cellStyle name="0_Quarterly-ITMN " xfId="15"/>
    <cellStyle name="0_Valuing BP " xfId="16"/>
    <cellStyle name="20% - Accent1" xfId="17" builtinId="30" customBuiltin="1"/>
    <cellStyle name="20% - Accent2" xfId="18" builtinId="34" customBuiltin="1"/>
    <cellStyle name="20% - Accent3" xfId="19" builtinId="38" customBuiltin="1"/>
    <cellStyle name="20% - Accent4" xfId="20" builtinId="42" customBuiltin="1"/>
    <cellStyle name="20% - Accent5" xfId="21" builtinId="46" customBuiltin="1"/>
    <cellStyle name="20% - Accent6" xfId="22" builtinId="50" customBuiltin="1"/>
    <cellStyle name="40% - Accent1" xfId="23" builtinId="31" customBuiltin="1"/>
    <cellStyle name="40% - Accent2" xfId="24" builtinId="35" customBuiltin="1"/>
    <cellStyle name="40% - Accent3" xfId="25" builtinId="39" customBuiltin="1"/>
    <cellStyle name="40% - Accent4" xfId="26" builtinId="43" customBuiltin="1"/>
    <cellStyle name="40% - Accent5" xfId="27" builtinId="47" customBuiltin="1"/>
    <cellStyle name="40% - Accent6" xfId="28" builtinId="51" customBuiltin="1"/>
    <cellStyle name="60% - Accent1" xfId="29" builtinId="32" customBuiltin="1"/>
    <cellStyle name="60% - Accent2" xfId="30" builtinId="36" customBuiltin="1"/>
    <cellStyle name="60% - Accent3" xfId="31" builtinId="40" customBuiltin="1"/>
    <cellStyle name="60% - Accent4" xfId="32" builtinId="44" customBuiltin="1"/>
    <cellStyle name="60% - Accent5" xfId="33" builtinId="48" customBuiltin="1"/>
    <cellStyle name="60% - Accent6" xfId="34" builtinId="52" customBuiltin="1"/>
    <cellStyle name="Accent1" xfId="35" builtinId="29" customBuiltin="1"/>
    <cellStyle name="Accent2" xfId="36" builtinId="33" customBuiltin="1"/>
    <cellStyle name="Accent3" xfId="37" builtinId="37" customBuiltin="1"/>
    <cellStyle name="Accent4" xfId="38" builtinId="41" customBuiltin="1"/>
    <cellStyle name="Accent5" xfId="39" builtinId="45" customBuiltin="1"/>
    <cellStyle name="Accent6" xfId="40" builtinId="49" customBuiltin="1"/>
    <cellStyle name="ÅëÈ­ [0]_cover " xfId="41"/>
    <cellStyle name="ÅëÈ­_cover " xfId="42"/>
    <cellStyle name="AFE" xfId="43"/>
    <cellStyle name="ÄÞ¸¶ [0]_cover " xfId="44"/>
    <cellStyle name="ÄÞ¸¶_cover " xfId="45"/>
    <cellStyle name="Bad" xfId="46" builtinId="27" customBuiltin="1"/>
    <cellStyle name="c_HardInc " xfId="47"/>
    <cellStyle name="C￥AØ_¿μ¾÷CoE² " xfId="48"/>
    <cellStyle name="Ç¥ÁØ_cover " xfId="49"/>
    <cellStyle name="Calculation" xfId="50" builtinId="22" customBuiltin="1"/>
    <cellStyle name="Check Cell" xfId="51" builtinId="23" customBuiltin="1"/>
    <cellStyle name="Comma" xfId="52" builtinId="3"/>
    <cellStyle name="Currency 2" xfId="60"/>
    <cellStyle name="Explanatory Text" xfId="53" builtinId="53" customBuiltin="1"/>
    <cellStyle name="Good" xfId="54" builtinId="26" customBuiltin="1"/>
    <cellStyle name="Heading 1" xfId="55" builtinId="16" customBuiltin="1"/>
    <cellStyle name="Heading 2" xfId="56" builtinId="17" customBuiltin="1"/>
    <cellStyle name="Heading 3" xfId="57" builtinId="18" customBuiltin="1"/>
    <cellStyle name="Heading 4" xfId="58" builtinId="19" customBuiltin="1"/>
    <cellStyle name="Hyperlink 2" xfId="98"/>
    <cellStyle name="Input" xfId="59" builtinId="20" customBuiltin="1"/>
    <cellStyle name="Linked Cell" xfId="61" builtinId="24" customBuiltin="1"/>
    <cellStyle name="Neutral" xfId="62" builtinId="28" customBuiltin="1"/>
    <cellStyle name="Normal" xfId="0" builtinId="0"/>
    <cellStyle name="Normal 12" xfId="63"/>
    <cellStyle name="Normal 2" xfId="6"/>
    <cellStyle name="Normal 2 2" xfId="64"/>
    <cellStyle name="Normal 2 3" xfId="101"/>
    <cellStyle name="Normal 3" xfId="100"/>
    <cellStyle name="Normal 3 2" xfId="99"/>
    <cellStyle name="Normal 4" xfId="65"/>
    <cellStyle name="Normal 5" xfId="66"/>
    <cellStyle name="Normal 7" xfId="67"/>
    <cellStyle name="Normal 8" xfId="68"/>
    <cellStyle name="Normal 9" xfId="69"/>
    <cellStyle name="Normal_AMGN" xfId="70"/>
    <cellStyle name="Normal_AMGN_THLD_110806_RL" xfId="71"/>
    <cellStyle name="Normal_DisclaimerSheet Samples" xfId="102"/>
    <cellStyle name="Normal_NBIX_CVTX101106" xfId="72"/>
    <cellStyle name="Normal_THLD_110806_RL" xfId="73"/>
    <cellStyle name="Note" xfId="74" builtinId="10" customBuiltin="1"/>
    <cellStyle name="Output" xfId="75" builtinId="21" customBuiltin="1"/>
    <cellStyle name="p " xfId="76"/>
    <cellStyle name="Percent" xfId="77" builtinId="5"/>
    <cellStyle name="Percent 2" xfId="78"/>
    <cellStyle name="Percent 2 2" xfId="79"/>
    <cellStyle name="Percent 3" xfId="80"/>
    <cellStyle name="Percent_AMGN" xfId="81"/>
    <cellStyle name="Percent_CVTX101106" xfId="82"/>
    <cellStyle name="RRSInstruction" xfId="97"/>
    <cellStyle name="s_HardInc " xfId="83"/>
    <cellStyle name="s_Valuation " xfId="84"/>
    <cellStyle name="ssp " xfId="85"/>
    <cellStyle name="Title" xfId="86" builtinId="15" customBuiltin="1"/>
    <cellStyle name="Total" xfId="87" builtinId="25" customBuiltin="1"/>
    <cellStyle name="Warning Text" xfId="88" builtinId="11" customBuiltin="1"/>
    <cellStyle name="콤마 [0]_ 2팀층별 " xfId="89"/>
    <cellStyle name="콤마_ 2팀층별 " xfId="90"/>
    <cellStyle name="표준_0N-HANDLING " xfId="9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39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customXml/item1.xml" Type="http://schemas.openxmlformats.org/officeDocument/2006/relationships/customXml"/>
<Relationship Id="rId18" Target="../customXml/item2.xml" Type="http://schemas.openxmlformats.org/officeDocument/2006/relationships/customXml"/>
<Relationship Id="rId19"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168</xdr:row>
      <xdr:rowOff>0</xdr:rowOff>
    </xdr:from>
    <xdr:to>
      <xdr:col>7</xdr:col>
      <xdr:colOff>390525</xdr:colOff>
      <xdr:row>191</xdr:row>
      <xdr:rowOff>104775</xdr:rowOff>
    </xdr:to>
    <xdr:pic>
      <xdr:nvPicPr>
        <xdr:cNvPr id="559105" name="Picture 1" descr="C:\Users\lebowdav\AppData\Local\Temp\MercuryPriceRatingHistoryChart\IRWD.O_2018_04_12_19_04_3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SSB Nielsen Sales"/>
      <sheetName val="Comps"/>
      <sheetName val="Switches"/>
      <sheetName val="summary"/>
      <sheetName val="EBITDA"/>
      <sheetName val="GWP-WLine"/>
      <sheetName val="TS_Stnd_Dev_Band"/>
      <sheetName val="Print "/>
      <sheetName val="Lookup"/>
      <sheetName val="Input"/>
      <sheetName val="99 cons YTD"/>
      <sheetName val="KPN"/>
      <sheetName val="B"/>
      <sheetName val="Ratios"/>
      <sheetName v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85"/>
  <sheetViews>
    <sheetView showGridLines="0" tabSelected="1" workbookViewId="0">
      <selection activeCell="Z1" sqref="Z1"/>
    </sheetView>
  </sheetViews>
  <sheetFormatPr defaultRowHeight="12.75"/>
  <cols>
    <col min="1" max="1" width="25.7109375" style="1087" customWidth="1"/>
    <col min="2" max="5" width="9.140625" style="1087"/>
    <col min="6" max="6" width="18.7109375" style="1087" customWidth="1"/>
    <col min="7" max="256" width="9.140625" style="1087"/>
    <col min="257" max="257" width="100.7109375" style="1087" customWidth="1"/>
    <col min="258" max="512" width="9.140625" style="1087"/>
    <col min="513" max="513" width="100.7109375" style="1087" customWidth="1"/>
    <col min="514" max="768" width="9.140625" style="1087"/>
    <col min="769" max="769" width="100.7109375" style="1087" customWidth="1"/>
    <col min="770" max="1024" width="9.140625" style="1087"/>
    <col min="1025" max="1025" width="100.7109375" style="1087" customWidth="1"/>
    <col min="1026" max="1280" width="9.140625" style="1087"/>
    <col min="1281" max="1281" width="100.7109375" style="1087" customWidth="1"/>
    <col min="1282" max="1536" width="9.140625" style="1087"/>
    <col min="1537" max="1537" width="100.7109375" style="1087" customWidth="1"/>
    <col min="1538" max="1792" width="9.140625" style="1087"/>
    <col min="1793" max="1793" width="100.7109375" style="1087" customWidth="1"/>
    <col min="1794" max="2048" width="9.140625" style="1087"/>
    <col min="2049" max="2049" width="100.7109375" style="1087" customWidth="1"/>
    <col min="2050" max="2304" width="9.140625" style="1087"/>
    <col min="2305" max="2305" width="100.7109375" style="1087" customWidth="1"/>
    <col min="2306" max="2560" width="9.140625" style="1087"/>
    <col min="2561" max="2561" width="100.7109375" style="1087" customWidth="1"/>
    <col min="2562" max="2816" width="9.140625" style="1087"/>
    <col min="2817" max="2817" width="100.7109375" style="1087" customWidth="1"/>
    <col min="2818" max="3072" width="9.140625" style="1087"/>
    <col min="3073" max="3073" width="100.7109375" style="1087" customWidth="1"/>
    <col min="3074" max="3328" width="9.140625" style="1087"/>
    <col min="3329" max="3329" width="100.7109375" style="1087" customWidth="1"/>
    <col min="3330" max="3584" width="9.140625" style="1087"/>
    <col min="3585" max="3585" width="100.7109375" style="1087" customWidth="1"/>
    <col min="3586" max="3840" width="9.140625" style="1087"/>
    <col min="3841" max="3841" width="100.7109375" style="1087" customWidth="1"/>
    <col min="3842" max="4096" width="9.140625" style="1087"/>
    <col min="4097" max="4097" width="100.7109375" style="1087" customWidth="1"/>
    <col min="4098" max="4352" width="9.140625" style="1087"/>
    <col min="4353" max="4353" width="100.7109375" style="1087" customWidth="1"/>
    <col min="4354" max="4608" width="9.140625" style="1087"/>
    <col min="4609" max="4609" width="100.7109375" style="1087" customWidth="1"/>
    <col min="4610" max="4864" width="9.140625" style="1087"/>
    <col min="4865" max="4865" width="100.7109375" style="1087" customWidth="1"/>
    <col min="4866" max="5120" width="9.140625" style="1087"/>
    <col min="5121" max="5121" width="100.7109375" style="1087" customWidth="1"/>
    <col min="5122" max="5376" width="9.140625" style="1087"/>
    <col min="5377" max="5377" width="100.7109375" style="1087" customWidth="1"/>
    <col min="5378" max="5632" width="9.140625" style="1087"/>
    <col min="5633" max="5633" width="100.7109375" style="1087" customWidth="1"/>
    <col min="5634" max="5888" width="9.140625" style="1087"/>
    <col min="5889" max="5889" width="100.7109375" style="1087" customWidth="1"/>
    <col min="5890" max="6144" width="9.140625" style="1087"/>
    <col min="6145" max="6145" width="100.7109375" style="1087" customWidth="1"/>
    <col min="6146" max="6400" width="9.140625" style="1087"/>
    <col min="6401" max="6401" width="100.7109375" style="1087" customWidth="1"/>
    <col min="6402" max="6656" width="9.140625" style="1087"/>
    <col min="6657" max="6657" width="100.7109375" style="1087" customWidth="1"/>
    <col min="6658" max="6912" width="9.140625" style="1087"/>
    <col min="6913" max="6913" width="100.7109375" style="1087" customWidth="1"/>
    <col min="6914" max="7168" width="9.140625" style="1087"/>
    <col min="7169" max="7169" width="100.7109375" style="1087" customWidth="1"/>
    <col min="7170" max="7424" width="9.140625" style="1087"/>
    <col min="7425" max="7425" width="100.7109375" style="1087" customWidth="1"/>
    <col min="7426" max="7680" width="9.140625" style="1087"/>
    <col min="7681" max="7681" width="100.7109375" style="1087" customWidth="1"/>
    <col min="7682" max="7936" width="9.140625" style="1087"/>
    <col min="7937" max="7937" width="100.7109375" style="1087" customWidth="1"/>
    <col min="7938" max="8192" width="9.140625" style="1087"/>
    <col min="8193" max="8193" width="100.7109375" style="1087" customWidth="1"/>
    <col min="8194" max="8448" width="9.140625" style="1087"/>
    <col min="8449" max="8449" width="100.7109375" style="1087" customWidth="1"/>
    <col min="8450" max="8704" width="9.140625" style="1087"/>
    <col min="8705" max="8705" width="100.7109375" style="1087" customWidth="1"/>
    <col min="8706" max="8960" width="9.140625" style="1087"/>
    <col min="8961" max="8961" width="100.7109375" style="1087" customWidth="1"/>
    <col min="8962" max="9216" width="9.140625" style="1087"/>
    <col min="9217" max="9217" width="100.7109375" style="1087" customWidth="1"/>
    <col min="9218" max="9472" width="9.140625" style="1087"/>
    <col min="9473" max="9473" width="100.7109375" style="1087" customWidth="1"/>
    <col min="9474" max="9728" width="9.140625" style="1087"/>
    <col min="9729" max="9729" width="100.7109375" style="1087" customWidth="1"/>
    <col min="9730" max="9984" width="9.140625" style="1087"/>
    <col min="9985" max="9985" width="100.7109375" style="1087" customWidth="1"/>
    <col min="9986" max="10240" width="9.140625" style="1087"/>
    <col min="10241" max="10241" width="100.7109375" style="1087" customWidth="1"/>
    <col min="10242" max="10496" width="9.140625" style="1087"/>
    <col min="10497" max="10497" width="100.7109375" style="1087" customWidth="1"/>
    <col min="10498" max="10752" width="9.140625" style="1087"/>
    <col min="10753" max="10753" width="100.7109375" style="1087" customWidth="1"/>
    <col min="10754" max="11008" width="9.140625" style="1087"/>
    <col min="11009" max="11009" width="100.7109375" style="1087" customWidth="1"/>
    <col min="11010" max="11264" width="9.140625" style="1087"/>
    <col min="11265" max="11265" width="100.7109375" style="1087" customWidth="1"/>
    <col min="11266" max="11520" width="9.140625" style="1087"/>
    <col min="11521" max="11521" width="100.7109375" style="1087" customWidth="1"/>
    <col min="11522" max="11776" width="9.140625" style="1087"/>
    <col min="11777" max="11777" width="100.7109375" style="1087" customWidth="1"/>
    <col min="11778" max="12032" width="9.140625" style="1087"/>
    <col min="12033" max="12033" width="100.7109375" style="1087" customWidth="1"/>
    <col min="12034" max="12288" width="9.140625" style="1087"/>
    <col min="12289" max="12289" width="100.7109375" style="1087" customWidth="1"/>
    <col min="12290" max="12544" width="9.140625" style="1087"/>
    <col min="12545" max="12545" width="100.7109375" style="1087" customWidth="1"/>
    <col min="12546" max="12800" width="9.140625" style="1087"/>
    <col min="12801" max="12801" width="100.7109375" style="1087" customWidth="1"/>
    <col min="12802" max="13056" width="9.140625" style="1087"/>
    <col min="13057" max="13057" width="100.7109375" style="1087" customWidth="1"/>
    <col min="13058" max="13312" width="9.140625" style="1087"/>
    <col min="13313" max="13313" width="100.7109375" style="1087" customWidth="1"/>
    <col min="13314" max="13568" width="9.140625" style="1087"/>
    <col min="13569" max="13569" width="100.7109375" style="1087" customWidth="1"/>
    <col min="13570" max="13824" width="9.140625" style="1087"/>
    <col min="13825" max="13825" width="100.7109375" style="1087" customWidth="1"/>
    <col min="13826" max="14080" width="9.140625" style="1087"/>
    <col min="14081" max="14081" width="100.7109375" style="1087" customWidth="1"/>
    <col min="14082" max="14336" width="9.140625" style="1087"/>
    <col min="14337" max="14337" width="100.7109375" style="1087" customWidth="1"/>
    <col min="14338" max="14592" width="9.140625" style="1087"/>
    <col min="14593" max="14593" width="100.7109375" style="1087" customWidth="1"/>
    <col min="14594" max="14848" width="9.140625" style="1087"/>
    <col min="14849" max="14849" width="100.7109375" style="1087" customWidth="1"/>
    <col min="14850" max="15104" width="9.140625" style="1087"/>
    <col min="15105" max="15105" width="100.7109375" style="1087" customWidth="1"/>
    <col min="15106" max="15360" width="9.140625" style="1087"/>
    <col min="15361" max="15361" width="100.7109375" style="1087" customWidth="1"/>
    <col min="15362" max="15616" width="9.140625" style="1087"/>
    <col min="15617" max="15617" width="100.7109375" style="1087" customWidth="1"/>
    <col min="15618" max="15872" width="9.140625" style="1087"/>
    <col min="15873" max="15873" width="100.7109375" style="1087" customWidth="1"/>
    <col min="15874" max="16128" width="9.140625" style="1087"/>
    <col min="16129" max="16129" width="100.7109375" style="1087" customWidth="1"/>
    <col min="16130" max="16384" width="9.140625" style="1087"/>
  </cols>
  <sheetData>
    <row r="1" spans="1:8" ht="30" customHeight="1">
      <c r="A1" s="1085"/>
      <c r="B1" s="1086"/>
      <c r="C1" s="1086"/>
      <c r="D1" s="1086"/>
      <c r="E1" s="1086"/>
      <c r="F1" s="1086"/>
      <c r="G1" s="1086"/>
      <c r="H1" s="1086"/>
    </row>
    <row r="2" spans="1:8" ht="14.25">
      <c r="A2" s="1088" t="s">
        <v>546</v>
      </c>
      <c r="B2" s="1086"/>
      <c r="C2" s="1086"/>
      <c r="D2" s="1086"/>
      <c r="E2" s="1086"/>
      <c r="F2" s="1086"/>
      <c r="G2" s="1086"/>
      <c r="H2" s="1086"/>
    </row>
    <row r="3" spans="1:8" ht="14.25">
      <c r="A3" s="1088" t="s">
        <v>547</v>
      </c>
      <c r="B3" s="1086"/>
      <c r="C3" s="1086"/>
      <c r="D3" s="1086"/>
      <c r="E3" s="1086"/>
      <c r="F3" s="1086"/>
      <c r="G3" s="1086"/>
      <c r="H3" s="1086"/>
    </row>
    <row r="4" spans="1:8" ht="14.25">
      <c r="A4" s="1088" t="s">
        <v>548</v>
      </c>
      <c r="B4" s="1086"/>
      <c r="C4" s="1086"/>
      <c r="D4" s="1086"/>
      <c r="E4" s="1086"/>
      <c r="F4" s="1086"/>
      <c r="G4" s="1086"/>
      <c r="H4" s="1086"/>
    </row>
    <row r="5" spans="1:8" ht="14.25">
      <c r="A5" s="1088" t="s">
        <v>549</v>
      </c>
      <c r="B5" s="1086"/>
      <c r="C5" s="1086"/>
      <c r="D5" s="1086"/>
      <c r="E5" s="1086"/>
      <c r="F5" s="1086"/>
      <c r="G5" s="1086"/>
      <c r="H5" s="1086"/>
    </row>
    <row r="6" spans="1:8" ht="14.25">
      <c r="A6" s="1088"/>
      <c r="B6" s="1086"/>
      <c r="C6" s="1086"/>
      <c r="D6" s="1086"/>
      <c r="E6" s="1086"/>
      <c r="F6" s="1086"/>
      <c r="G6" s="1086"/>
      <c r="H6" s="1086"/>
    </row>
    <row r="7" spans="1:8">
      <c r="A7" s="1085" t="s">
        <v>550</v>
      </c>
      <c r="B7" s="1086"/>
      <c r="C7" s="1086"/>
      <c r="D7" s="1086"/>
      <c r="E7" s="1086"/>
      <c r="F7" s="1086"/>
      <c r="G7" s="1086"/>
      <c r="H7" s="1086"/>
    </row>
    <row r="8" spans="1:8">
      <c r="A8" s="1085" t="s">
        <v>551</v>
      </c>
      <c r="B8" s="1086"/>
      <c r="C8" s="1086"/>
      <c r="D8" s="1086"/>
      <c r="E8" s="1086"/>
      <c r="F8" s="1086"/>
      <c r="G8" s="1086"/>
      <c r="H8" s="1086"/>
    </row>
    <row r="9" spans="1:8">
      <c r="A9" s="1085"/>
      <c r="B9" s="1086"/>
      <c r="C9" s="1086"/>
      <c r="D9" s="1086"/>
      <c r="E9" s="1086"/>
      <c r="F9" s="1086"/>
      <c r="G9" s="1086"/>
      <c r="H9" s="1086"/>
    </row>
    <row r="10" spans="1:8">
      <c r="A10" s="1089" t="s">
        <v>552</v>
      </c>
      <c r="B10" s="1086"/>
      <c r="C10" s="1086"/>
      <c r="D10" s="1086"/>
      <c r="E10" s="1086"/>
      <c r="F10" s="1086"/>
      <c r="G10" s="1086"/>
      <c r="H10" s="1086"/>
    </row>
    <row r="11" spans="1:8">
      <c r="A11" s="1089" t="s">
        <v>553</v>
      </c>
      <c r="B11" s="1086"/>
      <c r="C11" s="1086"/>
      <c r="D11" s="1086"/>
      <c r="E11" s="1086"/>
      <c r="F11" s="1086"/>
      <c r="G11" s="1086"/>
      <c r="H11" s="1086"/>
    </row>
    <row r="12" spans="1:8">
      <c r="A12" s="1089" t="s">
        <v>554</v>
      </c>
      <c r="B12" s="1086"/>
      <c r="C12" s="1086"/>
      <c r="D12" s="1086"/>
      <c r="E12" s="1086"/>
      <c r="F12" s="1086"/>
      <c r="G12" s="1086"/>
      <c r="H12" s="1086"/>
    </row>
    <row r="13" spans="1:8">
      <c r="A13" s="1089" t="s">
        <v>555</v>
      </c>
      <c r="B13" s="1086"/>
      <c r="C13" s="1086"/>
      <c r="D13" s="1086"/>
      <c r="E13" s="1086"/>
      <c r="F13" s="1086"/>
      <c r="G13" s="1086"/>
      <c r="H13" s="1086"/>
    </row>
    <row r="14" spans="1:8">
      <c r="A14" s="1089" t="s">
        <v>556</v>
      </c>
      <c r="B14" s="1086"/>
      <c r="C14" s="1086"/>
      <c r="D14" s="1086"/>
      <c r="E14" s="1086"/>
      <c r="F14" s="1086"/>
      <c r="G14" s="1086"/>
      <c r="H14" s="1086"/>
    </row>
    <row r="15" spans="1:8">
      <c r="A15" s="1089" t="s">
        <v>557</v>
      </c>
      <c r="B15" s="1086"/>
      <c r="C15" s="1086"/>
      <c r="D15" s="1086"/>
      <c r="E15" s="1086"/>
      <c r="F15" s="1086"/>
      <c r="G15" s="1086"/>
      <c r="H15" s="1086"/>
    </row>
    <row r="16" spans="1:8">
      <c r="A16" s="1089"/>
      <c r="B16" s="1086"/>
      <c r="C16" s="1086"/>
      <c r="D16" s="1086"/>
      <c r="E16" s="1086"/>
      <c r="F16" s="1086"/>
      <c r="G16" s="1086"/>
      <c r="H16" s="1086"/>
    </row>
    <row r="17" spans="1:8">
      <c r="A17" s="1089" t="s">
        <v>543</v>
      </c>
      <c r="B17" s="1086"/>
      <c r="C17" s="1086"/>
      <c r="D17" s="1086"/>
      <c r="E17" s="1086"/>
      <c r="F17" s="1086"/>
      <c r="G17" s="1086"/>
      <c r="H17" s="1086"/>
    </row>
    <row r="18" spans="1:8">
      <c r="A18" s="1089"/>
      <c r="B18" s="1086"/>
      <c r="C18" s="1086"/>
      <c r="D18" s="1086"/>
      <c r="E18" s="1086"/>
      <c r="F18" s="1086"/>
      <c r="G18" s="1086"/>
      <c r="H18" s="1086"/>
    </row>
    <row r="19" spans="1:8">
      <c r="A19" s="1089" t="s">
        <v>544</v>
      </c>
      <c r="B19" s="1086"/>
      <c r="C19" s="1086"/>
      <c r="D19" s="1086"/>
      <c r="E19" s="1086"/>
      <c r="F19" s="1086"/>
      <c r="G19" s="1086"/>
      <c r="H19" s="1086"/>
    </row>
    <row r="20" spans="1:8">
      <c r="A20" s="1085"/>
      <c r="B20" s="1086"/>
      <c r="C20" s="1086"/>
      <c r="D20" s="1086"/>
      <c r="E20" s="1086"/>
      <c r="F20" s="1086"/>
      <c r="G20" s="1086"/>
      <c r="H20" s="1086"/>
    </row>
    <row r="21" spans="1:8">
      <c r="A21" s="1090" t="s">
        <v>545</v>
      </c>
      <c r="B21" s="1086"/>
      <c r="C21" s="1086"/>
      <c r="D21" s="1086"/>
      <c r="E21" s="1086"/>
      <c r="F21" s="1086"/>
      <c r="G21" s="1086"/>
      <c r="H21" s="1086"/>
    </row>
    <row r="22" spans="1:8">
      <c r="A22" s="1091"/>
      <c r="B22" s="1091"/>
      <c r="C22" s="1091"/>
      <c r="D22" s="1091"/>
      <c r="E22" s="1091"/>
      <c r="F22" s="1091"/>
      <c r="G22" s="1091"/>
      <c r="H22" s="1091"/>
    </row>
    <row r="23" spans="1:8">
      <c r="A23" s="1092" t="s">
        <v>832</v>
      </c>
      <c r="B23" s="1091"/>
      <c r="C23" s="1091"/>
      <c r="D23" s="1091"/>
      <c r="E23" s="1091"/>
      <c r="F23" s="1091"/>
      <c r="G23" s="1091"/>
      <c r="H23" s="1091"/>
    </row>
    <row r="24" spans="1:8">
      <c r="A24" s="1092" t="s">
        <v>833</v>
      </c>
      <c r="B24" s="1091"/>
      <c r="C24" s="1091"/>
      <c r="D24" s="1091"/>
      <c r="E24" s="1091"/>
      <c r="F24" s="1091"/>
      <c r="G24" s="1091"/>
      <c r="H24" s="1091"/>
    </row>
    <row r="25" spans="1:8">
      <c r="A25" s="1092" t="s">
        <v>834</v>
      </c>
      <c r="B25" s="1091"/>
      <c r="C25" s="1091"/>
      <c r="D25" s="1091"/>
      <c r="E25" s="1091"/>
      <c r="F25" s="1091"/>
      <c r="G25" s="1091"/>
      <c r="H25" s="1091"/>
    </row>
    <row r="26" spans="1:8">
      <c r="A26" s="1092" t="s">
        <v>835</v>
      </c>
      <c r="B26" s="1091"/>
      <c r="C26" s="1091"/>
      <c r="D26" s="1091"/>
      <c r="E26" s="1091"/>
      <c r="F26" s="1091"/>
      <c r="G26" s="1091"/>
      <c r="H26" s="1091"/>
    </row>
    <row r="27" spans="1:8">
      <c r="A27" s="1091"/>
      <c r="B27" s="1091"/>
      <c r="C27" s="1091"/>
      <c r="D27" s="1091"/>
      <c r="E27" s="1091"/>
      <c r="F27" s="1091"/>
      <c r="G27" s="1091"/>
      <c r="H27" s="1091"/>
    </row>
    <row r="28" spans="1:8">
      <c r="A28" s="1091"/>
      <c r="B28" s="1091"/>
      <c r="C28" s="1091"/>
      <c r="D28" s="1091"/>
      <c r="E28" s="1091"/>
      <c r="F28" s="1091"/>
      <c r="G28" s="1091"/>
      <c r="H28" s="1091"/>
    </row>
    <row r="29" spans="1:8">
      <c r="A29" s="1092" t="s">
        <v>827</v>
      </c>
      <c r="B29" s="1091"/>
      <c r="C29" s="1091"/>
      <c r="D29" s="1091"/>
      <c r="E29" s="1091"/>
      <c r="F29" s="1091"/>
      <c r="G29" s="1091"/>
      <c r="H29" s="1091"/>
    </row>
    <row r="30" spans="1:8">
      <c r="A30" s="1092" t="s">
        <v>828</v>
      </c>
      <c r="B30" s="1091"/>
      <c r="C30" s="1091"/>
      <c r="D30" s="1091"/>
      <c r="E30" s="1091"/>
      <c r="F30" s="1091"/>
      <c r="G30" s="1091"/>
      <c r="H30" s="1091"/>
    </row>
    <row r="31" spans="1:8">
      <c r="A31" s="1092" t="s">
        <v>829</v>
      </c>
      <c r="B31" s="1091"/>
      <c r="C31" s="1091"/>
      <c r="D31" s="1091"/>
      <c r="E31" s="1091"/>
      <c r="F31" s="1091"/>
      <c r="G31" s="1091"/>
      <c r="H31" s="1091"/>
    </row>
    <row r="32" spans="1:8">
      <c r="A32" s="1092" t="s">
        <v>830</v>
      </c>
      <c r="B32" s="1091"/>
      <c r="C32" s="1091"/>
      <c r="D32" s="1091"/>
      <c r="E32" s="1091"/>
      <c r="F32" s="1091"/>
      <c r="G32" s="1091"/>
      <c r="H32" s="1091"/>
    </row>
    <row r="33" spans="1:8">
      <c r="A33" s="1092" t="s">
        <v>831</v>
      </c>
      <c r="B33" s="1091"/>
      <c r="C33" s="1091"/>
      <c r="D33" s="1091"/>
      <c r="E33" s="1091"/>
      <c r="F33" s="1091"/>
      <c r="G33" s="1091"/>
      <c r="H33" s="1091"/>
    </row>
    <row r="34" spans="1:8">
      <c r="A34" s="1091"/>
      <c r="B34" s="1091"/>
      <c r="C34" s="1091"/>
      <c r="D34" s="1091"/>
      <c r="E34" s="1091"/>
      <c r="F34" s="1091"/>
      <c r="G34" s="1091"/>
      <c r="H34" s="1091"/>
    </row>
    <row r="35" spans="1:8">
      <c r="A35" s="1092" t="s">
        <v>823</v>
      </c>
      <c r="B35" s="1091"/>
      <c r="C35" s="1091"/>
      <c r="D35" s="1091"/>
      <c r="E35" s="1091"/>
      <c r="F35" s="1091"/>
      <c r="G35" s="1091"/>
      <c r="H35" s="1091"/>
    </row>
    <row r="36" spans="1:8">
      <c r="A36" s="1092" t="s">
        <v>824</v>
      </c>
      <c r="B36" s="1091"/>
      <c r="C36" s="1091"/>
      <c r="D36" s="1091"/>
      <c r="E36" s="1091"/>
      <c r="F36" s="1091"/>
      <c r="G36" s="1091"/>
      <c r="H36" s="1091"/>
    </row>
    <row r="37" spans="1:8">
      <c r="A37" s="1092" t="s">
        <v>825</v>
      </c>
      <c r="B37" s="1091"/>
      <c r="C37" s="1091"/>
      <c r="D37" s="1091"/>
      <c r="E37" s="1091"/>
      <c r="F37" s="1091"/>
      <c r="G37" s="1091"/>
      <c r="H37" s="1091"/>
    </row>
    <row r="38" spans="1:8">
      <c r="A38" s="1092" t="s">
        <v>826</v>
      </c>
      <c r="B38" s="1091"/>
      <c r="C38" s="1091"/>
      <c r="D38" s="1091"/>
      <c r="E38" s="1091"/>
      <c r="F38" s="1091"/>
      <c r="G38" s="1091"/>
      <c r="H38" s="1091"/>
    </row>
    <row r="39" spans="1:8">
      <c r="A39" s="1091"/>
      <c r="B39" s="1091"/>
      <c r="C39" s="1091"/>
      <c r="D39" s="1091"/>
      <c r="E39" s="1091"/>
      <c r="F39" s="1091"/>
      <c r="G39" s="1091"/>
      <c r="H39" s="1091"/>
    </row>
    <row r="40" spans="1:8">
      <c r="A40" s="1092" t="s">
        <v>817</v>
      </c>
      <c r="B40" s="1091"/>
      <c r="C40" s="1091"/>
      <c r="D40" s="1091"/>
      <c r="E40" s="1091"/>
      <c r="F40" s="1091"/>
      <c r="G40" s="1091"/>
      <c r="H40" s="1091"/>
    </row>
    <row r="41" spans="1:8">
      <c r="A41" s="1092" t="s">
        <v>818</v>
      </c>
      <c r="B41" s="1091"/>
      <c r="C41" s="1091"/>
      <c r="D41" s="1091"/>
      <c r="E41" s="1091"/>
      <c r="F41" s="1091"/>
      <c r="G41" s="1091"/>
      <c r="H41" s="1091"/>
    </row>
    <row r="42" spans="1:8">
      <c r="A42" s="1092" t="s">
        <v>819</v>
      </c>
      <c r="B42" s="1091"/>
      <c r="C42" s="1091"/>
      <c r="D42" s="1091"/>
      <c r="E42" s="1091"/>
      <c r="F42" s="1091"/>
      <c r="G42" s="1091"/>
      <c r="H42" s="1091"/>
    </row>
    <row r="43" spans="1:8">
      <c r="A43" s="1092" t="s">
        <v>820</v>
      </c>
      <c r="B43" s="1091"/>
      <c r="C43" s="1091"/>
      <c r="D43" s="1091"/>
      <c r="E43" s="1091"/>
      <c r="F43" s="1091"/>
      <c r="G43" s="1091"/>
      <c r="H43" s="1091"/>
    </row>
    <row r="44" spans="1:8">
      <c r="A44" s="1092" t="s">
        <v>821</v>
      </c>
      <c r="B44" s="1091"/>
      <c r="C44" s="1091"/>
      <c r="D44" s="1091"/>
      <c r="E44" s="1091"/>
      <c r="F44" s="1091"/>
      <c r="G44" s="1091"/>
      <c r="H44" s="1091"/>
    </row>
    <row r="45" spans="1:8">
      <c r="A45" s="1092" t="s">
        <v>822</v>
      </c>
      <c r="B45" s="1091"/>
      <c r="C45" s="1091"/>
      <c r="D45" s="1091"/>
      <c r="E45" s="1091"/>
      <c r="F45" s="1091"/>
      <c r="G45" s="1091"/>
      <c r="H45" s="1091"/>
    </row>
    <row r="46" spans="1:8">
      <c r="A46" s="1091"/>
      <c r="B46" s="1091"/>
      <c r="C46" s="1091"/>
      <c r="D46" s="1091"/>
      <c r="E46" s="1091"/>
      <c r="F46" s="1091"/>
      <c r="G46" s="1091"/>
      <c r="H46" s="1091"/>
    </row>
    <row r="47" spans="1:8" ht="15.75">
      <c r="A47" s="1093" t="s">
        <v>558</v>
      </c>
      <c r="B47" s="1091"/>
      <c r="C47" s="1091"/>
      <c r="D47" s="1091"/>
      <c r="E47" s="1091"/>
      <c r="F47" s="1091"/>
      <c r="G47" s="1091"/>
      <c r="H47" s="1091"/>
    </row>
    <row r="48" spans="1:8">
      <c r="A48" s="1091"/>
      <c r="B48" s="1091"/>
      <c r="C48" s="1091"/>
      <c r="D48" s="1091"/>
      <c r="E48" s="1091"/>
      <c r="F48" s="1091"/>
      <c r="G48" s="1091"/>
      <c r="H48" s="1091"/>
    </row>
    <row r="49" spans="1:8">
      <c r="A49" s="1092" t="s">
        <v>813</v>
      </c>
      <c r="B49" s="1091"/>
      <c r="C49" s="1091"/>
      <c r="D49" s="1091"/>
      <c r="E49" s="1091"/>
      <c r="F49" s="1091"/>
      <c r="G49" s="1091"/>
      <c r="H49" s="1091"/>
    </row>
    <row r="50" spans="1:8">
      <c r="A50" s="1092" t="s">
        <v>814</v>
      </c>
      <c r="B50" s="1091"/>
      <c r="C50" s="1091"/>
      <c r="D50" s="1091"/>
      <c r="E50" s="1091"/>
      <c r="F50" s="1091"/>
      <c r="G50" s="1091"/>
      <c r="H50" s="1091"/>
    </row>
    <row r="51" spans="1:8">
      <c r="A51" s="1092" t="s">
        <v>815</v>
      </c>
      <c r="B51" s="1091"/>
      <c r="C51" s="1091"/>
      <c r="D51" s="1091"/>
      <c r="E51" s="1091"/>
      <c r="F51" s="1091"/>
      <c r="G51" s="1091"/>
      <c r="H51" s="1091"/>
    </row>
    <row r="52" spans="1:8">
      <c r="A52" s="1092" t="s">
        <v>816</v>
      </c>
      <c r="B52" s="1091"/>
      <c r="C52" s="1091"/>
      <c r="D52" s="1091"/>
      <c r="E52" s="1091"/>
      <c r="F52" s="1091"/>
      <c r="G52" s="1091"/>
      <c r="H52" s="1091"/>
    </row>
    <row r="53" spans="1:8">
      <c r="A53" s="1091"/>
      <c r="B53" s="1091"/>
      <c r="C53" s="1091"/>
      <c r="D53" s="1091"/>
      <c r="E53" s="1091"/>
      <c r="F53" s="1091"/>
      <c r="G53" s="1091"/>
      <c r="H53" s="1091"/>
    </row>
    <row r="54" spans="1:8">
      <c r="A54" s="1092" t="s">
        <v>559</v>
      </c>
      <c r="B54" s="1091"/>
      <c r="C54" s="1091"/>
      <c r="D54" s="1091"/>
      <c r="E54" s="1091"/>
      <c r="F54" s="1091"/>
      <c r="G54" s="1091"/>
      <c r="H54" s="1091"/>
    </row>
    <row r="55" spans="1:8">
      <c r="A55" s="1091"/>
      <c r="B55" s="1091"/>
      <c r="C55" s="1091"/>
      <c r="D55" s="1091"/>
      <c r="E55" s="1091"/>
      <c r="F55" s="1091"/>
      <c r="G55" s="1091"/>
      <c r="H55" s="1091"/>
    </row>
    <row r="56" spans="1:8" ht="15.75">
      <c r="A56" s="1093" t="s">
        <v>560</v>
      </c>
      <c r="B56" s="1091"/>
      <c r="C56" s="1091"/>
      <c r="D56" s="1091"/>
      <c r="E56" s="1091"/>
      <c r="F56" s="1091"/>
      <c r="G56" s="1091"/>
      <c r="H56" s="1091"/>
    </row>
    <row r="57" spans="1:8">
      <c r="A57" s="1091"/>
      <c r="B57" s="1091"/>
      <c r="C57" s="1091"/>
      <c r="D57" s="1091"/>
      <c r="E57" s="1091"/>
      <c r="F57" s="1091"/>
      <c r="G57" s="1091"/>
      <c r="H57" s="1091"/>
    </row>
    <row r="58" spans="1:8">
      <c r="A58" s="1092" t="s">
        <v>811</v>
      </c>
      <c r="B58" s="1091"/>
      <c r="C58" s="1091"/>
      <c r="D58" s="1091"/>
      <c r="E58" s="1091"/>
      <c r="F58" s="1091"/>
      <c r="G58" s="1091"/>
      <c r="H58" s="1091"/>
    </row>
    <row r="59" spans="1:8">
      <c r="A59" s="1092" t="s">
        <v>812</v>
      </c>
      <c r="B59" s="1091"/>
      <c r="C59" s="1091"/>
      <c r="D59" s="1091"/>
      <c r="E59" s="1091"/>
      <c r="F59" s="1091"/>
      <c r="G59" s="1091"/>
      <c r="H59" s="1091"/>
    </row>
    <row r="60" spans="1:8">
      <c r="A60" s="1091"/>
      <c r="B60" s="1091"/>
      <c r="C60" s="1091"/>
      <c r="D60" s="1091"/>
      <c r="E60" s="1091"/>
      <c r="F60" s="1091"/>
      <c r="G60" s="1091"/>
      <c r="H60" s="1091"/>
    </row>
    <row r="61" spans="1:8" ht="15.75">
      <c r="A61" s="1093" t="s">
        <v>561</v>
      </c>
      <c r="B61" s="1091"/>
      <c r="C61" s="1091"/>
      <c r="D61" s="1091"/>
      <c r="E61" s="1091"/>
      <c r="F61" s="1091"/>
      <c r="G61" s="1091"/>
      <c r="H61" s="1091"/>
    </row>
    <row r="62" spans="1:8">
      <c r="A62" s="1091"/>
      <c r="B62" s="1091"/>
      <c r="C62" s="1091"/>
      <c r="D62" s="1091"/>
      <c r="E62" s="1091"/>
      <c r="F62" s="1091"/>
      <c r="G62" s="1091"/>
      <c r="H62" s="1091"/>
    </row>
    <row r="63" spans="1:8">
      <c r="A63" s="1092" t="s">
        <v>809</v>
      </c>
      <c r="B63" s="1091"/>
      <c r="C63" s="1091"/>
      <c r="D63" s="1091"/>
      <c r="E63" s="1091"/>
      <c r="F63" s="1091"/>
      <c r="G63" s="1091"/>
      <c r="H63" s="1091"/>
    </row>
    <row r="64" spans="1:8">
      <c r="A64" s="1092" t="s">
        <v>810</v>
      </c>
      <c r="B64" s="1091"/>
      <c r="C64" s="1091"/>
      <c r="D64" s="1091"/>
      <c r="E64" s="1091"/>
      <c r="F64" s="1091"/>
      <c r="G64" s="1091"/>
      <c r="H64" s="1091"/>
    </row>
    <row r="65" spans="1:8">
      <c r="A65" s="1091"/>
      <c r="B65" s="1091"/>
      <c r="C65" s="1091"/>
      <c r="D65" s="1091"/>
      <c r="E65" s="1091"/>
      <c r="F65" s="1091"/>
      <c r="G65" s="1091"/>
      <c r="H65" s="1091"/>
    </row>
    <row r="66" spans="1:8">
      <c r="A66" s="1092" t="s">
        <v>806</v>
      </c>
      <c r="B66" s="1091"/>
      <c r="C66" s="1091"/>
      <c r="D66" s="1091"/>
      <c r="E66" s="1091"/>
      <c r="F66" s="1091"/>
      <c r="G66" s="1091"/>
      <c r="H66" s="1091"/>
    </row>
    <row r="67" spans="1:8">
      <c r="A67" s="1092" t="s">
        <v>807</v>
      </c>
      <c r="B67" s="1091"/>
      <c r="C67" s="1091"/>
      <c r="D67" s="1091"/>
      <c r="E67" s="1091"/>
      <c r="F67" s="1091"/>
      <c r="G67" s="1091"/>
      <c r="H67" s="1091"/>
    </row>
    <row r="68" spans="1:8">
      <c r="A68" s="1092" t="s">
        <v>808</v>
      </c>
      <c r="B68" s="1091"/>
      <c r="C68" s="1091"/>
      <c r="D68" s="1091"/>
      <c r="E68" s="1091"/>
      <c r="F68" s="1091"/>
      <c r="G68" s="1091"/>
      <c r="H68" s="1091"/>
    </row>
    <row r="69" spans="1:8">
      <c r="A69" s="1091"/>
      <c r="B69" s="1091"/>
      <c r="C69" s="1091"/>
      <c r="D69" s="1091"/>
      <c r="E69" s="1091"/>
      <c r="F69" s="1091"/>
      <c r="G69" s="1091"/>
      <c r="H69" s="1091"/>
    </row>
    <row r="70" spans="1:8">
      <c r="A70" s="1092" t="s">
        <v>562</v>
      </c>
      <c r="B70" s="1091"/>
      <c r="C70" s="1091"/>
      <c r="D70" s="1091"/>
      <c r="E70" s="1091"/>
      <c r="F70" s="1091"/>
      <c r="G70" s="1091"/>
      <c r="H70" s="1091"/>
    </row>
    <row r="71" spans="1:8">
      <c r="A71" s="1091"/>
      <c r="B71" s="1091"/>
      <c r="C71" s="1091"/>
      <c r="D71" s="1091"/>
      <c r="E71" s="1091"/>
      <c r="F71" s="1091"/>
      <c r="G71" s="1091"/>
      <c r="H71" s="1091"/>
    </row>
    <row r="72" spans="1:8">
      <c r="A72" s="1092" t="s">
        <v>801</v>
      </c>
      <c r="B72" s="1091"/>
      <c r="C72" s="1091"/>
      <c r="D72" s="1091"/>
      <c r="E72" s="1091"/>
      <c r="F72" s="1091"/>
      <c r="G72" s="1091"/>
      <c r="H72" s="1091"/>
    </row>
    <row r="73" spans="1:8">
      <c r="A73" s="1092" t="s">
        <v>802</v>
      </c>
      <c r="B73" s="1091"/>
      <c r="C73" s="1091"/>
      <c r="D73" s="1091"/>
      <c r="E73" s="1091"/>
      <c r="F73" s="1091"/>
      <c r="G73" s="1091"/>
      <c r="H73" s="1091"/>
    </row>
    <row r="74" spans="1:8">
      <c r="A74" s="1092" t="s">
        <v>803</v>
      </c>
      <c r="B74" s="1091"/>
      <c r="C74" s="1091"/>
      <c r="D74" s="1091"/>
      <c r="E74" s="1091"/>
      <c r="F74" s="1091"/>
      <c r="G74" s="1091"/>
      <c r="H74" s="1091"/>
    </row>
    <row r="75" spans="1:8">
      <c r="A75" s="1092" t="s">
        <v>804</v>
      </c>
      <c r="B75" s="1091"/>
      <c r="C75" s="1091"/>
      <c r="D75" s="1091"/>
      <c r="E75" s="1091"/>
      <c r="F75" s="1091"/>
      <c r="G75" s="1091"/>
      <c r="H75" s="1091"/>
    </row>
    <row r="76" spans="1:8">
      <c r="A76" s="1092" t="s">
        <v>805</v>
      </c>
      <c r="B76" s="1091"/>
      <c r="C76" s="1091"/>
      <c r="D76" s="1091"/>
      <c r="E76" s="1091"/>
      <c r="F76" s="1091"/>
      <c r="G76" s="1091"/>
      <c r="H76" s="1091"/>
    </row>
    <row r="77" spans="1:8">
      <c r="A77" s="1092" t="s">
        <v>688</v>
      </c>
      <c r="B77" s="1091"/>
      <c r="C77" s="1091"/>
      <c r="D77" s="1091"/>
      <c r="E77" s="1091"/>
      <c r="F77" s="1091"/>
      <c r="G77" s="1091"/>
      <c r="H77" s="1091"/>
    </row>
    <row r="78" spans="1:8">
      <c r="A78" s="1091"/>
      <c r="B78" s="1091"/>
      <c r="C78" s="1091"/>
      <c r="D78" s="1091"/>
      <c r="E78" s="1091"/>
      <c r="F78" s="1091"/>
      <c r="G78" s="1091"/>
      <c r="H78" s="1091"/>
    </row>
    <row r="79" spans="1:8">
      <c r="A79" s="1092" t="s">
        <v>794</v>
      </c>
      <c r="B79" s="1091"/>
      <c r="C79" s="1091"/>
      <c r="D79" s="1091"/>
      <c r="E79" s="1091"/>
      <c r="F79" s="1091"/>
      <c r="G79" s="1091"/>
      <c r="H79" s="1091"/>
    </row>
    <row r="80" spans="1:8">
      <c r="A80" s="1092" t="s">
        <v>795</v>
      </c>
      <c r="B80" s="1091"/>
      <c r="C80" s="1091"/>
      <c r="D80" s="1091"/>
      <c r="E80" s="1091"/>
      <c r="F80" s="1091"/>
      <c r="G80" s="1091"/>
      <c r="H80" s="1091"/>
    </row>
    <row r="81" spans="1:8">
      <c r="A81" s="1092" t="s">
        <v>796</v>
      </c>
      <c r="B81" s="1091"/>
      <c r="C81" s="1091"/>
      <c r="D81" s="1091"/>
      <c r="E81" s="1091"/>
      <c r="F81" s="1091"/>
      <c r="G81" s="1091"/>
      <c r="H81" s="1091"/>
    </row>
    <row r="82" spans="1:8">
      <c r="A82" s="1092" t="s">
        <v>797</v>
      </c>
      <c r="B82" s="1091"/>
      <c r="C82" s="1091"/>
      <c r="D82" s="1091"/>
      <c r="E82" s="1091"/>
      <c r="F82" s="1091"/>
      <c r="G82" s="1091"/>
      <c r="H82" s="1091"/>
    </row>
    <row r="83" spans="1:8">
      <c r="A83" s="1092" t="s">
        <v>798</v>
      </c>
      <c r="B83" s="1091"/>
      <c r="C83" s="1091"/>
      <c r="D83" s="1091"/>
      <c r="E83" s="1091"/>
      <c r="F83" s="1091"/>
      <c r="G83" s="1091"/>
      <c r="H83" s="1091"/>
    </row>
    <row r="84" spans="1:8">
      <c r="A84" s="1092" t="s">
        <v>799</v>
      </c>
      <c r="B84" s="1091"/>
      <c r="C84" s="1091"/>
      <c r="D84" s="1091"/>
      <c r="E84" s="1091"/>
      <c r="F84" s="1091"/>
      <c r="G84" s="1091"/>
      <c r="H84" s="1091"/>
    </row>
    <row r="85" spans="1:8">
      <c r="A85" s="1092" t="s">
        <v>800</v>
      </c>
      <c r="B85" s="1091"/>
      <c r="C85" s="1091"/>
      <c r="D85" s="1091"/>
      <c r="E85" s="1091"/>
      <c r="F85" s="1091"/>
      <c r="G85" s="1091"/>
      <c r="H85" s="1091"/>
    </row>
    <row r="86" spans="1:8">
      <c r="A86" s="1091"/>
      <c r="B86" s="1091"/>
      <c r="C86" s="1091"/>
      <c r="D86" s="1091"/>
      <c r="E86" s="1091"/>
      <c r="F86" s="1091"/>
      <c r="G86" s="1091"/>
      <c r="H86" s="1091"/>
    </row>
    <row r="87" spans="1:8">
      <c r="A87" s="1092" t="s">
        <v>792</v>
      </c>
      <c r="B87" s="1091"/>
      <c r="C87" s="1091"/>
      <c r="D87" s="1091"/>
      <c r="E87" s="1091"/>
      <c r="F87" s="1091"/>
      <c r="G87" s="1091"/>
      <c r="H87" s="1091"/>
    </row>
    <row r="88" spans="1:8">
      <c r="A88" s="1092" t="s">
        <v>793</v>
      </c>
      <c r="B88" s="1091"/>
      <c r="C88" s="1091"/>
      <c r="D88" s="1091"/>
      <c r="E88" s="1091"/>
      <c r="F88" s="1091"/>
      <c r="G88" s="1091"/>
      <c r="H88" s="1091"/>
    </row>
    <row r="89" spans="1:8">
      <c r="A89" s="1091"/>
      <c r="B89" s="1091"/>
      <c r="C89" s="1091"/>
      <c r="D89" s="1091"/>
      <c r="E89" s="1091"/>
      <c r="F89" s="1091"/>
      <c r="G89" s="1091"/>
      <c r="H89" s="1091"/>
    </row>
    <row r="90" spans="1:8" ht="15.75">
      <c r="A90" s="1093" t="s">
        <v>563</v>
      </c>
      <c r="B90" s="1091"/>
      <c r="C90" s="1091"/>
      <c r="D90" s="1091"/>
      <c r="E90" s="1091"/>
      <c r="F90" s="1091"/>
      <c r="G90" s="1091"/>
      <c r="H90" s="1091"/>
    </row>
    <row r="91" spans="1:8">
      <c r="A91" s="1091"/>
      <c r="B91" s="1091"/>
      <c r="C91" s="1091"/>
      <c r="D91" s="1091"/>
      <c r="E91" s="1091"/>
      <c r="F91" s="1091"/>
      <c r="G91" s="1091"/>
      <c r="H91" s="1091"/>
    </row>
    <row r="92" spans="1:8">
      <c r="A92" s="1092" t="s">
        <v>783</v>
      </c>
      <c r="B92" s="1091"/>
      <c r="C92" s="1091"/>
      <c r="D92" s="1091"/>
      <c r="E92" s="1091"/>
      <c r="F92" s="1091"/>
      <c r="G92" s="1091"/>
      <c r="H92" s="1091"/>
    </row>
    <row r="93" spans="1:8">
      <c r="A93" s="1092" t="s">
        <v>784</v>
      </c>
      <c r="B93" s="1091"/>
      <c r="C93" s="1091"/>
      <c r="D93" s="1091"/>
      <c r="E93" s="1091"/>
      <c r="F93" s="1091"/>
      <c r="G93" s="1091"/>
      <c r="H93" s="1091"/>
    </row>
    <row r="94" spans="1:8">
      <c r="A94" s="1092" t="s">
        <v>785</v>
      </c>
      <c r="B94" s="1091"/>
      <c r="C94" s="1091"/>
      <c r="D94" s="1091"/>
      <c r="E94" s="1091"/>
      <c r="F94" s="1091"/>
      <c r="G94" s="1091"/>
      <c r="H94" s="1091"/>
    </row>
    <row r="95" spans="1:8">
      <c r="A95" s="1092" t="s">
        <v>786</v>
      </c>
      <c r="B95" s="1091"/>
      <c r="C95" s="1091"/>
      <c r="D95" s="1091"/>
      <c r="E95" s="1091"/>
      <c r="F95" s="1091"/>
      <c r="G95" s="1091"/>
      <c r="H95" s="1091"/>
    </row>
    <row r="96" spans="1:8">
      <c r="A96" s="1092" t="s">
        <v>787</v>
      </c>
      <c r="B96" s="1091"/>
      <c r="C96" s="1091"/>
      <c r="D96" s="1091"/>
      <c r="E96" s="1091"/>
      <c r="F96" s="1091"/>
      <c r="G96" s="1091"/>
      <c r="H96" s="1091"/>
    </row>
    <row r="97" spans="1:8">
      <c r="A97" s="1092" t="s">
        <v>788</v>
      </c>
      <c r="B97" s="1091"/>
      <c r="C97" s="1091"/>
      <c r="D97" s="1091"/>
      <c r="E97" s="1091"/>
      <c r="F97" s="1091"/>
      <c r="G97" s="1091"/>
      <c r="H97" s="1091"/>
    </row>
    <row r="98" spans="1:8">
      <c r="A98" s="1092" t="s">
        <v>789</v>
      </c>
      <c r="B98" s="1091"/>
      <c r="C98" s="1091"/>
      <c r="D98" s="1091"/>
      <c r="E98" s="1091"/>
      <c r="F98" s="1091"/>
      <c r="G98" s="1091"/>
      <c r="H98" s="1091"/>
    </row>
    <row r="99" spans="1:8">
      <c r="A99" s="1092" t="s">
        <v>790</v>
      </c>
      <c r="B99" s="1091"/>
      <c r="C99" s="1091"/>
      <c r="D99" s="1091"/>
      <c r="E99" s="1091"/>
      <c r="F99" s="1091"/>
      <c r="G99" s="1091"/>
      <c r="H99" s="1091"/>
    </row>
    <row r="100" spans="1:8">
      <c r="A100" s="1092" t="s">
        <v>791</v>
      </c>
      <c r="B100" s="1091"/>
      <c r="C100" s="1091"/>
      <c r="D100" s="1091"/>
      <c r="E100" s="1091"/>
      <c r="F100" s="1091"/>
      <c r="G100" s="1091"/>
      <c r="H100" s="1091"/>
    </row>
    <row r="101" spans="1:8">
      <c r="A101" s="1091"/>
      <c r="B101" s="1091"/>
      <c r="C101" s="1091"/>
      <c r="D101" s="1091"/>
      <c r="E101" s="1091"/>
      <c r="F101" s="1091"/>
      <c r="G101" s="1091"/>
      <c r="H101" s="1091"/>
    </row>
    <row r="102" spans="1:8" ht="15.75">
      <c r="A102" s="1094" t="s">
        <v>564</v>
      </c>
      <c r="B102" s="1094"/>
      <c r="C102" s="1094"/>
      <c r="D102" s="1094"/>
      <c r="E102" s="1094"/>
      <c r="F102" s="1094"/>
      <c r="G102" s="1094"/>
      <c r="H102" s="1094"/>
    </row>
    <row r="103" spans="1:8">
      <c r="A103" s="1095" t="s">
        <v>565</v>
      </c>
      <c r="B103" s="1095"/>
      <c r="C103" s="1095"/>
      <c r="D103" s="1095"/>
      <c r="E103" s="1095"/>
      <c r="F103" s="1095"/>
      <c r="G103" s="1095"/>
      <c r="H103" s="1095"/>
    </row>
    <row r="104" spans="1:8">
      <c r="A104" s="1096"/>
      <c r="B104" s="1096"/>
      <c r="C104" s="1096"/>
      <c r="D104" s="1096"/>
      <c r="E104" s="1096"/>
      <c r="F104" s="1096"/>
      <c r="G104" s="1096"/>
      <c r="H104" s="1096"/>
    </row>
    <row r="105" spans="1:8">
      <c r="A105" s="1095" t="s">
        <v>781</v>
      </c>
      <c r="B105" s="1095"/>
      <c r="C105" s="1095"/>
      <c r="D105" s="1095"/>
      <c r="E105" s="1095"/>
      <c r="F105" s="1095"/>
      <c r="G105" s="1095"/>
      <c r="H105" s="1095"/>
    </row>
    <row r="106" spans="1:8">
      <c r="A106" s="1092" t="s">
        <v>782</v>
      </c>
      <c r="B106" s="1092"/>
      <c r="C106" s="1092"/>
      <c r="D106" s="1092"/>
      <c r="E106" s="1092"/>
      <c r="F106" s="1092"/>
      <c r="G106" s="1092"/>
      <c r="H106" s="1092"/>
    </row>
    <row r="107" spans="1:8">
      <c r="A107" s="1096"/>
      <c r="B107" s="1096"/>
      <c r="C107" s="1096"/>
      <c r="D107" s="1096"/>
      <c r="E107" s="1096"/>
      <c r="F107" s="1096"/>
      <c r="G107" s="1096"/>
      <c r="H107" s="1096"/>
    </row>
    <row r="108" spans="1:8">
      <c r="A108" s="1095" t="s">
        <v>774</v>
      </c>
      <c r="B108" s="1095"/>
      <c r="C108" s="1095"/>
      <c r="D108" s="1095"/>
      <c r="E108" s="1095"/>
      <c r="F108" s="1095"/>
      <c r="G108" s="1095"/>
      <c r="H108" s="1095"/>
    </row>
    <row r="109" spans="1:8">
      <c r="A109" s="1092" t="s">
        <v>775</v>
      </c>
      <c r="B109" s="1092"/>
      <c r="C109" s="1092"/>
      <c r="D109" s="1092"/>
      <c r="E109" s="1092"/>
      <c r="F109" s="1092"/>
      <c r="G109" s="1092"/>
      <c r="H109" s="1092"/>
    </row>
    <row r="110" spans="1:8">
      <c r="A110" s="1092" t="s">
        <v>776</v>
      </c>
      <c r="B110" s="1092"/>
      <c r="C110" s="1092"/>
      <c r="D110" s="1092"/>
      <c r="E110" s="1092"/>
      <c r="F110" s="1092"/>
      <c r="G110" s="1092"/>
      <c r="H110" s="1092"/>
    </row>
    <row r="111" spans="1:8">
      <c r="A111" s="1092" t="s">
        <v>777</v>
      </c>
      <c r="B111" s="1092"/>
      <c r="C111" s="1092"/>
      <c r="D111" s="1092"/>
      <c r="E111" s="1092"/>
      <c r="F111" s="1092"/>
      <c r="G111" s="1092"/>
      <c r="H111" s="1092"/>
    </row>
    <row r="112" spans="1:8">
      <c r="A112" s="1092" t="s">
        <v>778</v>
      </c>
      <c r="B112" s="1092"/>
      <c r="C112" s="1092"/>
      <c r="D112" s="1092"/>
      <c r="E112" s="1092"/>
      <c r="F112" s="1092"/>
      <c r="G112" s="1092"/>
      <c r="H112" s="1092"/>
    </row>
    <row r="113" spans="1:8">
      <c r="A113" s="1092" t="s">
        <v>779</v>
      </c>
      <c r="B113" s="1092"/>
      <c r="C113" s="1092"/>
      <c r="D113" s="1092"/>
      <c r="E113" s="1092"/>
      <c r="F113" s="1092"/>
      <c r="G113" s="1092"/>
      <c r="H113" s="1092"/>
    </row>
    <row r="114" spans="1:8">
      <c r="A114" s="1092" t="s">
        <v>780</v>
      </c>
      <c r="B114" s="1092"/>
      <c r="C114" s="1092"/>
      <c r="D114" s="1092"/>
      <c r="E114" s="1092"/>
      <c r="F114" s="1092"/>
      <c r="G114" s="1092"/>
      <c r="H114" s="1092"/>
    </row>
    <row r="115" spans="1:8">
      <c r="A115" s="1097"/>
      <c r="B115" s="1097"/>
      <c r="C115" s="1097"/>
      <c r="D115" s="1097"/>
      <c r="E115" s="1097"/>
      <c r="F115" s="1097"/>
      <c r="G115" s="1097"/>
      <c r="H115" s="1097"/>
    </row>
    <row r="116" spans="1:8">
      <c r="A116" s="1098"/>
      <c r="B116" s="1099" t="s">
        <v>566</v>
      </c>
      <c r="C116" s="1100"/>
      <c r="D116" s="1099" t="s">
        <v>567</v>
      </c>
      <c r="E116" s="1101"/>
      <c r="F116" s="1100"/>
      <c r="G116" s="1099" t="s">
        <v>568</v>
      </c>
      <c r="H116" s="1100"/>
    </row>
    <row r="117" spans="1:8">
      <c r="A117" s="1098" t="s">
        <v>569</v>
      </c>
      <c r="B117" s="1098" t="s">
        <v>240</v>
      </c>
      <c r="C117" s="1098" t="s">
        <v>570</v>
      </c>
      <c r="D117" s="1098" t="s">
        <v>240</v>
      </c>
      <c r="E117" s="1098" t="s">
        <v>571</v>
      </c>
      <c r="F117" s="1098" t="s">
        <v>572</v>
      </c>
      <c r="G117" s="1098" t="s">
        <v>240</v>
      </c>
      <c r="H117" s="1098" t="s">
        <v>573</v>
      </c>
    </row>
    <row r="118" spans="1:8">
      <c r="A118" s="1098" t="s">
        <v>574</v>
      </c>
      <c r="B118" s="1098">
        <v>1189</v>
      </c>
      <c r="C118" s="1102">
        <v>0.38</v>
      </c>
      <c r="D118" s="1098">
        <v>315</v>
      </c>
      <c r="E118" s="1102">
        <v>0.41</v>
      </c>
      <c r="F118" s="1102">
        <v>0.26</v>
      </c>
      <c r="G118" s="1098">
        <v>555</v>
      </c>
      <c r="H118" s="1102">
        <v>0.39</v>
      </c>
    </row>
    <row r="119" spans="1:8">
      <c r="A119" s="1098" t="s">
        <v>575</v>
      </c>
      <c r="B119" s="1098">
        <v>1355</v>
      </c>
      <c r="C119" s="1102">
        <v>0.43</v>
      </c>
      <c r="D119" s="1098">
        <v>364</v>
      </c>
      <c r="E119" s="1102">
        <v>0.47</v>
      </c>
      <c r="F119" s="1102">
        <v>0.27</v>
      </c>
      <c r="G119" s="1098">
        <v>644</v>
      </c>
      <c r="H119" s="1102">
        <v>0.45</v>
      </c>
    </row>
    <row r="120" spans="1:8">
      <c r="A120" s="1098" t="s">
        <v>576</v>
      </c>
      <c r="B120" s="1098">
        <v>53</v>
      </c>
      <c r="C120" s="1102">
        <v>0.02</v>
      </c>
      <c r="D120" s="1098">
        <v>4</v>
      </c>
      <c r="E120" s="1102">
        <v>0.01</v>
      </c>
      <c r="F120" s="1102">
        <v>0.08</v>
      </c>
      <c r="G120" s="1098">
        <v>7</v>
      </c>
      <c r="H120" s="1102">
        <v>0</v>
      </c>
    </row>
    <row r="121" spans="1:8">
      <c r="A121" s="1098" t="s">
        <v>577</v>
      </c>
      <c r="B121" s="1098">
        <v>545</v>
      </c>
      <c r="C121" s="1102">
        <v>0.17</v>
      </c>
      <c r="D121" s="1098">
        <v>84</v>
      </c>
      <c r="E121" s="1102">
        <v>0.11</v>
      </c>
      <c r="F121" s="1102">
        <v>0.15</v>
      </c>
      <c r="G121" s="1098">
        <v>214</v>
      </c>
      <c r="H121" s="1102">
        <v>0.15</v>
      </c>
    </row>
    <row r="122" spans="1:8">
      <c r="A122" s="1098" t="s">
        <v>301</v>
      </c>
      <c r="B122" s="1103">
        <v>3142</v>
      </c>
      <c r="C122" s="1098"/>
      <c r="D122" s="1098">
        <v>767</v>
      </c>
      <c r="E122" s="1098"/>
      <c r="F122" s="1098"/>
      <c r="G122" s="1098">
        <v>1420</v>
      </c>
      <c r="H122" s="1098"/>
    </row>
    <row r="123" spans="1:8">
      <c r="A123" s="1104"/>
      <c r="B123" s="1104"/>
      <c r="C123" s="1104"/>
      <c r="D123" s="1104"/>
      <c r="E123" s="1104"/>
      <c r="F123" s="1104"/>
      <c r="G123" s="1104"/>
      <c r="H123" s="1104"/>
    </row>
    <row r="124" spans="1:8">
      <c r="A124" s="1095" t="s">
        <v>770</v>
      </c>
      <c r="B124" s="1095"/>
      <c r="C124" s="1095"/>
      <c r="D124" s="1095"/>
      <c r="E124" s="1095"/>
      <c r="F124" s="1095"/>
      <c r="G124" s="1095"/>
      <c r="H124" s="1095"/>
    </row>
    <row r="125" spans="1:8">
      <c r="A125" s="1092" t="s">
        <v>771</v>
      </c>
      <c r="B125" s="1092"/>
      <c r="C125" s="1092"/>
      <c r="D125" s="1092"/>
      <c r="E125" s="1092"/>
      <c r="F125" s="1092"/>
      <c r="G125" s="1092"/>
      <c r="H125" s="1092"/>
    </row>
    <row r="126" spans="1:8">
      <c r="A126" s="1092" t="s">
        <v>772</v>
      </c>
      <c r="B126" s="1092"/>
      <c r="C126" s="1092"/>
      <c r="D126" s="1092"/>
      <c r="E126" s="1092"/>
      <c r="F126" s="1092"/>
      <c r="G126" s="1092"/>
      <c r="H126" s="1092"/>
    </row>
    <row r="127" spans="1:8">
      <c r="A127" s="1092" t="s">
        <v>773</v>
      </c>
      <c r="B127" s="1092"/>
      <c r="C127" s="1092"/>
      <c r="D127" s="1092"/>
      <c r="E127" s="1092"/>
      <c r="F127" s="1092"/>
      <c r="G127" s="1092"/>
      <c r="H127" s="1092"/>
    </row>
    <row r="128" spans="1:8">
      <c r="A128" s="1091"/>
      <c r="B128" s="1091"/>
      <c r="C128" s="1091"/>
      <c r="D128" s="1091"/>
      <c r="E128" s="1091"/>
      <c r="F128" s="1091"/>
      <c r="G128" s="1091"/>
      <c r="H128" s="1091"/>
    </row>
    <row r="129" spans="1:8" ht="15.75">
      <c r="A129" s="1093" t="s">
        <v>578</v>
      </c>
      <c r="B129" s="1091"/>
      <c r="C129" s="1091"/>
      <c r="D129" s="1091"/>
      <c r="E129" s="1091"/>
      <c r="F129" s="1091"/>
      <c r="G129" s="1091"/>
      <c r="H129" s="1091"/>
    </row>
    <row r="130" spans="1:8">
      <c r="A130" s="1091"/>
      <c r="B130" s="1091"/>
      <c r="C130" s="1091"/>
      <c r="D130" s="1091"/>
      <c r="E130" s="1091"/>
      <c r="F130" s="1091"/>
      <c r="G130" s="1091"/>
      <c r="H130" s="1091"/>
    </row>
    <row r="131" spans="1:8">
      <c r="A131" s="1092" t="s">
        <v>768</v>
      </c>
      <c r="B131" s="1091"/>
      <c r="C131" s="1091"/>
      <c r="D131" s="1091"/>
      <c r="E131" s="1091"/>
      <c r="F131" s="1091"/>
      <c r="G131" s="1091"/>
      <c r="H131" s="1091"/>
    </row>
    <row r="132" spans="1:8">
      <c r="A132" s="1092" t="s">
        <v>769</v>
      </c>
      <c r="B132" s="1091"/>
      <c r="C132" s="1091"/>
      <c r="D132" s="1091"/>
      <c r="E132" s="1091"/>
      <c r="F132" s="1091"/>
      <c r="G132" s="1091"/>
      <c r="H132" s="1091"/>
    </row>
    <row r="133" spans="1:8">
      <c r="A133" s="1091"/>
      <c r="B133" s="1091"/>
      <c r="C133" s="1091"/>
      <c r="D133" s="1091"/>
      <c r="E133" s="1091"/>
      <c r="F133" s="1091"/>
      <c r="G133" s="1091"/>
      <c r="H133" s="1091"/>
    </row>
    <row r="134" spans="1:8">
      <c r="A134" s="1092" t="s">
        <v>765</v>
      </c>
      <c r="B134" s="1091"/>
      <c r="C134" s="1091"/>
      <c r="D134" s="1091"/>
      <c r="E134" s="1091"/>
      <c r="F134" s="1091"/>
      <c r="G134" s="1091"/>
      <c r="H134" s="1091"/>
    </row>
    <row r="135" spans="1:8">
      <c r="A135" s="1092" t="s">
        <v>766</v>
      </c>
      <c r="B135" s="1091"/>
      <c r="C135" s="1091"/>
      <c r="D135" s="1091"/>
      <c r="E135" s="1091"/>
      <c r="F135" s="1091"/>
      <c r="G135" s="1091"/>
      <c r="H135" s="1091"/>
    </row>
    <row r="136" spans="1:8">
      <c r="A136" s="1092" t="s">
        <v>767</v>
      </c>
      <c r="B136" s="1091"/>
      <c r="C136" s="1091"/>
      <c r="D136" s="1091"/>
      <c r="E136" s="1091"/>
      <c r="F136" s="1091"/>
      <c r="G136" s="1091"/>
      <c r="H136" s="1091"/>
    </row>
    <row r="137" spans="1:8">
      <c r="A137" s="1091"/>
      <c r="B137" s="1091"/>
      <c r="C137" s="1091"/>
      <c r="D137" s="1091"/>
      <c r="E137" s="1091"/>
      <c r="F137" s="1091"/>
      <c r="G137" s="1091"/>
      <c r="H137" s="1091"/>
    </row>
    <row r="138" spans="1:8">
      <c r="A138" s="1092" t="s">
        <v>762</v>
      </c>
      <c r="B138" s="1091"/>
      <c r="C138" s="1091"/>
      <c r="D138" s="1091"/>
      <c r="E138" s="1091"/>
      <c r="F138" s="1091"/>
      <c r="G138" s="1091"/>
      <c r="H138" s="1091"/>
    </row>
    <row r="139" spans="1:8">
      <c r="A139" s="1092" t="s">
        <v>763</v>
      </c>
      <c r="B139" s="1091"/>
      <c r="C139" s="1091"/>
      <c r="D139" s="1091"/>
      <c r="E139" s="1091"/>
      <c r="F139" s="1091"/>
      <c r="G139" s="1091"/>
      <c r="H139" s="1091"/>
    </row>
    <row r="140" spans="1:8">
      <c r="A140" s="1092" t="s">
        <v>764</v>
      </c>
      <c r="B140" s="1091"/>
      <c r="C140" s="1091"/>
      <c r="D140" s="1091"/>
      <c r="E140" s="1091"/>
      <c r="F140" s="1091"/>
      <c r="G140" s="1091"/>
      <c r="H140" s="1091"/>
    </row>
    <row r="141" spans="1:8">
      <c r="A141" s="1091"/>
      <c r="B141" s="1091"/>
      <c r="C141" s="1091"/>
      <c r="D141" s="1091"/>
      <c r="E141" s="1091"/>
      <c r="F141" s="1091"/>
      <c r="G141" s="1091"/>
      <c r="H141" s="1091"/>
    </row>
    <row r="142" spans="1:8">
      <c r="A142" s="1092" t="s">
        <v>759</v>
      </c>
      <c r="B142" s="1091"/>
      <c r="C142" s="1091"/>
      <c r="D142" s="1091"/>
      <c r="E142" s="1091"/>
      <c r="F142" s="1091"/>
      <c r="G142" s="1091"/>
      <c r="H142" s="1091"/>
    </row>
    <row r="143" spans="1:8">
      <c r="A143" s="1092" t="s">
        <v>760</v>
      </c>
      <c r="B143" s="1091"/>
      <c r="C143" s="1091"/>
      <c r="D143" s="1091"/>
      <c r="E143" s="1091"/>
      <c r="F143" s="1091"/>
      <c r="G143" s="1091"/>
      <c r="H143" s="1091"/>
    </row>
    <row r="144" spans="1:8">
      <c r="A144" s="1092" t="s">
        <v>761</v>
      </c>
      <c r="B144" s="1091"/>
      <c r="C144" s="1091"/>
      <c r="D144" s="1091"/>
      <c r="E144" s="1091"/>
      <c r="F144" s="1091"/>
      <c r="G144" s="1091"/>
      <c r="H144" s="1091"/>
    </row>
    <row r="145" spans="1:8">
      <c r="A145" s="1091"/>
      <c r="B145" s="1091"/>
      <c r="C145" s="1091"/>
      <c r="D145" s="1091"/>
      <c r="E145" s="1091"/>
      <c r="F145" s="1091"/>
      <c r="G145" s="1091"/>
      <c r="H145" s="1091"/>
    </row>
    <row r="146" spans="1:8">
      <c r="A146" s="1092" t="s">
        <v>757</v>
      </c>
      <c r="B146" s="1091"/>
      <c r="C146" s="1091"/>
      <c r="D146" s="1091"/>
      <c r="E146" s="1091"/>
      <c r="F146" s="1091"/>
      <c r="G146" s="1091"/>
      <c r="H146" s="1091"/>
    </row>
    <row r="147" spans="1:8">
      <c r="A147" s="1092" t="s">
        <v>758</v>
      </c>
      <c r="B147" s="1091"/>
      <c r="C147" s="1091"/>
      <c r="D147" s="1091"/>
      <c r="E147" s="1091"/>
      <c r="F147" s="1091"/>
      <c r="G147" s="1091"/>
      <c r="H147" s="1091"/>
    </row>
    <row r="148" spans="1:8">
      <c r="A148" s="1091"/>
      <c r="B148" s="1091"/>
      <c r="C148" s="1091"/>
      <c r="D148" s="1091"/>
      <c r="E148" s="1091"/>
      <c r="F148" s="1091"/>
      <c r="G148" s="1091"/>
      <c r="H148" s="1091"/>
    </row>
    <row r="149" spans="1:8" ht="15.75">
      <c r="A149" s="1093" t="s">
        <v>579</v>
      </c>
      <c r="B149" s="1091"/>
      <c r="C149" s="1091"/>
      <c r="D149" s="1091"/>
      <c r="E149" s="1091"/>
      <c r="F149" s="1091"/>
      <c r="G149" s="1091"/>
      <c r="H149" s="1091"/>
    </row>
    <row r="150" spans="1:8">
      <c r="A150" s="1091"/>
      <c r="B150" s="1091"/>
      <c r="C150" s="1091"/>
      <c r="D150" s="1091"/>
      <c r="E150" s="1091"/>
      <c r="F150" s="1091"/>
      <c r="G150" s="1091"/>
      <c r="H150" s="1091"/>
    </row>
    <row r="151" spans="1:8">
      <c r="A151" s="1092" t="s">
        <v>755</v>
      </c>
      <c r="B151" s="1091"/>
      <c r="C151" s="1091"/>
      <c r="D151" s="1091"/>
      <c r="E151" s="1091"/>
      <c r="F151" s="1091"/>
      <c r="G151" s="1091"/>
      <c r="H151" s="1091"/>
    </row>
    <row r="152" spans="1:8">
      <c r="A152" s="1092" t="s">
        <v>756</v>
      </c>
      <c r="B152" s="1091"/>
      <c r="C152" s="1091"/>
      <c r="D152" s="1091"/>
      <c r="E152" s="1091"/>
      <c r="F152" s="1091"/>
      <c r="G152" s="1091"/>
      <c r="H152" s="1091"/>
    </row>
    <row r="153" spans="1:8">
      <c r="A153" s="1091"/>
      <c r="B153" s="1091"/>
      <c r="C153" s="1091"/>
      <c r="D153" s="1091"/>
      <c r="E153" s="1091"/>
      <c r="F153" s="1091"/>
      <c r="G153" s="1091"/>
      <c r="H153" s="1091"/>
    </row>
    <row r="154" spans="1:8">
      <c r="A154" s="1092" t="s">
        <v>753</v>
      </c>
      <c r="B154" s="1091"/>
      <c r="C154" s="1091"/>
      <c r="D154" s="1091"/>
      <c r="E154" s="1091"/>
      <c r="F154" s="1091"/>
      <c r="G154" s="1091"/>
      <c r="H154" s="1091"/>
    </row>
    <row r="155" spans="1:8">
      <c r="A155" s="1092" t="s">
        <v>754</v>
      </c>
      <c r="B155" s="1091"/>
      <c r="C155" s="1091"/>
      <c r="D155" s="1091"/>
      <c r="E155" s="1091"/>
      <c r="F155" s="1091"/>
      <c r="G155" s="1091"/>
      <c r="H155" s="1091"/>
    </row>
    <row r="156" spans="1:8">
      <c r="A156" s="1091"/>
      <c r="B156" s="1091"/>
      <c r="C156" s="1091"/>
      <c r="D156" s="1091"/>
      <c r="E156" s="1091"/>
      <c r="F156" s="1091"/>
      <c r="G156" s="1091"/>
      <c r="H156" s="1091"/>
    </row>
    <row r="157" spans="1:8">
      <c r="A157" s="1092" t="s">
        <v>751</v>
      </c>
      <c r="B157" s="1091"/>
      <c r="C157" s="1091"/>
      <c r="D157" s="1091"/>
      <c r="E157" s="1091"/>
      <c r="F157" s="1091"/>
      <c r="G157" s="1091"/>
      <c r="H157" s="1091"/>
    </row>
    <row r="158" spans="1:8">
      <c r="A158" s="1092" t="s">
        <v>752</v>
      </c>
      <c r="B158" s="1091"/>
      <c r="C158" s="1091"/>
      <c r="D158" s="1091"/>
      <c r="E158" s="1091"/>
      <c r="F158" s="1091"/>
      <c r="G158" s="1091"/>
      <c r="H158" s="1091"/>
    </row>
    <row r="159" spans="1:8">
      <c r="A159" s="1091"/>
      <c r="B159" s="1091"/>
      <c r="C159" s="1091"/>
      <c r="D159" s="1091"/>
      <c r="E159" s="1091"/>
      <c r="F159" s="1091"/>
      <c r="G159" s="1091"/>
      <c r="H159" s="1091"/>
    </row>
    <row r="160" spans="1:8">
      <c r="A160" s="1092" t="s">
        <v>748</v>
      </c>
      <c r="B160" s="1091"/>
      <c r="C160" s="1091"/>
      <c r="D160" s="1091"/>
      <c r="E160" s="1091"/>
      <c r="F160" s="1091"/>
      <c r="G160" s="1091"/>
      <c r="H160" s="1091"/>
    </row>
    <row r="161" spans="1:8">
      <c r="A161" s="1092" t="s">
        <v>749</v>
      </c>
      <c r="B161" s="1091"/>
      <c r="C161" s="1091"/>
      <c r="D161" s="1091"/>
      <c r="E161" s="1091"/>
      <c r="F161" s="1091"/>
      <c r="G161" s="1091"/>
      <c r="H161" s="1091"/>
    </row>
    <row r="162" spans="1:8">
      <c r="A162" s="1092" t="s">
        <v>750</v>
      </c>
      <c r="B162" s="1091"/>
      <c r="C162" s="1091"/>
      <c r="D162" s="1091"/>
      <c r="E162" s="1091"/>
      <c r="F162" s="1091"/>
      <c r="G162" s="1091"/>
      <c r="H162" s="1091"/>
    </row>
    <row r="163" spans="1:8">
      <c r="A163" s="1091"/>
      <c r="B163" s="1091"/>
      <c r="C163" s="1091"/>
      <c r="D163" s="1091"/>
      <c r="E163" s="1091"/>
      <c r="F163" s="1091"/>
      <c r="G163" s="1091"/>
      <c r="H163" s="1091"/>
    </row>
    <row r="164" spans="1:8">
      <c r="A164" s="1091"/>
      <c r="B164" s="1091"/>
      <c r="C164" s="1091"/>
      <c r="D164" s="1091"/>
      <c r="E164" s="1091"/>
      <c r="F164" s="1091"/>
      <c r="G164" s="1091"/>
      <c r="H164" s="1091"/>
    </row>
    <row r="165" spans="1:8">
      <c r="A165" s="1092" t="s">
        <v>580</v>
      </c>
      <c r="B165" s="1091"/>
      <c r="C165" s="1091"/>
      <c r="D165" s="1091"/>
      <c r="E165" s="1091"/>
      <c r="F165" s="1091"/>
      <c r="G165" s="1091"/>
      <c r="H165" s="1091"/>
    </row>
    <row r="166" spans="1:8">
      <c r="A166" s="1091"/>
      <c r="B166" s="1091"/>
      <c r="C166" s="1091"/>
      <c r="D166" s="1091"/>
      <c r="E166" s="1091"/>
      <c r="F166" s="1091"/>
      <c r="G166" s="1091"/>
      <c r="H166" s="1091"/>
    </row>
    <row r="167" spans="1:8" ht="15.75">
      <c r="A167" s="1093" t="s">
        <v>581</v>
      </c>
      <c r="B167" s="1091"/>
      <c r="C167" s="1091"/>
      <c r="D167" s="1091"/>
      <c r="E167" s="1091"/>
      <c r="F167" s="1091"/>
      <c r="G167" s="1091"/>
      <c r="H167" s="1091"/>
    </row>
    <row r="168" spans="1:8">
      <c r="A168" s="1091"/>
      <c r="B168" s="1091"/>
      <c r="C168" s="1091"/>
      <c r="D168" s="1091"/>
      <c r="E168" s="1091"/>
      <c r="F168" s="1091"/>
      <c r="G168" s="1091"/>
      <c r="H168" s="1091"/>
    </row>
    <row r="169" spans="1:8">
      <c r="A169" s="1091"/>
      <c r="B169" s="1091"/>
      <c r="C169" s="1091"/>
      <c r="D169" s="1091"/>
      <c r="E169" s="1091"/>
      <c r="F169" s="1091"/>
      <c r="G169" s="1091"/>
      <c r="H169" s="1091"/>
    </row>
    <row r="170" spans="1:8">
      <c r="A170" s="1091"/>
      <c r="B170" s="1091"/>
      <c r="C170" s="1091"/>
      <c r="D170" s="1091"/>
      <c r="E170" s="1091"/>
      <c r="F170" s="1091"/>
      <c r="G170" s="1091"/>
      <c r="H170" s="1091"/>
    </row>
    <row r="171" spans="1:8">
      <c r="A171" s="1091"/>
      <c r="B171" s="1091"/>
      <c r="C171" s="1091"/>
      <c r="D171" s="1091"/>
      <c r="E171" s="1091"/>
      <c r="F171" s="1091"/>
      <c r="G171" s="1091"/>
      <c r="H171" s="1091"/>
    </row>
    <row r="172" spans="1:8">
      <c r="A172" s="1091"/>
      <c r="B172" s="1091"/>
      <c r="C172" s="1091"/>
      <c r="D172" s="1091"/>
      <c r="E172" s="1091"/>
      <c r="F172" s="1091"/>
      <c r="G172" s="1091"/>
      <c r="H172" s="1091"/>
    </row>
    <row r="173" spans="1:8">
      <c r="A173" s="1091"/>
      <c r="B173" s="1091"/>
      <c r="C173" s="1091"/>
      <c r="D173" s="1091"/>
      <c r="E173" s="1091"/>
      <c r="F173" s="1091"/>
      <c r="G173" s="1091"/>
      <c r="H173" s="1091"/>
    </row>
    <row r="174" spans="1:8">
      <c r="A174" s="1091"/>
      <c r="B174" s="1091"/>
      <c r="C174" s="1091"/>
      <c r="D174" s="1091"/>
      <c r="E174" s="1091"/>
      <c r="F174" s="1091"/>
      <c r="G174" s="1091"/>
      <c r="H174" s="1091"/>
    </row>
    <row r="175" spans="1:8">
      <c r="A175" s="1091"/>
      <c r="B175" s="1091"/>
      <c r="C175" s="1091"/>
      <c r="D175" s="1091"/>
      <c r="E175" s="1091"/>
      <c r="F175" s="1091"/>
      <c r="G175" s="1091"/>
      <c r="H175" s="1091"/>
    </row>
    <row r="176" spans="1:8">
      <c r="A176" s="1091"/>
      <c r="B176" s="1091"/>
      <c r="C176" s="1091"/>
      <c r="D176" s="1091"/>
      <c r="E176" s="1091"/>
      <c r="F176" s="1091"/>
      <c r="G176" s="1091"/>
      <c r="H176" s="1091"/>
    </row>
    <row r="177" spans="1:8">
      <c r="A177" s="1091"/>
      <c r="B177" s="1091"/>
      <c r="C177" s="1091"/>
      <c r="D177" s="1091"/>
      <c r="E177" s="1091"/>
      <c r="F177" s="1091"/>
      <c r="G177" s="1091"/>
      <c r="H177" s="1091"/>
    </row>
    <row r="178" spans="1:8">
      <c r="A178" s="1091"/>
      <c r="B178" s="1091"/>
      <c r="C178" s="1091"/>
      <c r="D178" s="1091"/>
      <c r="E178" s="1091"/>
      <c r="F178" s="1091"/>
      <c r="G178" s="1091"/>
      <c r="H178" s="1091"/>
    </row>
    <row r="179" spans="1:8">
      <c r="A179" s="1091"/>
      <c r="B179" s="1091"/>
      <c r="C179" s="1091"/>
      <c r="D179" s="1091"/>
      <c r="E179" s="1091"/>
      <c r="F179" s="1091"/>
      <c r="G179" s="1091"/>
      <c r="H179" s="1091"/>
    </row>
    <row r="180" spans="1:8">
      <c r="A180" s="1091"/>
      <c r="B180" s="1091"/>
      <c r="C180" s="1091"/>
      <c r="D180" s="1091"/>
      <c r="E180" s="1091"/>
      <c r="F180" s="1091"/>
      <c r="G180" s="1091"/>
      <c r="H180" s="1091"/>
    </row>
    <row r="181" spans="1:8">
      <c r="A181" s="1091"/>
      <c r="B181" s="1091"/>
      <c r="C181" s="1091"/>
      <c r="D181" s="1091"/>
      <c r="E181" s="1091"/>
      <c r="F181" s="1091"/>
      <c r="G181" s="1091"/>
      <c r="H181" s="1091"/>
    </row>
    <row r="182" spans="1:8">
      <c r="A182" s="1091"/>
      <c r="B182" s="1091"/>
      <c r="C182" s="1091"/>
      <c r="D182" s="1091"/>
      <c r="E182" s="1091"/>
      <c r="F182" s="1091"/>
      <c r="G182" s="1091"/>
      <c r="H182" s="1091"/>
    </row>
    <row r="183" spans="1:8">
      <c r="A183" s="1091"/>
      <c r="B183" s="1091"/>
      <c r="C183" s="1091"/>
      <c r="D183" s="1091"/>
      <c r="E183" s="1091"/>
      <c r="F183" s="1091"/>
      <c r="G183" s="1091"/>
      <c r="H183" s="1091"/>
    </row>
    <row r="184" spans="1:8">
      <c r="A184" s="1091"/>
      <c r="B184" s="1091"/>
      <c r="C184" s="1091"/>
      <c r="D184" s="1091"/>
      <c r="E184" s="1091"/>
      <c r="F184" s="1091"/>
      <c r="G184" s="1091"/>
      <c r="H184" s="1091"/>
    </row>
    <row r="185" spans="1:8">
      <c r="A185" s="1091"/>
      <c r="B185" s="1091"/>
      <c r="C185" s="1091"/>
      <c r="D185" s="1091"/>
      <c r="E185" s="1091"/>
      <c r="F185" s="1091"/>
      <c r="G185" s="1091"/>
      <c r="H185" s="1091"/>
    </row>
    <row r="186" spans="1:8">
      <c r="A186" s="1091"/>
      <c r="B186" s="1091"/>
      <c r="C186" s="1091"/>
      <c r="D186" s="1091"/>
      <c r="E186" s="1091"/>
      <c r="F186" s="1091"/>
      <c r="G186" s="1091"/>
      <c r="H186" s="1091"/>
    </row>
    <row r="187" spans="1:8">
      <c r="A187" s="1091"/>
      <c r="B187" s="1091"/>
      <c r="C187" s="1091"/>
      <c r="D187" s="1091"/>
      <c r="E187" s="1091"/>
      <c r="F187" s="1091"/>
      <c r="G187" s="1091"/>
      <c r="H187" s="1091"/>
    </row>
    <row r="188" spans="1:8">
      <c r="A188" s="1091"/>
      <c r="B188" s="1091"/>
      <c r="C188" s="1091"/>
      <c r="D188" s="1091"/>
      <c r="E188" s="1091"/>
      <c r="F188" s="1091"/>
      <c r="G188" s="1091"/>
      <c r="H188" s="1091"/>
    </row>
    <row r="189" spans="1:8">
      <c r="A189" s="1091"/>
      <c r="B189" s="1091"/>
      <c r="C189" s="1091"/>
      <c r="D189" s="1091"/>
      <c r="E189" s="1091"/>
      <c r="F189" s="1091"/>
      <c r="G189" s="1091"/>
      <c r="H189" s="1091"/>
    </row>
    <row r="190" spans="1:8">
      <c r="A190" s="1091"/>
      <c r="B190" s="1091"/>
      <c r="C190" s="1091"/>
      <c r="D190" s="1091"/>
      <c r="E190" s="1091"/>
      <c r="F190" s="1091"/>
      <c r="G190" s="1091"/>
      <c r="H190" s="1091"/>
    </row>
    <row r="191" spans="1:8">
      <c r="A191" s="1091"/>
      <c r="B191" s="1091"/>
      <c r="C191" s="1091"/>
      <c r="D191" s="1091"/>
      <c r="E191" s="1091"/>
      <c r="F191" s="1091"/>
      <c r="G191" s="1091"/>
      <c r="H191" s="1091"/>
    </row>
    <row r="192" spans="1:8">
      <c r="A192" s="1091"/>
      <c r="B192" s="1091"/>
      <c r="C192" s="1091"/>
      <c r="D192" s="1091"/>
      <c r="E192" s="1091"/>
      <c r="F192" s="1091"/>
      <c r="G192" s="1091"/>
      <c r="H192" s="1091"/>
    </row>
    <row r="193" spans="1:8">
      <c r="A193" s="1091"/>
      <c r="B193" s="1091"/>
      <c r="C193" s="1091"/>
      <c r="D193" s="1091"/>
      <c r="E193" s="1091"/>
      <c r="F193" s="1091"/>
      <c r="G193" s="1091"/>
      <c r="H193" s="1091"/>
    </row>
    <row r="194" spans="1:8" ht="15.75">
      <c r="A194" s="1093" t="s">
        <v>582</v>
      </c>
      <c r="B194" s="1091"/>
      <c r="C194" s="1091"/>
      <c r="D194" s="1091"/>
      <c r="E194" s="1091"/>
      <c r="F194" s="1091"/>
      <c r="G194" s="1091"/>
      <c r="H194" s="1091"/>
    </row>
    <row r="195" spans="1:8">
      <c r="A195" s="1091"/>
      <c r="B195" s="1091"/>
      <c r="C195" s="1091"/>
      <c r="D195" s="1091"/>
      <c r="E195" s="1091"/>
      <c r="F195" s="1091"/>
      <c r="G195" s="1091"/>
      <c r="H195" s="1091"/>
    </row>
    <row r="196" spans="1:8">
      <c r="A196" s="1092" t="s">
        <v>743</v>
      </c>
      <c r="B196" s="1091"/>
      <c r="C196" s="1091"/>
      <c r="D196" s="1091"/>
      <c r="E196" s="1091"/>
      <c r="F196" s="1091"/>
      <c r="G196" s="1091"/>
      <c r="H196" s="1091"/>
    </row>
    <row r="197" spans="1:8">
      <c r="A197" s="1092" t="s">
        <v>744</v>
      </c>
      <c r="B197" s="1091"/>
      <c r="C197" s="1091"/>
      <c r="D197" s="1091"/>
      <c r="E197" s="1091"/>
      <c r="F197" s="1091"/>
      <c r="G197" s="1091"/>
      <c r="H197" s="1091"/>
    </row>
    <row r="198" spans="1:8">
      <c r="A198" s="1092" t="s">
        <v>745</v>
      </c>
      <c r="B198" s="1091"/>
      <c r="C198" s="1091"/>
      <c r="D198" s="1091"/>
      <c r="E198" s="1091"/>
      <c r="F198" s="1091"/>
      <c r="G198" s="1091"/>
      <c r="H198" s="1091"/>
    </row>
    <row r="199" spans="1:8">
      <c r="A199" s="1092" t="s">
        <v>746</v>
      </c>
      <c r="B199" s="1091"/>
      <c r="C199" s="1091"/>
      <c r="D199" s="1091"/>
      <c r="E199" s="1091"/>
      <c r="F199" s="1091"/>
      <c r="G199" s="1091"/>
      <c r="H199" s="1091"/>
    </row>
    <row r="200" spans="1:8">
      <c r="A200" s="1092" t="s">
        <v>747</v>
      </c>
      <c r="B200" s="1091"/>
      <c r="C200" s="1091"/>
      <c r="D200" s="1091"/>
      <c r="E200" s="1091"/>
      <c r="F200" s="1091"/>
      <c r="G200" s="1091"/>
      <c r="H200" s="1091"/>
    </row>
    <row r="201" spans="1:8">
      <c r="A201" s="1091"/>
      <c r="B201" s="1091"/>
      <c r="C201" s="1091"/>
      <c r="D201" s="1091"/>
      <c r="E201" s="1091"/>
      <c r="F201" s="1091"/>
      <c r="G201" s="1091"/>
      <c r="H201" s="1091"/>
    </row>
    <row r="202" spans="1:8">
      <c r="A202" s="1092" t="s">
        <v>740</v>
      </c>
      <c r="B202" s="1091"/>
      <c r="C202" s="1091"/>
      <c r="D202" s="1091"/>
      <c r="E202" s="1091"/>
      <c r="F202" s="1091"/>
      <c r="G202" s="1091"/>
      <c r="H202" s="1091"/>
    </row>
    <row r="203" spans="1:8">
      <c r="A203" s="1092" t="s">
        <v>741</v>
      </c>
      <c r="B203" s="1091"/>
      <c r="C203" s="1091"/>
      <c r="D203" s="1091"/>
      <c r="E203" s="1091"/>
      <c r="F203" s="1091"/>
      <c r="G203" s="1091"/>
      <c r="H203" s="1091"/>
    </row>
    <row r="204" spans="1:8">
      <c r="A204" s="1092" t="s">
        <v>742</v>
      </c>
      <c r="B204" s="1091"/>
      <c r="C204" s="1091"/>
      <c r="D204" s="1091"/>
      <c r="E204" s="1091"/>
      <c r="F204" s="1091"/>
      <c r="G204" s="1091"/>
      <c r="H204" s="1091"/>
    </row>
    <row r="205" spans="1:8" ht="15.75">
      <c r="A205" s="1093" t="s">
        <v>583</v>
      </c>
      <c r="B205" s="1091"/>
      <c r="C205" s="1091"/>
      <c r="D205" s="1091"/>
      <c r="E205" s="1091"/>
      <c r="F205" s="1091"/>
      <c r="G205" s="1091"/>
      <c r="H205" s="1091"/>
    </row>
    <row r="206" spans="1:8">
      <c r="A206" s="1091"/>
      <c r="B206" s="1091"/>
      <c r="C206" s="1091"/>
      <c r="D206" s="1091"/>
      <c r="E206" s="1091"/>
      <c r="F206" s="1091"/>
      <c r="G206" s="1091"/>
      <c r="H206" s="1091"/>
    </row>
    <row r="207" spans="1:8">
      <c r="A207" s="1092" t="s">
        <v>738</v>
      </c>
      <c r="B207" s="1091"/>
      <c r="C207" s="1091"/>
      <c r="D207" s="1091"/>
      <c r="E207" s="1091"/>
      <c r="F207" s="1091"/>
      <c r="G207" s="1091"/>
      <c r="H207" s="1091"/>
    </row>
    <row r="208" spans="1:8">
      <c r="A208" s="1092" t="s">
        <v>739</v>
      </c>
      <c r="B208" s="1091"/>
      <c r="C208" s="1091"/>
      <c r="D208" s="1091"/>
      <c r="E208" s="1091"/>
      <c r="F208" s="1091"/>
      <c r="G208" s="1091"/>
      <c r="H208" s="1091"/>
    </row>
    <row r="209" spans="1:8">
      <c r="A209" s="1091"/>
      <c r="B209" s="1091"/>
      <c r="C209" s="1091"/>
      <c r="D209" s="1091"/>
      <c r="E209" s="1091"/>
      <c r="F209" s="1091"/>
      <c r="G209" s="1091"/>
      <c r="H209" s="1091"/>
    </row>
    <row r="210" spans="1:8">
      <c r="A210" s="1092" t="s">
        <v>731</v>
      </c>
      <c r="B210" s="1091"/>
      <c r="C210" s="1091"/>
      <c r="D210" s="1091"/>
      <c r="E210" s="1091"/>
      <c r="F210" s="1091"/>
      <c r="G210" s="1091"/>
      <c r="H210" s="1091"/>
    </row>
    <row r="211" spans="1:8">
      <c r="A211" s="1092" t="s">
        <v>732</v>
      </c>
      <c r="B211" s="1091"/>
      <c r="C211" s="1091"/>
      <c r="D211" s="1091"/>
      <c r="E211" s="1091"/>
      <c r="F211" s="1091"/>
      <c r="G211" s="1091"/>
      <c r="H211" s="1091"/>
    </row>
    <row r="212" spans="1:8">
      <c r="A212" s="1092" t="s">
        <v>733</v>
      </c>
      <c r="B212" s="1091"/>
      <c r="C212" s="1091"/>
      <c r="D212" s="1091"/>
      <c r="E212" s="1091"/>
      <c r="F212" s="1091"/>
      <c r="G212" s="1091"/>
      <c r="H212" s="1091"/>
    </row>
    <row r="213" spans="1:8">
      <c r="A213" s="1092" t="s">
        <v>734</v>
      </c>
      <c r="B213" s="1091"/>
      <c r="C213" s="1091"/>
      <c r="D213" s="1091"/>
      <c r="E213" s="1091"/>
      <c r="F213" s="1091"/>
      <c r="G213" s="1091"/>
      <c r="H213" s="1091"/>
    </row>
    <row r="214" spans="1:8">
      <c r="A214" s="1092" t="s">
        <v>735</v>
      </c>
      <c r="B214" s="1091"/>
      <c r="C214" s="1091"/>
      <c r="D214" s="1091"/>
      <c r="E214" s="1091"/>
      <c r="F214" s="1091"/>
      <c r="G214" s="1091"/>
      <c r="H214" s="1091"/>
    </row>
    <row r="215" spans="1:8">
      <c r="A215" s="1092" t="s">
        <v>736</v>
      </c>
      <c r="B215" s="1091"/>
      <c r="C215" s="1091"/>
      <c r="D215" s="1091"/>
      <c r="E215" s="1091"/>
      <c r="F215" s="1091"/>
      <c r="G215" s="1091"/>
      <c r="H215" s="1091"/>
    </row>
    <row r="216" spans="1:8">
      <c r="A216" s="1092" t="s">
        <v>737</v>
      </c>
      <c r="B216" s="1091"/>
      <c r="C216" s="1091"/>
      <c r="D216" s="1091"/>
      <c r="E216" s="1091"/>
      <c r="F216" s="1091"/>
      <c r="G216" s="1091"/>
      <c r="H216" s="1091"/>
    </row>
    <row r="217" spans="1:8">
      <c r="A217" s="1091"/>
      <c r="B217" s="1091"/>
      <c r="C217" s="1091"/>
      <c r="D217" s="1091"/>
      <c r="E217" s="1091"/>
      <c r="F217" s="1091"/>
      <c r="G217" s="1091"/>
      <c r="H217" s="1091"/>
    </row>
    <row r="218" spans="1:8">
      <c r="A218" s="1092" t="s">
        <v>728</v>
      </c>
      <c r="B218" s="1091"/>
      <c r="C218" s="1091"/>
      <c r="D218" s="1091"/>
      <c r="E218" s="1091"/>
      <c r="F218" s="1091"/>
      <c r="G218" s="1091"/>
      <c r="H218" s="1091"/>
    </row>
    <row r="219" spans="1:8">
      <c r="A219" s="1092" t="s">
        <v>729</v>
      </c>
      <c r="B219" s="1091"/>
      <c r="C219" s="1091"/>
      <c r="D219" s="1091"/>
      <c r="E219" s="1091"/>
      <c r="F219" s="1091"/>
      <c r="G219" s="1091"/>
      <c r="H219" s="1091"/>
    </row>
    <row r="220" spans="1:8">
      <c r="A220" s="1092" t="s">
        <v>730</v>
      </c>
      <c r="B220" s="1091"/>
      <c r="C220" s="1091"/>
      <c r="D220" s="1091"/>
      <c r="E220" s="1091"/>
      <c r="F220" s="1091"/>
      <c r="G220" s="1091"/>
      <c r="H220" s="1091"/>
    </row>
    <row r="221" spans="1:8">
      <c r="A221" s="1091"/>
      <c r="B221" s="1091"/>
      <c r="C221" s="1091"/>
      <c r="D221" s="1091"/>
      <c r="E221" s="1091"/>
      <c r="F221" s="1091"/>
      <c r="G221" s="1091"/>
      <c r="H221" s="1091"/>
    </row>
    <row r="222" spans="1:8">
      <c r="A222" s="1092" t="s">
        <v>723</v>
      </c>
      <c r="B222" s="1091"/>
      <c r="C222" s="1091"/>
      <c r="D222" s="1091"/>
      <c r="E222" s="1091"/>
      <c r="F222" s="1091"/>
      <c r="G222" s="1091"/>
      <c r="H222" s="1091"/>
    </row>
    <row r="223" spans="1:8">
      <c r="A223" s="1092" t="s">
        <v>724</v>
      </c>
      <c r="B223" s="1091"/>
      <c r="C223" s="1091"/>
      <c r="D223" s="1091"/>
      <c r="E223" s="1091"/>
      <c r="F223" s="1091"/>
      <c r="G223" s="1091"/>
      <c r="H223" s="1091"/>
    </row>
    <row r="224" spans="1:8">
      <c r="A224" s="1092" t="s">
        <v>725</v>
      </c>
      <c r="B224" s="1091"/>
      <c r="C224" s="1091"/>
      <c r="D224" s="1091"/>
      <c r="E224" s="1091"/>
      <c r="F224" s="1091"/>
      <c r="G224" s="1091"/>
      <c r="H224" s="1091"/>
    </row>
    <row r="225" spans="1:8">
      <c r="A225" s="1092" t="s">
        <v>726</v>
      </c>
      <c r="B225" s="1091"/>
      <c r="C225" s="1091"/>
      <c r="D225" s="1091"/>
      <c r="E225" s="1091"/>
      <c r="F225" s="1091"/>
      <c r="G225" s="1091"/>
      <c r="H225" s="1091"/>
    </row>
    <row r="226" spans="1:8">
      <c r="A226" s="1092" t="s">
        <v>727</v>
      </c>
      <c r="B226" s="1091"/>
      <c r="C226" s="1091"/>
      <c r="D226" s="1091"/>
      <c r="E226" s="1091"/>
      <c r="F226" s="1091"/>
      <c r="G226" s="1091"/>
      <c r="H226" s="1091"/>
    </row>
    <row r="227" spans="1:8">
      <c r="A227" s="1091"/>
      <c r="B227" s="1091"/>
      <c r="C227" s="1091"/>
      <c r="D227" s="1091"/>
      <c r="E227" s="1091"/>
      <c r="F227" s="1091"/>
      <c r="G227" s="1091"/>
      <c r="H227" s="1091"/>
    </row>
    <row r="228" spans="1:8">
      <c r="A228" s="1092" t="s">
        <v>717</v>
      </c>
      <c r="B228" s="1091"/>
      <c r="C228" s="1091"/>
      <c r="D228" s="1091"/>
      <c r="E228" s="1091"/>
      <c r="F228" s="1091"/>
      <c r="G228" s="1091"/>
      <c r="H228" s="1091"/>
    </row>
    <row r="229" spans="1:8">
      <c r="A229" s="1092" t="s">
        <v>718</v>
      </c>
      <c r="B229" s="1091"/>
      <c r="C229" s="1091"/>
      <c r="D229" s="1091"/>
      <c r="E229" s="1091"/>
      <c r="F229" s="1091"/>
      <c r="G229" s="1091"/>
      <c r="H229" s="1091"/>
    </row>
    <row r="230" spans="1:8">
      <c r="A230" s="1092" t="s">
        <v>719</v>
      </c>
      <c r="B230" s="1091"/>
      <c r="C230" s="1091"/>
      <c r="D230" s="1091"/>
      <c r="E230" s="1091"/>
      <c r="F230" s="1091"/>
      <c r="G230" s="1091"/>
      <c r="H230" s="1091"/>
    </row>
    <row r="231" spans="1:8">
      <c r="A231" s="1092" t="s">
        <v>720</v>
      </c>
      <c r="B231" s="1091"/>
      <c r="C231" s="1091"/>
      <c r="D231" s="1091"/>
      <c r="E231" s="1091"/>
      <c r="F231" s="1091"/>
      <c r="G231" s="1091"/>
      <c r="H231" s="1091"/>
    </row>
    <row r="232" spans="1:8">
      <c r="A232" s="1092" t="s">
        <v>721</v>
      </c>
      <c r="B232" s="1091"/>
      <c r="C232" s="1091"/>
      <c r="D232" s="1091"/>
      <c r="E232" s="1091"/>
      <c r="F232" s="1091"/>
      <c r="G232" s="1091"/>
      <c r="H232" s="1091"/>
    </row>
    <row r="233" spans="1:8">
      <c r="A233" s="1092" t="s">
        <v>722</v>
      </c>
      <c r="B233" s="1091"/>
      <c r="C233" s="1091"/>
      <c r="D233" s="1091"/>
      <c r="E233" s="1091"/>
      <c r="F233" s="1091"/>
      <c r="G233" s="1091"/>
      <c r="H233" s="1091"/>
    </row>
    <row r="234" spans="1:8">
      <c r="A234" s="1091"/>
      <c r="B234" s="1091"/>
      <c r="C234" s="1091"/>
      <c r="D234" s="1091"/>
      <c r="E234" s="1091"/>
      <c r="F234" s="1091"/>
      <c r="G234" s="1091"/>
      <c r="H234" s="1091"/>
    </row>
    <row r="235" spans="1:8">
      <c r="A235" s="1092" t="s">
        <v>707</v>
      </c>
      <c r="B235" s="1091"/>
      <c r="C235" s="1091"/>
      <c r="D235" s="1091"/>
      <c r="E235" s="1091"/>
      <c r="F235" s="1091"/>
      <c r="G235" s="1091"/>
      <c r="H235" s="1091"/>
    </row>
    <row r="236" spans="1:8">
      <c r="A236" s="1092" t="s">
        <v>708</v>
      </c>
      <c r="B236" s="1091"/>
      <c r="C236" s="1091"/>
      <c r="D236" s="1091"/>
      <c r="E236" s="1091"/>
      <c r="F236" s="1091"/>
      <c r="G236" s="1091"/>
      <c r="H236" s="1091"/>
    </row>
    <row r="237" spans="1:8">
      <c r="A237" s="1092" t="s">
        <v>709</v>
      </c>
      <c r="B237" s="1091"/>
      <c r="C237" s="1091"/>
      <c r="D237" s="1091"/>
      <c r="E237" s="1091"/>
      <c r="F237" s="1091"/>
      <c r="G237" s="1091"/>
      <c r="H237" s="1091"/>
    </row>
    <row r="238" spans="1:8">
      <c r="A238" s="1092" t="s">
        <v>710</v>
      </c>
      <c r="B238" s="1091"/>
      <c r="C238" s="1091"/>
      <c r="D238" s="1091"/>
      <c r="E238" s="1091"/>
      <c r="F238" s="1091"/>
      <c r="G238" s="1091"/>
      <c r="H238" s="1091"/>
    </row>
    <row r="239" spans="1:8">
      <c r="A239" s="1092" t="s">
        <v>711</v>
      </c>
      <c r="B239" s="1091"/>
      <c r="C239" s="1091"/>
      <c r="D239" s="1091"/>
      <c r="E239" s="1091"/>
      <c r="F239" s="1091"/>
      <c r="G239" s="1091"/>
      <c r="H239" s="1091"/>
    </row>
    <row r="240" spans="1:8">
      <c r="A240" s="1092" t="s">
        <v>712</v>
      </c>
      <c r="B240" s="1091"/>
      <c r="C240" s="1091"/>
      <c r="D240" s="1091"/>
      <c r="E240" s="1091"/>
      <c r="F240" s="1091"/>
      <c r="G240" s="1091"/>
      <c r="H240" s="1091"/>
    </row>
    <row r="241" spans="1:8">
      <c r="A241" s="1092" t="s">
        <v>713</v>
      </c>
      <c r="B241" s="1091"/>
      <c r="C241" s="1091"/>
      <c r="D241" s="1091"/>
      <c r="E241" s="1091"/>
      <c r="F241" s="1091"/>
      <c r="G241" s="1091"/>
      <c r="H241" s="1091"/>
    </row>
    <row r="242" spans="1:8">
      <c r="A242" s="1092" t="s">
        <v>714</v>
      </c>
      <c r="B242" s="1091"/>
      <c r="C242" s="1091"/>
      <c r="D242" s="1091"/>
      <c r="E242" s="1091"/>
      <c r="F242" s="1091"/>
      <c r="G242" s="1091"/>
      <c r="H242" s="1091"/>
    </row>
    <row r="243" spans="1:8">
      <c r="A243" s="1092" t="s">
        <v>715</v>
      </c>
      <c r="B243" s="1091"/>
      <c r="C243" s="1091"/>
      <c r="D243" s="1091"/>
      <c r="E243" s="1091"/>
      <c r="F243" s="1091"/>
      <c r="G243" s="1091"/>
      <c r="H243" s="1091"/>
    </row>
    <row r="244" spans="1:8">
      <c r="A244" s="1092" t="s">
        <v>716</v>
      </c>
      <c r="B244" s="1091"/>
      <c r="C244" s="1091"/>
      <c r="D244" s="1091"/>
      <c r="E244" s="1091"/>
      <c r="F244" s="1091"/>
      <c r="G244" s="1091"/>
      <c r="H244" s="1091"/>
    </row>
    <row r="245" spans="1:8">
      <c r="A245" s="1091"/>
      <c r="B245" s="1091"/>
      <c r="C245" s="1091"/>
      <c r="D245" s="1091"/>
      <c r="E245" s="1091"/>
      <c r="F245" s="1091"/>
      <c r="G245" s="1091"/>
      <c r="H245" s="1091"/>
    </row>
    <row r="246" spans="1:8">
      <c r="A246" s="1092" t="s">
        <v>705</v>
      </c>
      <c r="B246" s="1091"/>
      <c r="C246" s="1091"/>
      <c r="D246" s="1091"/>
      <c r="E246" s="1091"/>
      <c r="F246" s="1091"/>
      <c r="G246" s="1091"/>
      <c r="H246" s="1091"/>
    </row>
    <row r="247" spans="1:8">
      <c r="A247" s="1092" t="s">
        <v>706</v>
      </c>
      <c r="B247" s="1091"/>
      <c r="C247" s="1091"/>
      <c r="D247" s="1091"/>
      <c r="E247" s="1091"/>
      <c r="F247" s="1091"/>
      <c r="G247" s="1091"/>
      <c r="H247" s="1091"/>
    </row>
    <row r="248" spans="1:8">
      <c r="A248" s="1091"/>
      <c r="B248" s="1091"/>
      <c r="C248" s="1091"/>
      <c r="D248" s="1091"/>
      <c r="E248" s="1091"/>
      <c r="F248" s="1091"/>
      <c r="G248" s="1091"/>
      <c r="H248" s="1091"/>
    </row>
    <row r="249" spans="1:8">
      <c r="A249" s="1092" t="s">
        <v>689</v>
      </c>
      <c r="B249" s="1091"/>
      <c r="C249" s="1091"/>
      <c r="D249" s="1091"/>
      <c r="E249" s="1091"/>
      <c r="F249" s="1091"/>
      <c r="G249" s="1091"/>
      <c r="H249" s="1091"/>
    </row>
    <row r="250" spans="1:8">
      <c r="A250" s="1092" t="s">
        <v>690</v>
      </c>
      <c r="B250" s="1091"/>
      <c r="C250" s="1091"/>
      <c r="D250" s="1091"/>
      <c r="E250" s="1091"/>
      <c r="F250" s="1091"/>
      <c r="G250" s="1091"/>
      <c r="H250" s="1091"/>
    </row>
    <row r="251" spans="1:8">
      <c r="A251" s="1092" t="s">
        <v>691</v>
      </c>
      <c r="B251" s="1091"/>
      <c r="C251" s="1091"/>
      <c r="D251" s="1091"/>
      <c r="E251" s="1091"/>
      <c r="F251" s="1091"/>
      <c r="G251" s="1091"/>
      <c r="H251" s="1091"/>
    </row>
    <row r="252" spans="1:8">
      <c r="A252" s="1092" t="s">
        <v>692</v>
      </c>
      <c r="B252" s="1091"/>
      <c r="C252" s="1091"/>
      <c r="D252" s="1091"/>
      <c r="E252" s="1091"/>
      <c r="F252" s="1091"/>
      <c r="G252" s="1091"/>
      <c r="H252" s="1091"/>
    </row>
    <row r="253" spans="1:8">
      <c r="A253" s="1092" t="s">
        <v>693</v>
      </c>
      <c r="B253" s="1091"/>
      <c r="C253" s="1091"/>
      <c r="D253" s="1091"/>
      <c r="E253" s="1091"/>
      <c r="F253" s="1091"/>
      <c r="G253" s="1091"/>
      <c r="H253" s="1091"/>
    </row>
    <row r="254" spans="1:8">
      <c r="A254" s="1092" t="s">
        <v>694</v>
      </c>
      <c r="B254" s="1091"/>
      <c r="C254" s="1091"/>
      <c r="D254" s="1091"/>
      <c r="E254" s="1091"/>
      <c r="F254" s="1091"/>
      <c r="G254" s="1091"/>
      <c r="H254" s="1091"/>
    </row>
    <row r="255" spans="1:8">
      <c r="A255" s="1092" t="s">
        <v>695</v>
      </c>
      <c r="B255" s="1091"/>
      <c r="C255" s="1091"/>
      <c r="D255" s="1091"/>
      <c r="E255" s="1091"/>
      <c r="F255" s="1091"/>
      <c r="G255" s="1091"/>
      <c r="H255" s="1091"/>
    </row>
    <row r="256" spans="1:8">
      <c r="A256" s="1092" t="s">
        <v>696</v>
      </c>
      <c r="B256" s="1091"/>
      <c r="C256" s="1091"/>
      <c r="D256" s="1091"/>
      <c r="E256" s="1091"/>
      <c r="F256" s="1091"/>
      <c r="G256" s="1091"/>
      <c r="H256" s="1091"/>
    </row>
    <row r="257" spans="1:8">
      <c r="A257" s="1092" t="s">
        <v>697</v>
      </c>
      <c r="B257" s="1091"/>
      <c r="C257" s="1091"/>
      <c r="D257" s="1091"/>
      <c r="E257" s="1091"/>
      <c r="F257" s="1091"/>
      <c r="G257" s="1091"/>
      <c r="H257" s="1091"/>
    </row>
    <row r="258" spans="1:8">
      <c r="A258" s="1092" t="s">
        <v>698</v>
      </c>
      <c r="B258" s="1091"/>
      <c r="C258" s="1091"/>
      <c r="D258" s="1091"/>
      <c r="E258" s="1091"/>
      <c r="F258" s="1091"/>
      <c r="G258" s="1091"/>
      <c r="H258" s="1091"/>
    </row>
    <row r="259" spans="1:8">
      <c r="A259" s="1092" t="s">
        <v>699</v>
      </c>
      <c r="B259" s="1091"/>
      <c r="C259" s="1091"/>
      <c r="D259" s="1091"/>
      <c r="E259" s="1091"/>
      <c r="F259" s="1091"/>
      <c r="G259" s="1091"/>
      <c r="H259" s="1091"/>
    </row>
    <row r="260" spans="1:8">
      <c r="A260" s="1092" t="s">
        <v>700</v>
      </c>
      <c r="B260" s="1091"/>
      <c r="C260" s="1091"/>
      <c r="D260" s="1091"/>
      <c r="E260" s="1091"/>
      <c r="F260" s="1091"/>
      <c r="G260" s="1091"/>
      <c r="H260" s="1091"/>
    </row>
    <row r="261" spans="1:8">
      <c r="A261" s="1092" t="s">
        <v>701</v>
      </c>
      <c r="B261" s="1091"/>
      <c r="C261" s="1091"/>
      <c r="D261" s="1091"/>
      <c r="E261" s="1091"/>
      <c r="F261" s="1091"/>
      <c r="G261" s="1091"/>
      <c r="H261" s="1091"/>
    </row>
    <row r="262" spans="1:8">
      <c r="A262" s="1092" t="s">
        <v>702</v>
      </c>
      <c r="B262" s="1091"/>
      <c r="C262" s="1091"/>
      <c r="D262" s="1091"/>
      <c r="E262" s="1091"/>
      <c r="F262" s="1091"/>
      <c r="G262" s="1091"/>
      <c r="H262" s="1091"/>
    </row>
    <row r="263" spans="1:8">
      <c r="A263" s="1092" t="s">
        <v>703</v>
      </c>
      <c r="B263" s="1091"/>
      <c r="C263" s="1091"/>
      <c r="D263" s="1091"/>
      <c r="E263" s="1091"/>
      <c r="F263" s="1091"/>
      <c r="G263" s="1091"/>
      <c r="H263" s="1091"/>
    </row>
    <row r="264" spans="1:8">
      <c r="A264" s="1092" t="s">
        <v>704</v>
      </c>
      <c r="B264" s="1091"/>
      <c r="C264" s="1091"/>
      <c r="D264" s="1091"/>
      <c r="E264" s="1091"/>
      <c r="F264" s="1091"/>
      <c r="G264" s="1091"/>
      <c r="H264" s="1091"/>
    </row>
    <row r="265" spans="1:8">
      <c r="A265" s="1091"/>
      <c r="B265" s="1091"/>
      <c r="C265" s="1091"/>
      <c r="D265" s="1091"/>
      <c r="E265" s="1091"/>
      <c r="F265" s="1091"/>
      <c r="G265" s="1091"/>
      <c r="H265" s="1091"/>
    </row>
    <row r="266" spans="1:8">
      <c r="A266" s="1092" t="s">
        <v>682</v>
      </c>
      <c r="B266" s="1091"/>
      <c r="C266" s="1091"/>
      <c r="D266" s="1091"/>
      <c r="E266" s="1091"/>
      <c r="F266" s="1091"/>
      <c r="G266" s="1091"/>
      <c r="H266" s="1091"/>
    </row>
    <row r="267" spans="1:8">
      <c r="A267" s="1092" t="s">
        <v>683</v>
      </c>
      <c r="B267" s="1091"/>
      <c r="C267" s="1091"/>
      <c r="D267" s="1091"/>
      <c r="E267" s="1091"/>
      <c r="F267" s="1091"/>
      <c r="G267" s="1091"/>
      <c r="H267" s="1091"/>
    </row>
    <row r="268" spans="1:8">
      <c r="A268" s="1092" t="s">
        <v>684</v>
      </c>
      <c r="B268" s="1091"/>
      <c r="C268" s="1091"/>
      <c r="D268" s="1091"/>
      <c r="E268" s="1091"/>
      <c r="F268" s="1091"/>
      <c r="G268" s="1091"/>
      <c r="H268" s="1091"/>
    </row>
    <row r="269" spans="1:8">
      <c r="A269" s="1092" t="s">
        <v>685</v>
      </c>
      <c r="B269" s="1091"/>
      <c r="C269" s="1091"/>
      <c r="D269" s="1091"/>
      <c r="E269" s="1091"/>
      <c r="F269" s="1091"/>
      <c r="G269" s="1091"/>
      <c r="H269" s="1091"/>
    </row>
    <row r="270" spans="1:8">
      <c r="A270" s="1092" t="s">
        <v>686</v>
      </c>
      <c r="B270" s="1091"/>
      <c r="C270" s="1091"/>
      <c r="D270" s="1091"/>
      <c r="E270" s="1091"/>
      <c r="F270" s="1091"/>
      <c r="G270" s="1091"/>
      <c r="H270" s="1091"/>
    </row>
    <row r="271" spans="1:8">
      <c r="A271" s="1092" t="s">
        <v>687</v>
      </c>
      <c r="B271" s="1091"/>
      <c r="C271" s="1091"/>
      <c r="D271" s="1091"/>
      <c r="E271" s="1091"/>
      <c r="F271" s="1091"/>
      <c r="G271" s="1091"/>
      <c r="H271" s="1091"/>
    </row>
    <row r="272" spans="1:8">
      <c r="A272" s="1092" t="s">
        <v>688</v>
      </c>
      <c r="B272" s="1091"/>
      <c r="C272" s="1091"/>
      <c r="D272" s="1091"/>
      <c r="E272" s="1091"/>
      <c r="F272" s="1091"/>
      <c r="G272" s="1091"/>
      <c r="H272" s="1091"/>
    </row>
    <row r="273" spans="1:8">
      <c r="A273" s="1091"/>
      <c r="B273" s="1091"/>
      <c r="C273" s="1091"/>
      <c r="D273" s="1091"/>
      <c r="E273" s="1091"/>
      <c r="F273" s="1091"/>
      <c r="G273" s="1091"/>
      <c r="H273" s="1091"/>
    </row>
    <row r="274" spans="1:8">
      <c r="A274" s="1092" t="s">
        <v>673</v>
      </c>
      <c r="B274" s="1091"/>
      <c r="C274" s="1091"/>
      <c r="D274" s="1091"/>
      <c r="E274" s="1091"/>
      <c r="F274" s="1091"/>
      <c r="G274" s="1091"/>
      <c r="H274" s="1091"/>
    </row>
    <row r="275" spans="1:8">
      <c r="A275" s="1092" t="s">
        <v>674</v>
      </c>
      <c r="B275" s="1091"/>
      <c r="C275" s="1091"/>
      <c r="D275" s="1091"/>
      <c r="E275" s="1091"/>
      <c r="F275" s="1091"/>
      <c r="G275" s="1091"/>
      <c r="H275" s="1091"/>
    </row>
    <row r="276" spans="1:8">
      <c r="A276" s="1092" t="s">
        <v>675</v>
      </c>
      <c r="B276" s="1091"/>
      <c r="C276" s="1091"/>
      <c r="D276" s="1091"/>
      <c r="E276" s="1091"/>
      <c r="F276" s="1091"/>
      <c r="G276" s="1091"/>
      <c r="H276" s="1091"/>
    </row>
    <row r="277" spans="1:8">
      <c r="A277" s="1092" t="s">
        <v>676</v>
      </c>
      <c r="B277" s="1091"/>
      <c r="C277" s="1091"/>
      <c r="D277" s="1091"/>
      <c r="E277" s="1091"/>
      <c r="F277" s="1091"/>
      <c r="G277" s="1091"/>
      <c r="H277" s="1091"/>
    </row>
    <row r="278" spans="1:8">
      <c r="A278" s="1092" t="s">
        <v>677</v>
      </c>
      <c r="B278" s="1091"/>
      <c r="C278" s="1091"/>
      <c r="D278" s="1091"/>
      <c r="E278" s="1091"/>
      <c r="F278" s="1091"/>
      <c r="G278" s="1091"/>
      <c r="H278" s="1091"/>
    </row>
    <row r="279" spans="1:8">
      <c r="A279" s="1092" t="s">
        <v>678</v>
      </c>
      <c r="B279" s="1091"/>
      <c r="C279" s="1091"/>
      <c r="D279" s="1091"/>
      <c r="E279" s="1091"/>
      <c r="F279" s="1091"/>
      <c r="G279" s="1091"/>
      <c r="H279" s="1091"/>
    </row>
    <row r="280" spans="1:8">
      <c r="A280" s="1092" t="s">
        <v>679</v>
      </c>
      <c r="B280" s="1091"/>
      <c r="C280" s="1091"/>
      <c r="D280" s="1091"/>
      <c r="E280" s="1091"/>
      <c r="F280" s="1091"/>
      <c r="G280" s="1091"/>
      <c r="H280" s="1091"/>
    </row>
    <row r="281" spans="1:8">
      <c r="A281" s="1092" t="s">
        <v>680</v>
      </c>
      <c r="B281" s="1091"/>
      <c r="C281" s="1091"/>
      <c r="D281" s="1091"/>
      <c r="E281" s="1091"/>
      <c r="F281" s="1091"/>
      <c r="G281" s="1091"/>
      <c r="H281" s="1091"/>
    </row>
    <row r="282" spans="1:8">
      <c r="A282" s="1092" t="s">
        <v>681</v>
      </c>
      <c r="B282" s="1091"/>
      <c r="C282" s="1091"/>
      <c r="D282" s="1091"/>
      <c r="E282" s="1091"/>
      <c r="F282" s="1091"/>
      <c r="G282" s="1091"/>
      <c r="H282" s="1091"/>
    </row>
    <row r="283" spans="1:8">
      <c r="A283" s="1091"/>
      <c r="B283" s="1091"/>
      <c r="C283" s="1091"/>
      <c r="D283" s="1091"/>
      <c r="E283" s="1091"/>
      <c r="F283" s="1091"/>
      <c r="G283" s="1091"/>
      <c r="H283" s="1091"/>
    </row>
    <row r="284" spans="1:8">
      <c r="A284" s="1092" t="s">
        <v>666</v>
      </c>
      <c r="B284" s="1091"/>
      <c r="C284" s="1091"/>
      <c r="D284" s="1091"/>
      <c r="E284" s="1091"/>
      <c r="F284" s="1091"/>
      <c r="G284" s="1091"/>
      <c r="H284" s="1091"/>
    </row>
    <row r="285" spans="1:8">
      <c r="A285" s="1092" t="s">
        <v>667</v>
      </c>
      <c r="B285" s="1091"/>
      <c r="C285" s="1091"/>
      <c r="D285" s="1091"/>
      <c r="E285" s="1091"/>
      <c r="F285" s="1091"/>
      <c r="G285" s="1091"/>
      <c r="H285" s="1091"/>
    </row>
    <row r="286" spans="1:8">
      <c r="A286" s="1092" t="s">
        <v>668</v>
      </c>
      <c r="B286" s="1091"/>
      <c r="C286" s="1091"/>
      <c r="D286" s="1091"/>
      <c r="E286" s="1091"/>
      <c r="F286" s="1091"/>
      <c r="G286" s="1091"/>
      <c r="H286" s="1091"/>
    </row>
    <row r="287" spans="1:8">
      <c r="A287" s="1092" t="s">
        <v>669</v>
      </c>
      <c r="B287" s="1091"/>
      <c r="C287" s="1091"/>
      <c r="D287" s="1091"/>
      <c r="E287" s="1091"/>
      <c r="F287" s="1091"/>
      <c r="G287" s="1091"/>
      <c r="H287" s="1091"/>
    </row>
    <row r="288" spans="1:8">
      <c r="A288" s="1092" t="s">
        <v>670</v>
      </c>
      <c r="B288" s="1091"/>
      <c r="C288" s="1091"/>
      <c r="D288" s="1091"/>
      <c r="E288" s="1091"/>
      <c r="F288" s="1091"/>
      <c r="G288" s="1091"/>
      <c r="H288" s="1091"/>
    </row>
    <row r="289" spans="1:8">
      <c r="A289" s="1092" t="s">
        <v>671</v>
      </c>
      <c r="B289" s="1091"/>
      <c r="C289" s="1091"/>
      <c r="D289" s="1091"/>
      <c r="E289" s="1091"/>
      <c r="F289" s="1091"/>
      <c r="G289" s="1091"/>
      <c r="H289" s="1091"/>
    </row>
    <row r="290" spans="1:8">
      <c r="A290" s="1092" t="s">
        <v>672</v>
      </c>
      <c r="B290" s="1091"/>
      <c r="C290" s="1091"/>
      <c r="D290" s="1091"/>
      <c r="E290" s="1091"/>
      <c r="F290" s="1091"/>
      <c r="G290" s="1091"/>
      <c r="H290" s="1091"/>
    </row>
    <row r="291" spans="1:8">
      <c r="A291" s="1091"/>
      <c r="B291" s="1091"/>
      <c r="C291" s="1091"/>
      <c r="D291" s="1091"/>
      <c r="E291" s="1091"/>
      <c r="F291" s="1091"/>
      <c r="G291" s="1091"/>
      <c r="H291" s="1091"/>
    </row>
    <row r="292" spans="1:8">
      <c r="A292" s="1092" t="s">
        <v>663</v>
      </c>
      <c r="B292" s="1091"/>
      <c r="C292" s="1091"/>
      <c r="D292" s="1091"/>
      <c r="E292" s="1091"/>
      <c r="F292" s="1091"/>
      <c r="G292" s="1091"/>
      <c r="H292" s="1091"/>
    </row>
    <row r="293" spans="1:8">
      <c r="A293" s="1092" t="s">
        <v>664</v>
      </c>
      <c r="B293" s="1091"/>
      <c r="C293" s="1091"/>
      <c r="D293" s="1091"/>
      <c r="E293" s="1091"/>
      <c r="F293" s="1091"/>
      <c r="G293" s="1091"/>
      <c r="H293" s="1091"/>
    </row>
    <row r="294" spans="1:8">
      <c r="A294" s="1092" t="s">
        <v>665</v>
      </c>
      <c r="B294" s="1091"/>
      <c r="C294" s="1091"/>
      <c r="D294" s="1091"/>
      <c r="E294" s="1091"/>
      <c r="F294" s="1091"/>
      <c r="G294" s="1091"/>
      <c r="H294" s="1091"/>
    </row>
    <row r="295" spans="1:8">
      <c r="A295" s="1091"/>
      <c r="B295" s="1091"/>
      <c r="C295" s="1091"/>
      <c r="D295" s="1091"/>
      <c r="E295" s="1091"/>
      <c r="F295" s="1091"/>
      <c r="G295" s="1091"/>
      <c r="H295" s="1091"/>
    </row>
    <row r="296" spans="1:8">
      <c r="A296" s="1092" t="s">
        <v>661</v>
      </c>
      <c r="B296" s="1091"/>
      <c r="C296" s="1091"/>
      <c r="D296" s="1091"/>
      <c r="E296" s="1091"/>
      <c r="F296" s="1091"/>
      <c r="G296" s="1091"/>
      <c r="H296" s="1091"/>
    </row>
    <row r="297" spans="1:8">
      <c r="A297" s="1092" t="s">
        <v>662</v>
      </c>
      <c r="B297" s="1091"/>
      <c r="C297" s="1091"/>
      <c r="D297" s="1091"/>
      <c r="E297" s="1091"/>
      <c r="F297" s="1091"/>
      <c r="G297" s="1091"/>
      <c r="H297" s="1091"/>
    </row>
    <row r="298" spans="1:8">
      <c r="A298" s="1091"/>
      <c r="B298" s="1091"/>
      <c r="C298" s="1091"/>
      <c r="D298" s="1091"/>
      <c r="E298" s="1091"/>
      <c r="F298" s="1091"/>
      <c r="G298" s="1091"/>
      <c r="H298" s="1091"/>
    </row>
    <row r="299" spans="1:8">
      <c r="A299" s="1092" t="s">
        <v>648</v>
      </c>
      <c r="B299" s="1091"/>
      <c r="C299" s="1091"/>
      <c r="D299" s="1091"/>
      <c r="E299" s="1091"/>
      <c r="F299" s="1091"/>
      <c r="G299" s="1091"/>
      <c r="H299" s="1091"/>
    </row>
    <row r="300" spans="1:8">
      <c r="A300" s="1092" t="s">
        <v>649</v>
      </c>
      <c r="B300" s="1091"/>
      <c r="C300" s="1091"/>
      <c r="D300" s="1091"/>
      <c r="E300" s="1091"/>
      <c r="F300" s="1091"/>
      <c r="G300" s="1091"/>
      <c r="H300" s="1091"/>
    </row>
    <row r="301" spans="1:8">
      <c r="A301" s="1092" t="s">
        <v>650</v>
      </c>
      <c r="B301" s="1091"/>
      <c r="C301" s="1091"/>
      <c r="D301" s="1091"/>
      <c r="E301" s="1091"/>
      <c r="F301" s="1091"/>
      <c r="G301" s="1091"/>
      <c r="H301" s="1091"/>
    </row>
    <row r="302" spans="1:8">
      <c r="A302" s="1092" t="s">
        <v>651</v>
      </c>
      <c r="B302" s="1091"/>
      <c r="C302" s="1091"/>
      <c r="D302" s="1091"/>
      <c r="E302" s="1091"/>
      <c r="F302" s="1091"/>
      <c r="G302" s="1091"/>
      <c r="H302" s="1091"/>
    </row>
    <row r="303" spans="1:8">
      <c r="A303" s="1092" t="s">
        <v>652</v>
      </c>
      <c r="B303" s="1091"/>
      <c r="C303" s="1091"/>
      <c r="D303" s="1091"/>
      <c r="E303" s="1091"/>
      <c r="F303" s="1091"/>
      <c r="G303" s="1091"/>
      <c r="H303" s="1091"/>
    </row>
    <row r="304" spans="1:8">
      <c r="A304" s="1092" t="s">
        <v>653</v>
      </c>
      <c r="B304" s="1091"/>
      <c r="C304" s="1091"/>
      <c r="D304" s="1091"/>
      <c r="E304" s="1091"/>
      <c r="F304" s="1091"/>
      <c r="G304" s="1091"/>
      <c r="H304" s="1091"/>
    </row>
    <row r="305" spans="1:8">
      <c r="A305" s="1092" t="s">
        <v>654</v>
      </c>
      <c r="B305" s="1091"/>
      <c r="C305" s="1091"/>
      <c r="D305" s="1091"/>
      <c r="E305" s="1091"/>
      <c r="F305" s="1091"/>
      <c r="G305" s="1091"/>
      <c r="H305" s="1091"/>
    </row>
    <row r="306" spans="1:8">
      <c r="A306" s="1092" t="s">
        <v>655</v>
      </c>
      <c r="B306" s="1091"/>
      <c r="C306" s="1091"/>
      <c r="D306" s="1091"/>
      <c r="E306" s="1091"/>
      <c r="F306" s="1091"/>
      <c r="G306" s="1091"/>
      <c r="H306" s="1091"/>
    </row>
    <row r="307" spans="1:8">
      <c r="A307" s="1092" t="s">
        <v>656</v>
      </c>
      <c r="B307" s="1091"/>
      <c r="C307" s="1091"/>
      <c r="D307" s="1091"/>
      <c r="E307" s="1091"/>
      <c r="F307" s="1091"/>
      <c r="G307" s="1091"/>
      <c r="H307" s="1091"/>
    </row>
    <row r="308" spans="1:8">
      <c r="A308" s="1092" t="s">
        <v>657</v>
      </c>
      <c r="B308" s="1091"/>
      <c r="C308" s="1091"/>
      <c r="D308" s="1091"/>
      <c r="E308" s="1091"/>
      <c r="F308" s="1091"/>
      <c r="G308" s="1091"/>
      <c r="H308" s="1091"/>
    </row>
    <row r="309" spans="1:8">
      <c r="A309" s="1092" t="s">
        <v>658</v>
      </c>
      <c r="B309" s="1091"/>
      <c r="C309" s="1091"/>
      <c r="D309" s="1091"/>
      <c r="E309" s="1091"/>
      <c r="F309" s="1091"/>
      <c r="G309" s="1091"/>
      <c r="H309" s="1091"/>
    </row>
    <row r="310" spans="1:8">
      <c r="A310" s="1092" t="s">
        <v>659</v>
      </c>
      <c r="B310" s="1091"/>
      <c r="C310" s="1091"/>
      <c r="D310" s="1091"/>
      <c r="E310" s="1091"/>
      <c r="F310" s="1091"/>
      <c r="G310" s="1091"/>
      <c r="H310" s="1091"/>
    </row>
    <row r="311" spans="1:8">
      <c r="A311" s="1092" t="s">
        <v>660</v>
      </c>
      <c r="B311" s="1091"/>
      <c r="C311" s="1091"/>
      <c r="D311" s="1091"/>
      <c r="E311" s="1091"/>
      <c r="F311" s="1091"/>
      <c r="G311" s="1091"/>
      <c r="H311" s="1091"/>
    </row>
    <row r="312" spans="1:8">
      <c r="A312" s="1091"/>
      <c r="B312" s="1091"/>
      <c r="C312" s="1091"/>
      <c r="D312" s="1091"/>
      <c r="E312" s="1091"/>
      <c r="F312" s="1091"/>
      <c r="G312" s="1091"/>
      <c r="H312" s="1091"/>
    </row>
    <row r="313" spans="1:8">
      <c r="A313" s="1092" t="s">
        <v>640</v>
      </c>
      <c r="B313" s="1091"/>
      <c r="C313" s="1091"/>
      <c r="D313" s="1091"/>
      <c r="E313" s="1091"/>
      <c r="F313" s="1091"/>
      <c r="G313" s="1091"/>
      <c r="H313" s="1091"/>
    </row>
    <row r="314" spans="1:8">
      <c r="A314" s="1092" t="s">
        <v>641</v>
      </c>
      <c r="B314" s="1091"/>
      <c r="C314" s="1091"/>
      <c r="D314" s="1091"/>
      <c r="E314" s="1091"/>
      <c r="F314" s="1091"/>
      <c r="G314" s="1091"/>
      <c r="H314" s="1091"/>
    </row>
    <row r="315" spans="1:8">
      <c r="A315" s="1092" t="s">
        <v>642</v>
      </c>
      <c r="B315" s="1091"/>
      <c r="C315" s="1091"/>
      <c r="D315" s="1091"/>
      <c r="E315" s="1091"/>
      <c r="F315" s="1091"/>
      <c r="G315" s="1091"/>
      <c r="H315" s="1091"/>
    </row>
    <row r="316" spans="1:8">
      <c r="A316" s="1092" t="s">
        <v>643</v>
      </c>
      <c r="B316" s="1091"/>
      <c r="C316" s="1091"/>
      <c r="D316" s="1091"/>
      <c r="E316" s="1091"/>
      <c r="F316" s="1091"/>
      <c r="G316" s="1091"/>
      <c r="H316" s="1091"/>
    </row>
    <row r="317" spans="1:8">
      <c r="A317" s="1092" t="s">
        <v>644</v>
      </c>
      <c r="B317" s="1091"/>
      <c r="C317" s="1091"/>
      <c r="D317" s="1091"/>
      <c r="E317" s="1091"/>
      <c r="F317" s="1091"/>
      <c r="G317" s="1091"/>
      <c r="H317" s="1091"/>
    </row>
    <row r="318" spans="1:8">
      <c r="A318" s="1092" t="s">
        <v>645</v>
      </c>
      <c r="B318" s="1091"/>
      <c r="C318" s="1091"/>
      <c r="D318" s="1091"/>
      <c r="E318" s="1091"/>
      <c r="F318" s="1091"/>
      <c r="G318" s="1091"/>
      <c r="H318" s="1091"/>
    </row>
    <row r="319" spans="1:8">
      <c r="A319" s="1092" t="s">
        <v>646</v>
      </c>
      <c r="B319" s="1091"/>
      <c r="C319" s="1091"/>
      <c r="D319" s="1091"/>
      <c r="E319" s="1091"/>
      <c r="F319" s="1091"/>
      <c r="G319" s="1091"/>
      <c r="H319" s="1091"/>
    </row>
    <row r="320" spans="1:8">
      <c r="A320" s="1092" t="s">
        <v>647</v>
      </c>
      <c r="B320" s="1091"/>
      <c r="C320" s="1091"/>
      <c r="D320" s="1091"/>
      <c r="E320" s="1091"/>
      <c r="F320" s="1091"/>
      <c r="G320" s="1091"/>
      <c r="H320" s="1091"/>
    </row>
    <row r="321" spans="1:8">
      <c r="A321" s="1091"/>
      <c r="B321" s="1091"/>
      <c r="C321" s="1091"/>
      <c r="D321" s="1091"/>
      <c r="E321" s="1091"/>
      <c r="F321" s="1091"/>
      <c r="G321" s="1091"/>
      <c r="H321" s="1091"/>
    </row>
    <row r="322" spans="1:8">
      <c r="A322" s="1092" t="s">
        <v>605</v>
      </c>
      <c r="B322" s="1091"/>
      <c r="C322" s="1091"/>
      <c r="D322" s="1091"/>
      <c r="E322" s="1091"/>
      <c r="F322" s="1091"/>
      <c r="G322" s="1091"/>
      <c r="H322" s="1091"/>
    </row>
    <row r="323" spans="1:8">
      <c r="A323" s="1092" t="s">
        <v>606</v>
      </c>
      <c r="B323" s="1091"/>
      <c r="C323" s="1091"/>
      <c r="D323" s="1091"/>
      <c r="E323" s="1091"/>
      <c r="F323" s="1091"/>
      <c r="G323" s="1091"/>
      <c r="H323" s="1091"/>
    </row>
    <row r="324" spans="1:8">
      <c r="A324" s="1092" t="s">
        <v>607</v>
      </c>
      <c r="B324" s="1091"/>
      <c r="C324" s="1091"/>
      <c r="D324" s="1091"/>
      <c r="E324" s="1091"/>
      <c r="F324" s="1091"/>
      <c r="G324" s="1091"/>
      <c r="H324" s="1091"/>
    </row>
    <row r="325" spans="1:8">
      <c r="A325" s="1092" t="s">
        <v>608</v>
      </c>
      <c r="B325" s="1091"/>
      <c r="C325" s="1091"/>
      <c r="D325" s="1091"/>
      <c r="E325" s="1091"/>
      <c r="F325" s="1091"/>
      <c r="G325" s="1091"/>
      <c r="H325" s="1091"/>
    </row>
    <row r="326" spans="1:8">
      <c r="A326" s="1092" t="s">
        <v>609</v>
      </c>
      <c r="B326" s="1091"/>
      <c r="C326" s="1091"/>
      <c r="D326" s="1091"/>
      <c r="E326" s="1091"/>
      <c r="F326" s="1091"/>
      <c r="G326" s="1091"/>
      <c r="H326" s="1091"/>
    </row>
    <row r="327" spans="1:8">
      <c r="A327" s="1092" t="s">
        <v>610</v>
      </c>
      <c r="B327" s="1091"/>
      <c r="C327" s="1091"/>
      <c r="D327" s="1091"/>
      <c r="E327" s="1091"/>
      <c r="F327" s="1091"/>
      <c r="G327" s="1091"/>
      <c r="H327" s="1091"/>
    </row>
    <row r="328" spans="1:8">
      <c r="A328" s="1092" t="s">
        <v>611</v>
      </c>
      <c r="B328" s="1091"/>
      <c r="C328" s="1091"/>
      <c r="D328" s="1091"/>
      <c r="E328" s="1091"/>
      <c r="F328" s="1091"/>
      <c r="G328" s="1091"/>
      <c r="H328" s="1091"/>
    </row>
    <row r="329" spans="1:8">
      <c r="A329" s="1092" t="s">
        <v>612</v>
      </c>
      <c r="B329" s="1091"/>
      <c r="C329" s="1091"/>
      <c r="D329" s="1091"/>
      <c r="E329" s="1091"/>
      <c r="F329" s="1091"/>
      <c r="G329" s="1091"/>
      <c r="H329" s="1091"/>
    </row>
    <row r="330" spans="1:8">
      <c r="A330" s="1092" t="s">
        <v>613</v>
      </c>
      <c r="B330" s="1091"/>
      <c r="C330" s="1091"/>
      <c r="D330" s="1091"/>
      <c r="E330" s="1091"/>
      <c r="F330" s="1091"/>
      <c r="G330" s="1091"/>
      <c r="H330" s="1091"/>
    </row>
    <row r="331" spans="1:8">
      <c r="A331" s="1092" t="s">
        <v>614</v>
      </c>
      <c r="B331" s="1091"/>
      <c r="C331" s="1091"/>
      <c r="D331" s="1091"/>
      <c r="E331" s="1091"/>
      <c r="F331" s="1091"/>
      <c r="G331" s="1091"/>
      <c r="H331" s="1091"/>
    </row>
    <row r="332" spans="1:8">
      <c r="A332" s="1092" t="s">
        <v>615</v>
      </c>
      <c r="B332" s="1091"/>
      <c r="C332" s="1091"/>
      <c r="D332" s="1091"/>
      <c r="E332" s="1091"/>
      <c r="F332" s="1091"/>
      <c r="G332" s="1091"/>
      <c r="H332" s="1091"/>
    </row>
    <row r="333" spans="1:8">
      <c r="A333" s="1092" t="s">
        <v>616</v>
      </c>
      <c r="B333" s="1091"/>
      <c r="C333" s="1091"/>
      <c r="D333" s="1091"/>
      <c r="E333" s="1091"/>
      <c r="F333" s="1091"/>
      <c r="G333" s="1091"/>
      <c r="H333" s="1091"/>
    </row>
    <row r="334" spans="1:8">
      <c r="A334" s="1092" t="s">
        <v>617</v>
      </c>
      <c r="B334" s="1091"/>
      <c r="C334" s="1091"/>
      <c r="D334" s="1091"/>
      <c r="E334" s="1091"/>
      <c r="F334" s="1091"/>
      <c r="G334" s="1091"/>
      <c r="H334" s="1091"/>
    </row>
    <row r="335" spans="1:8">
      <c r="A335" s="1092" t="s">
        <v>618</v>
      </c>
      <c r="B335" s="1091"/>
      <c r="C335" s="1091"/>
      <c r="D335" s="1091"/>
      <c r="E335" s="1091"/>
      <c r="F335" s="1091"/>
      <c r="G335" s="1091"/>
      <c r="H335" s="1091"/>
    </row>
    <row r="336" spans="1:8">
      <c r="A336" s="1092" t="s">
        <v>619</v>
      </c>
      <c r="B336" s="1091"/>
      <c r="C336" s="1091"/>
      <c r="D336" s="1091"/>
      <c r="E336" s="1091"/>
      <c r="F336" s="1091"/>
      <c r="G336" s="1091"/>
      <c r="H336" s="1091"/>
    </row>
    <row r="337" spans="1:8">
      <c r="A337" s="1092" t="s">
        <v>620</v>
      </c>
      <c r="B337" s="1091"/>
      <c r="C337" s="1091"/>
      <c r="D337" s="1091"/>
      <c r="E337" s="1091"/>
      <c r="F337" s="1091"/>
      <c r="G337" s="1091"/>
      <c r="H337" s="1091"/>
    </row>
    <row r="338" spans="1:8">
      <c r="A338" s="1092" t="s">
        <v>621</v>
      </c>
      <c r="B338" s="1091"/>
      <c r="C338" s="1091"/>
      <c r="D338" s="1091"/>
      <c r="E338" s="1091"/>
      <c r="F338" s="1091"/>
      <c r="G338" s="1091"/>
      <c r="H338" s="1091"/>
    </row>
    <row r="339" spans="1:8">
      <c r="A339" s="1092" t="s">
        <v>622</v>
      </c>
      <c r="B339" s="1091"/>
      <c r="C339" s="1091"/>
      <c r="D339" s="1091"/>
      <c r="E339" s="1091"/>
      <c r="F339" s="1091"/>
      <c r="G339" s="1091"/>
      <c r="H339" s="1091"/>
    </row>
    <row r="340" spans="1:8">
      <c r="A340" s="1092" t="s">
        <v>623</v>
      </c>
      <c r="B340" s="1091"/>
      <c r="C340" s="1091"/>
      <c r="D340" s="1091"/>
      <c r="E340" s="1091"/>
      <c r="F340" s="1091"/>
      <c r="G340" s="1091"/>
      <c r="H340" s="1091"/>
    </row>
    <row r="341" spans="1:8">
      <c r="A341" s="1092" t="s">
        <v>624</v>
      </c>
      <c r="B341" s="1091"/>
      <c r="C341" s="1091"/>
      <c r="D341" s="1091"/>
      <c r="E341" s="1091"/>
      <c r="F341" s="1091"/>
      <c r="G341" s="1091"/>
      <c r="H341" s="1091"/>
    </row>
    <row r="342" spans="1:8">
      <c r="A342" s="1092" t="s">
        <v>625</v>
      </c>
      <c r="B342" s="1091"/>
      <c r="C342" s="1091"/>
      <c r="D342" s="1091"/>
      <c r="E342" s="1091"/>
      <c r="F342" s="1091"/>
      <c r="G342" s="1091"/>
      <c r="H342" s="1091"/>
    </row>
    <row r="343" spans="1:8">
      <c r="A343" s="1092" t="s">
        <v>626</v>
      </c>
      <c r="B343" s="1091"/>
      <c r="C343" s="1091"/>
      <c r="D343" s="1091"/>
      <c r="E343" s="1091"/>
      <c r="F343" s="1091"/>
      <c r="G343" s="1091"/>
      <c r="H343" s="1091"/>
    </row>
    <row r="344" spans="1:8">
      <c r="A344" s="1092" t="s">
        <v>627</v>
      </c>
      <c r="B344" s="1091"/>
      <c r="C344" s="1091"/>
      <c r="D344" s="1091"/>
      <c r="E344" s="1091"/>
      <c r="F344" s="1091"/>
      <c r="G344" s="1091"/>
      <c r="H344" s="1091"/>
    </row>
    <row r="345" spans="1:8">
      <c r="A345" s="1092" t="s">
        <v>628</v>
      </c>
      <c r="B345" s="1091"/>
      <c r="C345" s="1091"/>
      <c r="D345" s="1091"/>
      <c r="E345" s="1091"/>
      <c r="F345" s="1091"/>
      <c r="G345" s="1091"/>
      <c r="H345" s="1091"/>
    </row>
    <row r="346" spans="1:8">
      <c r="A346" s="1092" t="s">
        <v>629</v>
      </c>
      <c r="B346" s="1091"/>
      <c r="C346" s="1091"/>
      <c r="D346" s="1091"/>
      <c r="E346" s="1091"/>
      <c r="F346" s="1091"/>
      <c r="G346" s="1091"/>
      <c r="H346" s="1091"/>
    </row>
    <row r="347" spans="1:8">
      <c r="A347" s="1092" t="s">
        <v>630</v>
      </c>
      <c r="B347" s="1091"/>
      <c r="C347" s="1091"/>
      <c r="D347" s="1091"/>
      <c r="E347" s="1091"/>
      <c r="F347" s="1091"/>
      <c r="G347" s="1091"/>
      <c r="H347" s="1091"/>
    </row>
    <row r="348" spans="1:8">
      <c r="A348" s="1092" t="s">
        <v>631</v>
      </c>
      <c r="B348" s="1091"/>
      <c r="C348" s="1091"/>
      <c r="D348" s="1091"/>
      <c r="E348" s="1091"/>
      <c r="F348" s="1091"/>
      <c r="G348" s="1091"/>
      <c r="H348" s="1091"/>
    </row>
    <row r="349" spans="1:8">
      <c r="A349" s="1092" t="s">
        <v>632</v>
      </c>
      <c r="B349" s="1091"/>
      <c r="C349" s="1091"/>
      <c r="D349" s="1091"/>
      <c r="E349" s="1091"/>
      <c r="F349" s="1091"/>
      <c r="G349" s="1091"/>
      <c r="H349" s="1091"/>
    </row>
    <row r="350" spans="1:8">
      <c r="A350" s="1092" t="s">
        <v>633</v>
      </c>
      <c r="B350" s="1091"/>
      <c r="C350" s="1091"/>
      <c r="D350" s="1091"/>
      <c r="E350" s="1091"/>
      <c r="F350" s="1091"/>
      <c r="G350" s="1091"/>
      <c r="H350" s="1091"/>
    </row>
    <row r="351" spans="1:8">
      <c r="A351" s="1092" t="s">
        <v>634</v>
      </c>
      <c r="B351" s="1091"/>
      <c r="C351" s="1091"/>
      <c r="D351" s="1091"/>
      <c r="E351" s="1091"/>
      <c r="F351" s="1091"/>
      <c r="G351" s="1091"/>
      <c r="H351" s="1091"/>
    </row>
    <row r="352" spans="1:8">
      <c r="A352" s="1092" t="s">
        <v>635</v>
      </c>
      <c r="B352" s="1091"/>
      <c r="C352" s="1091"/>
      <c r="D352" s="1091"/>
      <c r="E352" s="1091"/>
      <c r="F352" s="1091"/>
      <c r="G352" s="1091"/>
      <c r="H352" s="1091"/>
    </row>
    <row r="353" spans="1:8">
      <c r="A353" s="1092" t="s">
        <v>636</v>
      </c>
      <c r="B353" s="1091"/>
      <c r="C353" s="1091"/>
      <c r="D353" s="1091"/>
      <c r="E353" s="1091"/>
      <c r="F353" s="1091"/>
      <c r="G353" s="1091"/>
      <c r="H353" s="1091"/>
    </row>
    <row r="354" spans="1:8">
      <c r="A354" s="1092" t="s">
        <v>637</v>
      </c>
      <c r="B354" s="1091"/>
      <c r="C354" s="1091"/>
      <c r="D354" s="1091"/>
      <c r="E354" s="1091"/>
      <c r="F354" s="1091"/>
      <c r="G354" s="1091"/>
      <c r="H354" s="1091"/>
    </row>
    <row r="355" spans="1:8">
      <c r="A355" s="1092" t="s">
        <v>638</v>
      </c>
      <c r="B355" s="1091"/>
      <c r="C355" s="1091"/>
      <c r="D355" s="1091"/>
      <c r="E355" s="1091"/>
      <c r="F355" s="1091"/>
      <c r="G355" s="1091"/>
      <c r="H355" s="1091"/>
    </row>
    <row r="356" spans="1:8">
      <c r="A356" s="1092" t="s">
        <v>639</v>
      </c>
      <c r="B356" s="1091"/>
      <c r="C356" s="1091"/>
      <c r="D356" s="1091"/>
      <c r="E356" s="1091"/>
      <c r="F356" s="1091"/>
      <c r="G356" s="1091"/>
      <c r="H356" s="1091"/>
    </row>
    <row r="357" spans="1:8">
      <c r="A357" s="1091"/>
      <c r="B357" s="1091"/>
      <c r="C357" s="1091"/>
      <c r="D357" s="1091"/>
      <c r="E357" s="1091"/>
      <c r="F357" s="1091"/>
      <c r="G357" s="1091"/>
      <c r="H357" s="1091"/>
    </row>
    <row r="358" spans="1:8">
      <c r="A358" s="1092" t="s">
        <v>597</v>
      </c>
      <c r="B358" s="1091"/>
      <c r="C358" s="1091"/>
      <c r="D358" s="1091"/>
      <c r="E358" s="1091"/>
      <c r="F358" s="1091"/>
      <c r="G358" s="1091"/>
      <c r="H358" s="1091"/>
    </row>
    <row r="359" spans="1:8">
      <c r="A359" s="1092" t="s">
        <v>601</v>
      </c>
      <c r="B359" s="1091"/>
      <c r="C359" s="1091"/>
      <c r="D359" s="1091"/>
      <c r="E359" s="1091"/>
      <c r="F359" s="1091"/>
      <c r="G359" s="1091"/>
      <c r="H359" s="1091"/>
    </row>
    <row r="360" spans="1:8">
      <c r="A360" s="1092" t="s">
        <v>602</v>
      </c>
      <c r="B360" s="1091"/>
      <c r="C360" s="1091"/>
      <c r="D360" s="1091"/>
      <c r="E360" s="1091"/>
      <c r="F360" s="1091"/>
      <c r="G360" s="1091"/>
      <c r="H360" s="1091"/>
    </row>
    <row r="361" spans="1:8">
      <c r="A361" s="1092" t="s">
        <v>603</v>
      </c>
      <c r="B361" s="1091"/>
      <c r="C361" s="1091"/>
      <c r="D361" s="1091"/>
      <c r="E361" s="1091"/>
      <c r="F361" s="1091"/>
      <c r="G361" s="1091"/>
      <c r="H361" s="1091"/>
    </row>
    <row r="362" spans="1:8">
      <c r="A362" s="1092" t="s">
        <v>604</v>
      </c>
      <c r="B362" s="1091"/>
      <c r="C362" s="1091"/>
      <c r="D362" s="1091"/>
      <c r="E362" s="1091"/>
      <c r="F362" s="1091"/>
      <c r="G362" s="1091"/>
      <c r="H362" s="1091"/>
    </row>
    <row r="363" spans="1:8">
      <c r="A363" s="1091"/>
      <c r="B363" s="1091"/>
      <c r="C363" s="1091"/>
      <c r="D363" s="1091"/>
      <c r="E363" s="1091"/>
      <c r="F363" s="1091"/>
      <c r="G363" s="1091"/>
      <c r="H363" s="1091"/>
    </row>
    <row r="364" spans="1:8">
      <c r="A364" s="1092" t="s">
        <v>597</v>
      </c>
      <c r="B364" s="1091"/>
      <c r="C364" s="1091"/>
      <c r="D364" s="1091"/>
      <c r="E364" s="1091"/>
      <c r="F364" s="1091"/>
      <c r="G364" s="1091"/>
      <c r="H364" s="1091"/>
    </row>
    <row r="365" spans="1:8">
      <c r="A365" s="1092" t="s">
        <v>598</v>
      </c>
      <c r="B365" s="1091"/>
      <c r="C365" s="1091"/>
      <c r="D365" s="1091"/>
      <c r="E365" s="1091"/>
      <c r="F365" s="1091"/>
      <c r="G365" s="1091"/>
      <c r="H365" s="1091"/>
    </row>
    <row r="366" spans="1:8">
      <c r="A366" s="1092" t="s">
        <v>599</v>
      </c>
      <c r="B366" s="1091"/>
      <c r="C366" s="1091"/>
      <c r="D366" s="1091"/>
      <c r="E366" s="1091"/>
      <c r="F366" s="1091"/>
      <c r="G366" s="1091"/>
      <c r="H366" s="1091"/>
    </row>
    <row r="367" spans="1:8">
      <c r="A367" s="1092" t="s">
        <v>600</v>
      </c>
      <c r="B367" s="1091"/>
      <c r="C367" s="1091"/>
      <c r="D367" s="1091"/>
      <c r="E367" s="1091"/>
      <c r="F367" s="1091"/>
      <c r="G367" s="1091"/>
      <c r="H367" s="1091"/>
    </row>
    <row r="368" spans="1:8">
      <c r="A368" s="1091"/>
      <c r="B368" s="1091"/>
      <c r="C368" s="1091"/>
      <c r="D368" s="1091"/>
      <c r="E368" s="1091"/>
      <c r="F368" s="1091"/>
      <c r="G368" s="1091"/>
      <c r="H368" s="1091"/>
    </row>
    <row r="369" spans="1:8">
      <c r="A369" s="1092" t="s">
        <v>591</v>
      </c>
      <c r="B369" s="1091"/>
      <c r="C369" s="1091"/>
      <c r="D369" s="1091"/>
      <c r="E369" s="1091"/>
      <c r="F369" s="1091"/>
      <c r="G369" s="1091"/>
      <c r="H369" s="1091"/>
    </row>
    <row r="370" spans="1:8">
      <c r="A370" s="1092" t="s">
        <v>592</v>
      </c>
      <c r="B370" s="1091"/>
      <c r="C370" s="1091"/>
      <c r="D370" s="1091"/>
      <c r="E370" s="1091"/>
      <c r="F370" s="1091"/>
      <c r="G370" s="1091"/>
      <c r="H370" s="1091"/>
    </row>
    <row r="371" spans="1:8">
      <c r="A371" s="1092" t="s">
        <v>593</v>
      </c>
      <c r="B371" s="1091"/>
      <c r="C371" s="1091"/>
      <c r="D371" s="1091"/>
      <c r="E371" s="1091"/>
      <c r="F371" s="1091"/>
      <c r="G371" s="1091"/>
      <c r="H371" s="1091"/>
    </row>
    <row r="372" spans="1:8">
      <c r="A372" s="1092" t="s">
        <v>594</v>
      </c>
      <c r="B372" s="1091"/>
      <c r="C372" s="1091"/>
      <c r="D372" s="1091"/>
      <c r="E372" s="1091"/>
      <c r="F372" s="1091"/>
      <c r="G372" s="1091"/>
      <c r="H372" s="1091"/>
    </row>
    <row r="373" spans="1:8">
      <c r="A373" s="1092" t="s">
        <v>595</v>
      </c>
      <c r="B373" s="1091"/>
      <c r="C373" s="1091"/>
      <c r="D373" s="1091"/>
      <c r="E373" s="1091"/>
      <c r="F373" s="1091"/>
      <c r="G373" s="1091"/>
      <c r="H373" s="1091"/>
    </row>
    <row r="374" spans="1:8">
      <c r="A374" s="1092" t="s">
        <v>596</v>
      </c>
      <c r="B374" s="1091"/>
      <c r="C374" s="1091"/>
      <c r="D374" s="1091"/>
      <c r="E374" s="1091"/>
      <c r="F374" s="1091"/>
      <c r="G374" s="1091"/>
      <c r="H374" s="1091"/>
    </row>
    <row r="375" spans="1:8">
      <c r="A375" s="1091"/>
      <c r="B375" s="1091"/>
      <c r="C375" s="1091"/>
      <c r="D375" s="1091"/>
      <c r="E375" s="1091"/>
      <c r="F375" s="1091"/>
      <c r="G375" s="1091"/>
      <c r="H375" s="1091"/>
    </row>
    <row r="376" spans="1:8">
      <c r="A376" s="1092" t="s">
        <v>586</v>
      </c>
      <c r="B376" s="1091"/>
      <c r="C376" s="1091"/>
      <c r="D376" s="1091"/>
      <c r="E376" s="1091"/>
      <c r="F376" s="1091"/>
      <c r="G376" s="1091"/>
      <c r="H376" s="1091"/>
    </row>
    <row r="377" spans="1:8">
      <c r="A377" s="1092" t="s">
        <v>587</v>
      </c>
      <c r="B377" s="1091"/>
      <c r="C377" s="1091"/>
      <c r="D377" s="1091"/>
      <c r="E377" s="1091"/>
      <c r="F377" s="1091"/>
      <c r="G377" s="1091"/>
      <c r="H377" s="1091"/>
    </row>
    <row r="378" spans="1:8">
      <c r="A378" s="1092" t="s">
        <v>588</v>
      </c>
      <c r="B378" s="1091"/>
      <c r="C378" s="1091"/>
      <c r="D378" s="1091"/>
      <c r="E378" s="1091"/>
      <c r="F378" s="1091"/>
      <c r="G378" s="1091"/>
      <c r="H378" s="1091"/>
    </row>
    <row r="379" spans="1:8">
      <c r="A379" s="1092" t="s">
        <v>589</v>
      </c>
      <c r="B379" s="1091"/>
      <c r="C379" s="1091"/>
      <c r="D379" s="1091"/>
      <c r="E379" s="1091"/>
      <c r="F379" s="1091"/>
      <c r="G379" s="1091"/>
      <c r="H379" s="1091"/>
    </row>
    <row r="380" spans="1:8">
      <c r="A380" s="1092" t="s">
        <v>590</v>
      </c>
      <c r="B380" s="1091"/>
      <c r="C380" s="1091"/>
      <c r="D380" s="1091"/>
      <c r="E380" s="1091"/>
      <c r="F380" s="1091"/>
      <c r="G380" s="1091"/>
      <c r="H380" s="1091"/>
    </row>
    <row r="381" spans="1:8">
      <c r="A381" s="1091"/>
      <c r="B381" s="1091"/>
      <c r="C381" s="1091"/>
      <c r="D381" s="1091"/>
      <c r="E381" s="1091"/>
      <c r="F381" s="1091"/>
      <c r="G381" s="1091"/>
      <c r="H381" s="1091"/>
    </row>
    <row r="382" spans="1:8">
      <c r="A382" s="1092" t="s">
        <v>584</v>
      </c>
      <c r="B382" s="1091"/>
      <c r="C382" s="1091"/>
      <c r="D382" s="1091"/>
      <c r="E382" s="1091"/>
      <c r="F382" s="1091"/>
      <c r="G382" s="1091"/>
      <c r="H382" s="1091"/>
    </row>
    <row r="383" spans="1:8">
      <c r="A383" s="1092" t="s">
        <v>585</v>
      </c>
      <c r="B383" s="1091"/>
      <c r="C383" s="1091"/>
      <c r="D383" s="1091"/>
      <c r="E383" s="1091"/>
      <c r="F383" s="1091"/>
      <c r="G383" s="1091"/>
      <c r="H383" s="1091"/>
    </row>
    <row r="385" spans="1:1">
      <c r="A385" s="1087" t="s">
        <v>836</v>
      </c>
    </row>
  </sheetData>
  <mergeCells count="12">
    <mergeCell ref="A123:H123"/>
    <mergeCell ref="A124:H124"/>
    <mergeCell ref="B116:C116"/>
    <mergeCell ref="D116:F116"/>
    <mergeCell ref="G116:H116"/>
    <mergeCell ref="A102:H102"/>
    <mergeCell ref="A103:H103"/>
    <mergeCell ref="A104:H104"/>
    <mergeCell ref="A105:H105"/>
    <mergeCell ref="A107:H107"/>
    <mergeCell ref="A108:H108"/>
    <mergeCell ref="A115:H11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4"/>
  <sheetViews>
    <sheetView showGridLines="0" zoomScaleNormal="100" zoomScaleSheetLayoutView="70" workbookViewId="0">
      <selection activeCell="W19" sqref="W19"/>
    </sheetView>
  </sheetViews>
  <sheetFormatPr defaultRowHeight="12.75" outlineLevelRow="1" outlineLevelCol="1"/>
  <cols>
    <col min="1" max="1" width="2.7109375" customWidth="1"/>
    <col min="2" max="2" width="4.140625" customWidth="1"/>
    <col min="3" max="3" width="28" customWidth="1"/>
    <col min="4" max="4" width="2.5703125" hidden="1" customWidth="1" outlineLevel="1"/>
    <col min="5" max="5" width="8.7109375" hidden="1" customWidth="1" outlineLevel="1"/>
    <col min="6" max="6" width="1" hidden="1" customWidth="1" outlineLevel="1"/>
    <col min="7" max="7" width="5.5703125" hidden="1" customWidth="1" outlineLevel="1"/>
    <col min="8" max="8" width="7.28515625" hidden="1" customWidth="1" outlineLevel="1"/>
    <col min="9" max="9" width="8.7109375" hidden="1" customWidth="1" outlineLevel="1"/>
    <col min="10" max="14" width="8" hidden="1" customWidth="1" outlineLevel="1"/>
    <col min="15" max="15" width="8" customWidth="1" collapsed="1"/>
    <col min="16" max="16" width="8.5703125" customWidth="1"/>
    <col min="17" max="17" width="9.140625" bestFit="1" customWidth="1"/>
    <col min="18" max="32" width="9.85546875" customWidth="1"/>
  </cols>
  <sheetData>
    <row r="1" spans="1:32" ht="15.75">
      <c r="A1" s="2"/>
      <c r="B1" s="3"/>
      <c r="C1" s="3"/>
      <c r="D1" s="3"/>
      <c r="E1" s="3"/>
      <c r="F1" s="100"/>
      <c r="G1" s="100"/>
      <c r="H1" s="100"/>
      <c r="I1" s="100"/>
      <c r="J1" s="100"/>
      <c r="K1" s="100"/>
      <c r="L1" s="100"/>
      <c r="M1" s="100"/>
      <c r="N1" s="100"/>
      <c r="O1" s="100"/>
      <c r="P1" s="100"/>
      <c r="Q1" s="100"/>
      <c r="R1" s="100"/>
      <c r="S1" s="100"/>
      <c r="T1" s="100"/>
      <c r="U1" s="100"/>
      <c r="V1" s="100"/>
      <c r="W1" s="100"/>
      <c r="X1" s="100"/>
    </row>
    <row r="2" spans="1:32" ht="15.75">
      <c r="A2" s="2"/>
      <c r="B2" s="3"/>
      <c r="C2" s="3"/>
      <c r="D2" s="3"/>
      <c r="E2" s="3"/>
      <c r="F2" s="100"/>
      <c r="G2" s="100"/>
      <c r="H2" s="100"/>
      <c r="I2" s="100"/>
      <c r="J2" s="100"/>
      <c r="K2" s="101"/>
      <c r="L2" s="100"/>
      <c r="M2" s="100"/>
      <c r="N2" s="100"/>
      <c r="O2" s="100"/>
      <c r="P2" s="100"/>
      <c r="Q2" s="100"/>
      <c r="R2" s="100"/>
      <c r="S2" s="100"/>
      <c r="T2" s="100"/>
      <c r="U2" s="100"/>
      <c r="V2" s="100"/>
      <c r="W2" s="100"/>
      <c r="X2" s="100"/>
    </row>
    <row r="3" spans="1:32">
      <c r="B3" s="4"/>
      <c r="C3" s="1083" t="s">
        <v>519</v>
      </c>
      <c r="D3" s="982"/>
      <c r="E3" s="982"/>
      <c r="F3" s="982"/>
      <c r="G3" s="981"/>
      <c r="H3" s="981"/>
      <c r="I3" s="981"/>
      <c r="J3" s="980"/>
      <c r="K3" s="980"/>
      <c r="L3" s="980"/>
      <c r="M3" s="980"/>
      <c r="N3" s="980"/>
      <c r="O3" s="980"/>
      <c r="P3" s="980"/>
      <c r="Q3" s="980"/>
      <c r="R3" s="980"/>
      <c r="S3" s="980"/>
      <c r="T3" s="980"/>
      <c r="U3" s="980"/>
      <c r="V3" s="980"/>
      <c r="W3" s="980"/>
      <c r="X3" s="980"/>
      <c r="Y3" s="980"/>
      <c r="Z3" s="980"/>
      <c r="AA3" s="980"/>
      <c r="AB3" s="980"/>
      <c r="AC3" s="980"/>
      <c r="AD3" s="980"/>
      <c r="AE3" s="980"/>
      <c r="AF3" s="979" t="s">
        <v>518</v>
      </c>
    </row>
    <row r="4" spans="1:32">
      <c r="B4" s="4"/>
      <c r="C4" s="1084"/>
      <c r="D4" s="986"/>
      <c r="E4" s="986"/>
      <c r="F4" s="986"/>
      <c r="G4" s="985">
        <v>2010</v>
      </c>
      <c r="H4" s="985">
        <v>2011</v>
      </c>
      <c r="I4" s="985">
        <v>2012</v>
      </c>
      <c r="J4" s="984">
        <v>2013</v>
      </c>
      <c r="K4" s="984">
        <v>2014</v>
      </c>
      <c r="L4" s="984">
        <v>2015</v>
      </c>
      <c r="M4" s="984">
        <v>2016</v>
      </c>
      <c r="N4" s="984">
        <v>2017</v>
      </c>
      <c r="O4" s="984">
        <v>2018</v>
      </c>
      <c r="P4" s="984">
        <v>2019</v>
      </c>
      <c r="Q4" s="984">
        <f>P4+1</f>
        <v>2020</v>
      </c>
      <c r="R4" s="984">
        <f t="shared" ref="R4:Y4" si="0">Q4+1</f>
        <v>2021</v>
      </c>
      <c r="S4" s="984">
        <f t="shared" si="0"/>
        <v>2022</v>
      </c>
      <c r="T4" s="984">
        <f t="shared" si="0"/>
        <v>2023</v>
      </c>
      <c r="U4" s="984">
        <f t="shared" si="0"/>
        <v>2024</v>
      </c>
      <c r="V4" s="984">
        <f t="shared" si="0"/>
        <v>2025</v>
      </c>
      <c r="W4" s="984">
        <f t="shared" si="0"/>
        <v>2026</v>
      </c>
      <c r="X4" s="984">
        <f t="shared" si="0"/>
        <v>2027</v>
      </c>
      <c r="Y4" s="984">
        <f t="shared" si="0"/>
        <v>2028</v>
      </c>
      <c r="Z4" s="984">
        <f>Y4+1</f>
        <v>2029</v>
      </c>
      <c r="AA4" s="984">
        <v>2030</v>
      </c>
      <c r="AB4" s="984">
        <v>2031</v>
      </c>
      <c r="AC4" s="984">
        <v>2032</v>
      </c>
      <c r="AD4" s="984">
        <v>2033</v>
      </c>
      <c r="AE4" s="984">
        <v>2034</v>
      </c>
      <c r="AF4" s="978">
        <v>2035</v>
      </c>
    </row>
    <row r="5" spans="1:32" s="6" customFormat="1">
      <c r="B5" s="28"/>
      <c r="C5" s="28" t="s">
        <v>335</v>
      </c>
      <c r="D5" s="28"/>
      <c r="E5" s="28"/>
      <c r="F5" s="28"/>
      <c r="G5" s="102"/>
      <c r="H5" s="102">
        <f>CF!H71</f>
        <v>-84.918999999999997</v>
      </c>
      <c r="I5" s="102">
        <f>CF!I71</f>
        <v>-83.612000000000052</v>
      </c>
      <c r="J5" s="102">
        <f>CF!J71</f>
        <v>-282.947</v>
      </c>
      <c r="K5" s="102">
        <f>CF!K71</f>
        <v>-159.10599999999997</v>
      </c>
      <c r="L5" s="102">
        <f>CF!L71</f>
        <v>-110.976</v>
      </c>
      <c r="M5" s="102">
        <f>CF!M71</f>
        <v>-29.638999999999996</v>
      </c>
      <c r="N5" s="102">
        <f>CF!N71</f>
        <v>-103.77399999999997</v>
      </c>
      <c r="O5" s="102">
        <f>CF!O71</f>
        <v>-86.217951817602938</v>
      </c>
      <c r="P5" s="102">
        <f>CF!P71</f>
        <v>-39.234891368924906</v>
      </c>
      <c r="Q5" s="102">
        <f>CF!Q71</f>
        <v>82.187175212352415</v>
      </c>
      <c r="R5" s="102">
        <f>Q5*(1+R6)</f>
        <v>160.2649916640872</v>
      </c>
      <c r="S5" s="102">
        <f t="shared" ref="S5" si="1">R5*(1+S6)</f>
        <v>288.47698499535699</v>
      </c>
      <c r="T5" s="102">
        <f t="shared" ref="T5" si="2">S5*(1+T6)</f>
        <v>475.98702524233897</v>
      </c>
      <c r="U5" s="102">
        <f t="shared" ref="U5" si="3">T5*(1+U6)</f>
        <v>713.98053786350852</v>
      </c>
      <c r="V5" s="102">
        <f t="shared" ref="V5" si="4">U5*(1+V6)</f>
        <v>963.87372611573653</v>
      </c>
      <c r="W5" s="201">
        <f t="shared" ref="W5" si="5">V5*(1+W6)</f>
        <v>72.290529458680197</v>
      </c>
      <c r="X5" s="102">
        <f t="shared" ref="X5" si="6">W5*(1+X6)</f>
        <v>72.290529458680197</v>
      </c>
      <c r="Y5" s="201">
        <f t="shared" ref="Y5" si="7">X5*(1+Y6)</f>
        <v>72.290529458680197</v>
      </c>
      <c r="Z5" s="201">
        <f t="shared" ref="Z5" si="8">Y5*(1+Z6)</f>
        <v>72.290529458680197</v>
      </c>
      <c r="AA5" s="201">
        <f t="shared" ref="AA5" si="9">Z5*(1+AA6)</f>
        <v>72.290529458680197</v>
      </c>
      <c r="AB5" s="201">
        <f t="shared" ref="AB5" si="10">AA5*(1+AB6)</f>
        <v>72.290529458680197</v>
      </c>
      <c r="AC5" s="201">
        <f t="shared" ref="AC5" si="11">AB5*(1+AC6)</f>
        <v>72.290529458680197</v>
      </c>
      <c r="AD5" s="201">
        <f t="shared" ref="AD5:AE5" si="12">AC5*(1+AD6)</f>
        <v>72.290529458680197</v>
      </c>
      <c r="AE5" s="201">
        <f t="shared" si="12"/>
        <v>72.290529458680197</v>
      </c>
      <c r="AF5" s="201"/>
    </row>
    <row r="6" spans="1:32" s="6" customFormat="1">
      <c r="B6" s="28"/>
      <c r="C6" s="28" t="s">
        <v>155</v>
      </c>
      <c r="D6" s="28"/>
      <c r="E6" s="28"/>
      <c r="F6" s="28"/>
      <c r="G6" s="99"/>
      <c r="H6" s="24"/>
      <c r="I6" s="24" t="str">
        <f t="shared" ref="I6:O6" si="13">IF((I5/H5-1)&lt;0,"NM",(I5/H5-1))</f>
        <v>NM</v>
      </c>
      <c r="J6" s="395">
        <f t="shared" si="13"/>
        <v>2.3840477443429151</v>
      </c>
      <c r="K6" s="395" t="str">
        <f t="shared" si="13"/>
        <v>NM</v>
      </c>
      <c r="L6" s="395" t="str">
        <f t="shared" si="13"/>
        <v>NM</v>
      </c>
      <c r="M6" s="395" t="str">
        <f t="shared" si="13"/>
        <v>NM</v>
      </c>
      <c r="N6" s="274">
        <f t="shared" si="13"/>
        <v>2.5012652248726335</v>
      </c>
      <c r="O6" s="395" t="str">
        <f t="shared" si="13"/>
        <v>NM</v>
      </c>
      <c r="P6" s="395" t="str">
        <f>IF((P5/O5-1)&lt;0,"NM",(P5/O5-1))</f>
        <v>NM</v>
      </c>
      <c r="Q6" s="274">
        <f>Q5/P5-1</f>
        <v>-3.0947471076075637</v>
      </c>
      <c r="R6" s="963">
        <f t="shared" ref="R6:AE6" si="14">CHOOSE($C$23,R26,R27,R28)</f>
        <v>0.95</v>
      </c>
      <c r="S6" s="963">
        <f t="shared" si="14"/>
        <v>0.8</v>
      </c>
      <c r="T6" s="963">
        <f t="shared" si="14"/>
        <v>0.65</v>
      </c>
      <c r="U6" s="963">
        <f t="shared" si="14"/>
        <v>0.5</v>
      </c>
      <c r="V6" s="963">
        <f t="shared" si="14"/>
        <v>0.35</v>
      </c>
      <c r="W6" s="963">
        <f t="shared" si="14"/>
        <v>-0.92500000000000004</v>
      </c>
      <c r="X6" s="964">
        <f t="shared" si="14"/>
        <v>0</v>
      </c>
      <c r="Y6" s="964">
        <f t="shared" si="14"/>
        <v>0</v>
      </c>
      <c r="Z6" s="964">
        <f t="shared" si="14"/>
        <v>0</v>
      </c>
      <c r="AA6" s="964">
        <f t="shared" si="14"/>
        <v>0</v>
      </c>
      <c r="AB6" s="964">
        <f t="shared" si="14"/>
        <v>0</v>
      </c>
      <c r="AC6" s="964">
        <f t="shared" si="14"/>
        <v>0</v>
      </c>
      <c r="AD6" s="964">
        <f t="shared" si="14"/>
        <v>0</v>
      </c>
      <c r="AE6" s="964">
        <f t="shared" si="14"/>
        <v>0</v>
      </c>
      <c r="AF6" s="251"/>
    </row>
    <row r="7" spans="1:32" s="6" customFormat="1">
      <c r="B7" s="28"/>
      <c r="C7" s="28" t="s">
        <v>336</v>
      </c>
      <c r="D7" s="28"/>
      <c r="E7" s="28"/>
      <c r="F7" s="28"/>
      <c r="G7" s="99"/>
      <c r="H7" s="200"/>
      <c r="I7" s="200">
        <f>BS!I160+BS!I140</f>
        <v>-8.3966577188306903</v>
      </c>
      <c r="J7" s="200">
        <f>BS!J160+BS!J140</f>
        <v>-17.408443735367332</v>
      </c>
      <c r="K7" s="200">
        <f>BS!K160+BS!K140</f>
        <v>-24.295941459640002</v>
      </c>
      <c r="L7" s="200">
        <f>BS!L160+BS!L140</f>
        <v>-15.104113729365082</v>
      </c>
      <c r="M7" s="200">
        <f>BS!M160+BS!M140</f>
        <v>-2.9143583401000011</v>
      </c>
      <c r="N7" s="200">
        <f>BS!N160+BS!N140</f>
        <v>-2.7456132226955399</v>
      </c>
      <c r="O7" s="200">
        <f>BS!O160+BS!O140</f>
        <v>-2.4606690695916509</v>
      </c>
      <c r="P7" s="200">
        <f>BS!P160+BS!P140</f>
        <v>-2.0249328121958685</v>
      </c>
      <c r="Q7" s="200">
        <f>BS!Q160+BS!Q140</f>
        <v>-1.39489002287955</v>
      </c>
      <c r="R7" s="200">
        <f t="shared" ref="R7:S7" si="15">Q7</f>
        <v>-1.39489002287955</v>
      </c>
      <c r="S7" s="200">
        <f t="shared" si="15"/>
        <v>-1.39489002287955</v>
      </c>
      <c r="T7" s="200">
        <f t="shared" ref="T7" si="16">S7</f>
        <v>-1.39489002287955</v>
      </c>
      <c r="U7" s="200">
        <f t="shared" ref="U7" si="17">T7</f>
        <v>-1.39489002287955</v>
      </c>
      <c r="V7" s="200">
        <f t="shared" ref="V7" si="18">U7</f>
        <v>-1.39489002287955</v>
      </c>
      <c r="W7" s="200">
        <f t="shared" ref="W7" si="19">V7</f>
        <v>-1.39489002287955</v>
      </c>
      <c r="X7" s="200">
        <f t="shared" ref="X7" si="20">W7</f>
        <v>-1.39489002287955</v>
      </c>
      <c r="Y7" s="200">
        <f t="shared" ref="Y7" si="21">X7</f>
        <v>-1.39489002287955</v>
      </c>
      <c r="Z7" s="200">
        <f t="shared" ref="Z7" si="22">Y7</f>
        <v>-1.39489002287955</v>
      </c>
      <c r="AA7" s="200">
        <f t="shared" ref="AA7" si="23">Z7</f>
        <v>-1.39489002287955</v>
      </c>
      <c r="AB7" s="200">
        <f t="shared" ref="AB7" si="24">AA7</f>
        <v>-1.39489002287955</v>
      </c>
      <c r="AC7" s="200">
        <f t="shared" ref="AC7" si="25">AB7</f>
        <v>-1.39489002287955</v>
      </c>
      <c r="AD7" s="200">
        <f t="shared" ref="AD7:AE7" si="26">AC7</f>
        <v>-1.39489002287955</v>
      </c>
      <c r="AE7" s="200">
        <f t="shared" si="26"/>
        <v>-1.39489002287955</v>
      </c>
      <c r="AF7" s="200"/>
    </row>
    <row r="8" spans="1:32" s="6" customFormat="1">
      <c r="B8" s="28"/>
      <c r="C8" s="28" t="s">
        <v>337</v>
      </c>
      <c r="D8" s="28"/>
      <c r="E8" s="28"/>
      <c r="F8" s="28"/>
      <c r="G8" s="99"/>
      <c r="H8" s="200"/>
      <c r="I8" s="200">
        <f t="shared" ref="I8:S8" si="27">I5+I7</f>
        <v>-92.008657718830747</v>
      </c>
      <c r="J8" s="200">
        <f t="shared" si="27"/>
        <v>-300.35544373536732</v>
      </c>
      <c r="K8" s="200">
        <f t="shared" si="27"/>
        <v>-183.40194145963997</v>
      </c>
      <c r="L8" s="200">
        <f t="shared" si="27"/>
        <v>-126.08011372936508</v>
      </c>
      <c r="M8" s="200">
        <f t="shared" si="27"/>
        <v>-32.553358340099997</v>
      </c>
      <c r="N8" s="200">
        <f t="shared" si="27"/>
        <v>-106.51961322269551</v>
      </c>
      <c r="O8" s="200">
        <f t="shared" si="27"/>
        <v>-88.678620887194583</v>
      </c>
      <c r="P8" s="200">
        <f t="shared" si="27"/>
        <v>-41.259824181120777</v>
      </c>
      <c r="Q8" s="200">
        <f t="shared" si="27"/>
        <v>80.792285189472864</v>
      </c>
      <c r="R8" s="200">
        <f t="shared" si="27"/>
        <v>158.87010164120767</v>
      </c>
      <c r="S8" s="200">
        <f t="shared" si="27"/>
        <v>287.08209497247742</v>
      </c>
      <c r="T8" s="200">
        <f t="shared" ref="T8:AD8" si="28">T5+T7</f>
        <v>474.59213521945941</v>
      </c>
      <c r="U8" s="200">
        <f t="shared" si="28"/>
        <v>712.58564784062901</v>
      </c>
      <c r="V8" s="200">
        <f t="shared" si="28"/>
        <v>962.47883609285702</v>
      </c>
      <c r="W8" s="200">
        <f t="shared" si="28"/>
        <v>70.895639435800646</v>
      </c>
      <c r="X8" s="200">
        <f t="shared" si="28"/>
        <v>70.895639435800646</v>
      </c>
      <c r="Y8" s="200">
        <f t="shared" si="28"/>
        <v>70.895639435800646</v>
      </c>
      <c r="Z8" s="200">
        <f t="shared" si="28"/>
        <v>70.895639435800646</v>
      </c>
      <c r="AA8" s="200">
        <f t="shared" si="28"/>
        <v>70.895639435800646</v>
      </c>
      <c r="AB8" s="200">
        <f t="shared" si="28"/>
        <v>70.895639435800646</v>
      </c>
      <c r="AC8" s="200">
        <f t="shared" si="28"/>
        <v>70.895639435800646</v>
      </c>
      <c r="AD8" s="200">
        <f t="shared" si="28"/>
        <v>70.895639435800646</v>
      </c>
      <c r="AE8" s="200">
        <f t="shared" ref="AE8" si="29">AE5+AE7</f>
        <v>70.895639435800646</v>
      </c>
      <c r="AF8" s="200">
        <f>(AE8*(1+(CHOOSE($C$23,AF26,AF27,AF28))))/(P16-P17)</f>
        <v>708.95639435800638</v>
      </c>
    </row>
    <row r="9" spans="1:32" s="6" customFormat="1" ht="13.5" thickBot="1">
      <c r="B9" s="28"/>
      <c r="C9" s="983" t="s">
        <v>156</v>
      </c>
      <c r="D9" s="983"/>
      <c r="E9" s="983"/>
      <c r="F9" s="983"/>
      <c r="G9" s="977"/>
      <c r="H9" s="977"/>
      <c r="I9" s="977"/>
      <c r="J9" s="977"/>
      <c r="K9" s="977"/>
      <c r="L9" s="977">
        <f t="shared" ref="L9:AF9" si="30">L8/((1+$P$16)^(L4-$P$19))</f>
        <v>-176.00337261954164</v>
      </c>
      <c r="M9" s="977">
        <f t="shared" si="30"/>
        <v>-41.312122820348087</v>
      </c>
      <c r="N9" s="977">
        <f t="shared" si="30"/>
        <v>-122.89058413678788</v>
      </c>
      <c r="O9" s="977">
        <f t="shared" si="30"/>
        <v>-93.006922230016102</v>
      </c>
      <c r="P9" s="977">
        <f t="shared" si="30"/>
        <v>-39.33969879554931</v>
      </c>
      <c r="Q9" s="977">
        <f t="shared" si="30"/>
        <v>70.029474025293723</v>
      </c>
      <c r="R9" s="977">
        <f t="shared" si="30"/>
        <v>125.18735410292253</v>
      </c>
      <c r="S9" s="977">
        <f t="shared" si="30"/>
        <v>205.65141818069671</v>
      </c>
      <c r="T9" s="977">
        <f t="shared" si="30"/>
        <v>309.06758150532056</v>
      </c>
      <c r="U9" s="977">
        <f t="shared" si="30"/>
        <v>421.86869802073488</v>
      </c>
      <c r="V9" s="977">
        <f t="shared" si="30"/>
        <v>518.01070533567804</v>
      </c>
      <c r="W9" s="977">
        <f t="shared" si="30"/>
        <v>34.687610604269018</v>
      </c>
      <c r="X9" s="977">
        <f t="shared" si="30"/>
        <v>31.534191458426374</v>
      </c>
      <c r="Y9" s="977">
        <f t="shared" si="30"/>
        <v>28.667446780387614</v>
      </c>
      <c r="Z9" s="977">
        <f t="shared" si="30"/>
        <v>26.061315254897828</v>
      </c>
      <c r="AA9" s="977">
        <f t="shared" si="30"/>
        <v>23.692104777179839</v>
      </c>
      <c r="AB9" s="977">
        <f t="shared" si="30"/>
        <v>21.538277070163492</v>
      </c>
      <c r="AC9" s="977">
        <f t="shared" si="30"/>
        <v>19.580251881966809</v>
      </c>
      <c r="AD9" s="977">
        <f t="shared" si="30"/>
        <v>17.800228983606189</v>
      </c>
      <c r="AE9" s="977">
        <f t="shared" si="30"/>
        <v>16.182026348732897</v>
      </c>
      <c r="AF9" s="977">
        <f t="shared" si="30"/>
        <v>147.10933044302635</v>
      </c>
    </row>
    <row r="10" spans="1:32" ht="13.5" thickTop="1">
      <c r="B10" s="4"/>
      <c r="C10" s="4"/>
      <c r="D10" s="4"/>
      <c r="E10" s="4"/>
      <c r="F10" s="4"/>
      <c r="G10" s="4"/>
      <c r="H10" s="4"/>
      <c r="I10" s="4"/>
      <c r="J10" s="4"/>
      <c r="K10" s="4"/>
      <c r="L10" s="4"/>
      <c r="M10" s="4"/>
      <c r="N10" s="4"/>
      <c r="O10" s="4"/>
      <c r="P10" s="4"/>
    </row>
    <row r="11" spans="1:32">
      <c r="B11" s="4"/>
      <c r="C11" s="967" t="s">
        <v>367</v>
      </c>
      <c r="D11" s="967"/>
      <c r="E11" s="967"/>
      <c r="F11" s="967"/>
      <c r="G11" s="967"/>
      <c r="H11" s="967"/>
      <c r="I11" s="967"/>
      <c r="J11" s="967"/>
      <c r="K11" s="967"/>
      <c r="L11" s="967"/>
      <c r="O11" s="967"/>
      <c r="P11" s="968">
        <f>SUM(P9:AF9)+(0.5*O9)</f>
        <v>1930.8248548627457</v>
      </c>
      <c r="R11" s="142"/>
    </row>
    <row r="12" spans="1:32">
      <c r="B12" s="4"/>
      <c r="C12" s="808" t="s">
        <v>368</v>
      </c>
      <c r="D12" s="965"/>
      <c r="E12" s="965"/>
      <c r="F12" s="965"/>
      <c r="G12" s="965"/>
      <c r="H12" s="965"/>
      <c r="I12" s="965"/>
      <c r="J12" s="965"/>
      <c r="K12" s="965"/>
      <c r="L12" s="965"/>
      <c r="O12" s="808"/>
      <c r="P12" s="966">
        <f>BS!M6+BS!M7</f>
        <v>305.21600000000001</v>
      </c>
      <c r="R12" s="567"/>
    </row>
    <row r="13" spans="1:32">
      <c r="B13" s="4"/>
      <c r="C13" s="970" t="s">
        <v>157</v>
      </c>
      <c r="D13" s="971"/>
      <c r="E13" s="971"/>
      <c r="F13" s="971"/>
      <c r="G13" s="971"/>
      <c r="H13" s="971"/>
      <c r="I13" s="971"/>
      <c r="J13" s="971"/>
      <c r="K13" s="971"/>
      <c r="L13" s="971"/>
      <c r="O13" s="970"/>
      <c r="P13" s="972">
        <f>P11+P12</f>
        <v>2236.0408548627456</v>
      </c>
    </row>
    <row r="14" spans="1:32">
      <c r="B14" s="4"/>
      <c r="C14" s="970" t="s">
        <v>369</v>
      </c>
      <c r="D14" s="971"/>
      <c r="E14" s="971"/>
      <c r="F14" s="971"/>
      <c r="G14" s="971"/>
      <c r="H14" s="971"/>
      <c r="I14" s="971"/>
      <c r="J14" s="971"/>
      <c r="K14" s="971"/>
      <c r="L14" s="971"/>
      <c r="O14" s="970"/>
      <c r="P14" s="972">
        <f>P13/P20</f>
        <v>15.286659658331253</v>
      </c>
      <c r="R14" s="211"/>
    </row>
    <row r="15" spans="1:32">
      <c r="B15" s="4"/>
      <c r="C15" s="808"/>
      <c r="D15" s="808"/>
      <c r="E15" s="808"/>
      <c r="F15" s="808"/>
      <c r="G15" s="969"/>
      <c r="H15" s="969"/>
      <c r="I15" s="969"/>
      <c r="J15" s="969"/>
      <c r="K15" s="969"/>
      <c r="L15" s="969"/>
      <c r="O15" s="969"/>
      <c r="P15" s="969"/>
      <c r="Q15" s="103"/>
    </row>
    <row r="16" spans="1:32">
      <c r="B16" s="4"/>
      <c r="C16" s="729" t="s">
        <v>364</v>
      </c>
      <c r="D16" s="729"/>
      <c r="E16" s="729"/>
      <c r="F16" s="729"/>
      <c r="G16" s="729"/>
      <c r="H16" s="729"/>
      <c r="I16" s="729"/>
      <c r="J16" s="729"/>
      <c r="K16" s="729"/>
      <c r="L16" s="729"/>
      <c r="O16" s="729"/>
      <c r="P16" s="973">
        <v>0.1</v>
      </c>
    </row>
    <row r="17" spans="2:32">
      <c r="B17" s="4"/>
      <c r="C17" s="729" t="s">
        <v>365</v>
      </c>
      <c r="D17" s="729"/>
      <c r="E17" s="729"/>
      <c r="F17" s="729"/>
      <c r="G17" s="729"/>
      <c r="H17" s="729"/>
      <c r="I17" s="729"/>
      <c r="J17" s="729"/>
      <c r="K17" s="729"/>
      <c r="L17" s="729"/>
      <c r="O17" s="729"/>
      <c r="P17" s="973">
        <v>0</v>
      </c>
    </row>
    <row r="18" spans="2:32" ht="12.75" customHeight="1">
      <c r="B18" s="4"/>
      <c r="C18" s="729" t="s">
        <v>366</v>
      </c>
      <c r="D18" s="729"/>
      <c r="E18" s="729"/>
      <c r="F18" s="729"/>
      <c r="G18" s="729"/>
      <c r="H18" s="729"/>
      <c r="I18" s="729"/>
      <c r="J18" s="729"/>
      <c r="K18" s="729"/>
      <c r="L18" s="729"/>
      <c r="O18" s="729"/>
      <c r="P18" s="730">
        <v>2034</v>
      </c>
    </row>
    <row r="19" spans="2:32">
      <c r="B19" s="4"/>
      <c r="C19" s="729" t="s">
        <v>363</v>
      </c>
      <c r="D19" s="729"/>
      <c r="E19" s="729"/>
      <c r="F19" s="729"/>
      <c r="G19" s="974"/>
      <c r="H19" s="974"/>
      <c r="I19" s="974"/>
      <c r="J19" s="974"/>
      <c r="K19" s="974"/>
      <c r="L19" s="974"/>
      <c r="O19" s="729"/>
      <c r="P19" s="975">
        <v>2018.5</v>
      </c>
    </row>
    <row r="20" spans="2:32">
      <c r="B20" s="4"/>
      <c r="C20" s="729" t="s">
        <v>370</v>
      </c>
      <c r="D20" s="729"/>
      <c r="E20" s="729"/>
      <c r="F20" s="729"/>
      <c r="G20" s="729"/>
      <c r="H20" s="729"/>
      <c r="I20" s="729"/>
      <c r="J20" s="729"/>
      <c r="K20" s="729"/>
      <c r="L20" s="729"/>
      <c r="O20" s="729"/>
      <c r="P20" s="976">
        <f>IS!AR78</f>
        <v>146.274</v>
      </c>
      <c r="R20" s="211"/>
    </row>
    <row r="21" spans="2:32" ht="13.5" thickBot="1">
      <c r="B21" s="20"/>
      <c r="C21" s="20"/>
      <c r="D21" s="20"/>
      <c r="E21" s="20"/>
      <c r="F21" s="4"/>
    </row>
    <row r="22" spans="2:32" ht="13.5" thickBot="1">
      <c r="B22" s="20"/>
      <c r="C22" s="17" t="s">
        <v>227</v>
      </c>
      <c r="D22" s="20"/>
      <c r="E22" s="104"/>
      <c r="F22" s="4"/>
      <c r="P22" s="1082">
        <f>P14</f>
        <v>15.286659658331253</v>
      </c>
    </row>
    <row r="23" spans="2:32" ht="13.5" thickBot="1">
      <c r="B23" s="20"/>
      <c r="C23" s="1081">
        <v>2</v>
      </c>
    </row>
    <row r="24" spans="2:32">
      <c r="B24" s="107"/>
      <c r="C24" s="20"/>
      <c r="D24" s="20"/>
      <c r="E24" s="193"/>
      <c r="F24" s="106"/>
    </row>
    <row r="25" spans="2:32" ht="15" customHeight="1">
      <c r="B25" s="107"/>
      <c r="C25" s="20"/>
      <c r="D25" s="20"/>
      <c r="E25" s="194"/>
      <c r="F25" s="106"/>
    </row>
    <row r="26" spans="2:32" ht="15" hidden="1" customHeight="1" outlineLevel="1">
      <c r="B26" s="107"/>
      <c r="C26" s="12" t="s">
        <v>517</v>
      </c>
      <c r="D26" s="20"/>
      <c r="E26" s="104"/>
      <c r="F26" s="106"/>
      <c r="Q26" s="18" t="s">
        <v>428</v>
      </c>
      <c r="R26" s="962">
        <v>0.7</v>
      </c>
      <c r="S26" s="962">
        <v>0.5</v>
      </c>
      <c r="T26" s="962">
        <v>0.3</v>
      </c>
      <c r="U26" s="962">
        <v>0.23</v>
      </c>
      <c r="V26" s="962">
        <v>0.15</v>
      </c>
      <c r="W26" s="962">
        <v>-0.92500000000000004</v>
      </c>
      <c r="X26" s="962">
        <v>0</v>
      </c>
      <c r="Y26" s="962">
        <f t="shared" ref="Y26:AF27" si="31">X26</f>
        <v>0</v>
      </c>
      <c r="Z26" s="962">
        <f t="shared" si="31"/>
        <v>0</v>
      </c>
      <c r="AA26" s="962">
        <f t="shared" si="31"/>
        <v>0</v>
      </c>
      <c r="AB26" s="962">
        <f t="shared" si="31"/>
        <v>0</v>
      </c>
      <c r="AC26" s="962">
        <f t="shared" si="31"/>
        <v>0</v>
      </c>
      <c r="AD26" s="962">
        <f t="shared" si="31"/>
        <v>0</v>
      </c>
      <c r="AE26" s="962">
        <f t="shared" si="31"/>
        <v>0</v>
      </c>
      <c r="AF26" s="962">
        <f t="shared" si="31"/>
        <v>0</v>
      </c>
    </row>
    <row r="27" spans="2:32" ht="15" hidden="1" customHeight="1" outlineLevel="1">
      <c r="B27" s="107"/>
      <c r="C27" s="8"/>
      <c r="D27" s="8"/>
      <c r="E27" s="8"/>
      <c r="F27" s="106"/>
      <c r="Q27" s="18" t="s">
        <v>429</v>
      </c>
      <c r="R27" s="962">
        <v>0.95</v>
      </c>
      <c r="S27" s="962">
        <v>0.8</v>
      </c>
      <c r="T27" s="962">
        <v>0.65</v>
      </c>
      <c r="U27" s="962">
        <v>0.5</v>
      </c>
      <c r="V27" s="962">
        <v>0.35</v>
      </c>
      <c r="W27" s="962">
        <v>-0.92500000000000004</v>
      </c>
      <c r="X27" s="962">
        <v>0</v>
      </c>
      <c r="Y27" s="962">
        <f t="shared" si="31"/>
        <v>0</v>
      </c>
      <c r="Z27" s="962">
        <f t="shared" si="31"/>
        <v>0</v>
      </c>
      <c r="AA27" s="962">
        <f t="shared" si="31"/>
        <v>0</v>
      </c>
      <c r="AB27" s="962">
        <f t="shared" si="31"/>
        <v>0</v>
      </c>
      <c r="AC27" s="962">
        <f t="shared" si="31"/>
        <v>0</v>
      </c>
      <c r="AD27" s="962">
        <f t="shared" si="31"/>
        <v>0</v>
      </c>
      <c r="AE27" s="962">
        <f t="shared" si="31"/>
        <v>0</v>
      </c>
      <c r="AF27" s="962">
        <f t="shared" si="31"/>
        <v>0</v>
      </c>
    </row>
    <row r="28" spans="2:32" ht="15" hidden="1" customHeight="1" outlineLevel="1">
      <c r="B28" s="8"/>
      <c r="C28" s="8"/>
      <c r="D28" s="8"/>
      <c r="E28" s="8"/>
      <c r="Q28" s="18" t="s">
        <v>430</v>
      </c>
      <c r="R28" s="962">
        <v>-3.5</v>
      </c>
      <c r="S28" s="962">
        <v>2</v>
      </c>
      <c r="T28" s="962">
        <v>1.5</v>
      </c>
      <c r="U28" s="962">
        <v>0.75</v>
      </c>
      <c r="V28" s="962">
        <v>0.5</v>
      </c>
      <c r="W28" s="962">
        <v>-0.8</v>
      </c>
      <c r="X28" s="962">
        <v>0</v>
      </c>
      <c r="Y28" s="962">
        <v>0</v>
      </c>
      <c r="Z28" s="962">
        <v>0</v>
      </c>
      <c r="AA28" s="962">
        <v>0</v>
      </c>
      <c r="AB28" s="962">
        <v>0</v>
      </c>
      <c r="AC28" s="962">
        <v>0</v>
      </c>
      <c r="AD28" s="962">
        <v>0</v>
      </c>
      <c r="AE28" s="962">
        <v>0</v>
      </c>
      <c r="AF28" s="962">
        <v>0</v>
      </c>
    </row>
    <row r="29" spans="2:32" ht="15" customHeight="1" collapsed="1"/>
    <row r="30" spans="2:32" ht="15" customHeight="1"/>
    <row r="33" ht="12.75" customHeight="1"/>
    <row r="34" ht="12.75" customHeight="1"/>
    <row r="40" ht="18" customHeight="1"/>
    <row r="43" ht="12.75" customHeight="1"/>
    <row r="44" ht="12.75" customHeight="1"/>
  </sheetData>
  <mergeCells count="1">
    <mergeCell ref="C3:C4"/>
  </mergeCells>
  <phoneticPr fontId="3" type="noConversion"/>
  <pageMargins left="0.75" right="0.75" top="1" bottom="1" header="0.5" footer="0.5"/>
  <pageSetup scale="57"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A247"/>
  <sheetViews>
    <sheetView showGridLines="0" zoomScale="85" zoomScaleNormal="85" zoomScaleSheetLayoutView="100" workbookViewId="0">
      <selection activeCell="B4" sqref="B4:BM79"/>
    </sheetView>
  </sheetViews>
  <sheetFormatPr defaultRowHeight="12.75" outlineLevelRow="2" outlineLevelCol="1"/>
  <cols>
    <col min="1" max="1" width="4.140625" style="8" customWidth="1"/>
    <col min="2" max="2" width="46.85546875" style="2" bestFit="1" customWidth="1"/>
    <col min="3" max="3" width="1.5703125" style="2" bestFit="1" customWidth="1"/>
    <col min="4" max="4" width="11.140625" style="2" customWidth="1"/>
    <col min="5" max="5" width="11.140625" style="2" hidden="1" customWidth="1"/>
    <col min="6" max="9" width="9.5703125" style="2" hidden="1" customWidth="1" outlineLevel="1"/>
    <col min="10" max="10" width="10.7109375" style="2" hidden="1" customWidth="1" collapsed="1"/>
    <col min="11" max="14" width="9.5703125" style="2" hidden="1" customWidth="1" outlineLevel="1"/>
    <col min="15" max="15" width="10.5703125" style="2" hidden="1" customWidth="1" collapsed="1"/>
    <col min="16" max="19" width="9.5703125" style="2" hidden="1" customWidth="1" outlineLevel="1"/>
    <col min="20" max="20" width="10.28515625" style="2" hidden="1" customWidth="1" collapsed="1"/>
    <col min="21" max="24" width="9.5703125" style="2" hidden="1" customWidth="1" outlineLevel="1"/>
    <col min="25" max="25" width="8.7109375" style="2" hidden="1" customWidth="1" collapsed="1"/>
    <col min="26" max="29" width="9.5703125" style="2" hidden="1" customWidth="1" outlineLevel="1"/>
    <col min="30" max="30" width="9.5703125" style="2" hidden="1" customWidth="1" collapsed="1"/>
    <col min="31" max="34" width="9.5703125" style="2" hidden="1" customWidth="1" outlineLevel="1"/>
    <col min="35" max="35" width="9.28515625" style="2" hidden="1" customWidth="1" collapsed="1"/>
    <col min="36" max="37" width="9.5703125" style="2" hidden="1" customWidth="1" outlineLevel="1"/>
    <col min="38" max="38" width="9.42578125" style="2" hidden="1" customWidth="1" outlineLevel="1"/>
    <col min="39" max="39" width="9.85546875" style="2" hidden="1" customWidth="1" outlineLevel="1"/>
    <col min="40" max="40" width="10.140625" style="2" hidden="1" customWidth="1" collapsed="1"/>
    <col min="41" max="44" width="9.5703125" style="2" hidden="1" customWidth="1" outlineLevel="1"/>
    <col min="45" max="45" width="10.140625" style="2" bestFit="1" customWidth="1" collapsed="1"/>
    <col min="46" max="49" width="9.5703125" style="2" hidden="1" customWidth="1" outlineLevel="1"/>
    <col min="50" max="50" width="10.140625" style="2" bestFit="1" customWidth="1" collapsed="1"/>
    <col min="51" max="54" width="9.5703125" style="2" customWidth="1" outlineLevel="1"/>
    <col min="55" max="55" width="9.28515625" style="2" bestFit="1" customWidth="1"/>
    <col min="56" max="59" width="9.5703125" style="2" hidden="1" customWidth="1" outlineLevel="1"/>
    <col min="60" max="60" width="9.5703125" style="2" bestFit="1" customWidth="1" collapsed="1"/>
    <col min="61" max="64" width="9.5703125" style="2" hidden="1" customWidth="1" outlineLevel="1"/>
    <col min="65" max="65" width="9.5703125" style="2" bestFit="1" customWidth="1" collapsed="1"/>
    <col min="66" max="67" width="9.140625" style="2"/>
    <col min="68" max="70" width="2.7109375" style="2" customWidth="1"/>
    <col min="71" max="71" width="51.28515625" hidden="1" customWidth="1" outlineLevel="1"/>
    <col min="72" max="72" width="9.140625" hidden="1" customWidth="1" outlineLevel="1"/>
    <col min="73" max="73" width="25.5703125" hidden="1" customWidth="1" outlineLevel="1"/>
    <col min="74" max="76" width="9.140625" hidden="1" customWidth="1" outlineLevel="1"/>
    <col min="77" max="77" width="9.140625" style="2" collapsed="1"/>
    <col min="78" max="79" width="9.140625" style="2"/>
    <col min="80" max="16384" width="9.140625" style="8"/>
  </cols>
  <sheetData>
    <row r="1" spans="1:70" ht="16.5">
      <c r="B1" s="409"/>
      <c r="C1" s="409"/>
      <c r="F1" s="10"/>
      <c r="G1" s="10"/>
      <c r="H1" s="10"/>
      <c r="I1" s="10"/>
      <c r="K1" s="10"/>
      <c r="L1" s="10"/>
      <c r="M1" s="10"/>
      <c r="N1" s="10"/>
      <c r="P1" s="10"/>
      <c r="Q1" s="10"/>
      <c r="R1" s="10"/>
      <c r="S1" s="10"/>
      <c r="T1" s="155" t="s">
        <v>236</v>
      </c>
      <c r="U1" s="10"/>
      <c r="V1" s="10"/>
      <c r="W1" s="10"/>
      <c r="X1" s="10"/>
      <c r="Y1" s="410">
        <f>DCF!$P$14</f>
        <v>15.286659658331253</v>
      </c>
      <c r="Z1" s="10"/>
      <c r="AA1" s="10"/>
      <c r="AB1" s="10"/>
      <c r="AC1" s="10"/>
      <c r="AE1" s="10"/>
      <c r="AF1" s="10"/>
      <c r="AG1" s="10"/>
      <c r="AH1" s="10"/>
      <c r="AJ1" s="10"/>
      <c r="AK1" s="10"/>
      <c r="AL1" s="10"/>
      <c r="AM1" s="10"/>
      <c r="AO1" s="10"/>
      <c r="AP1" s="10"/>
      <c r="AQ1" s="10"/>
      <c r="AR1" s="10"/>
      <c r="AT1" s="10"/>
      <c r="AU1" s="10"/>
      <c r="AV1" s="10"/>
      <c r="AW1" s="10"/>
      <c r="AY1" s="10"/>
      <c r="AZ1" s="10"/>
      <c r="BA1" s="10"/>
      <c r="BB1" s="10"/>
      <c r="BD1" s="10"/>
      <c r="BE1" s="10"/>
      <c r="BF1" s="10"/>
      <c r="BG1" s="10"/>
      <c r="BH1" s="10"/>
      <c r="BI1" s="10"/>
      <c r="BJ1" s="10"/>
      <c r="BK1" s="10"/>
      <c r="BL1" s="10"/>
      <c r="BM1" s="10"/>
    </row>
    <row r="2" spans="1:70" ht="16.5">
      <c r="B2" s="409"/>
      <c r="C2" s="409"/>
      <c r="F2" s="10"/>
      <c r="G2" s="10"/>
      <c r="H2" s="10"/>
      <c r="I2" s="10"/>
      <c r="K2" s="10"/>
      <c r="L2" s="10"/>
      <c r="M2" s="10"/>
      <c r="N2" s="10"/>
      <c r="P2" s="10"/>
      <c r="Q2" s="10"/>
      <c r="R2" s="10"/>
      <c r="S2" s="10"/>
      <c r="T2" s="411" t="s">
        <v>251</v>
      </c>
      <c r="U2" s="412"/>
      <c r="V2" s="412"/>
      <c r="W2" s="412"/>
      <c r="X2" s="412"/>
      <c r="Y2" s="413">
        <f>Linaclotide!C2</f>
        <v>2</v>
      </c>
      <c r="Z2" s="10"/>
      <c r="AA2" s="10"/>
      <c r="AB2" s="10"/>
      <c r="AC2" s="10"/>
      <c r="AE2" s="10"/>
      <c r="AF2" s="10"/>
      <c r="AG2" s="10"/>
      <c r="AH2" s="10"/>
      <c r="AJ2" s="10"/>
      <c r="AK2" s="10"/>
      <c r="AL2" s="10"/>
      <c r="AM2" s="10"/>
      <c r="AN2" s="408"/>
      <c r="AO2" s="10"/>
      <c r="AP2" s="10"/>
      <c r="AQ2" s="10"/>
      <c r="AR2" s="10"/>
      <c r="AT2" s="10"/>
      <c r="AU2" s="10"/>
      <c r="AV2" s="10"/>
      <c r="AW2" s="10"/>
      <c r="AY2" s="10"/>
      <c r="AZ2" s="10"/>
      <c r="BA2" s="10"/>
      <c r="BB2" s="10"/>
      <c r="BD2" s="10"/>
      <c r="BE2" s="10"/>
      <c r="BF2" s="10"/>
      <c r="BG2" s="10"/>
      <c r="BH2" s="10"/>
      <c r="BI2" s="10"/>
      <c r="BJ2" s="10"/>
      <c r="BK2" s="10"/>
      <c r="BL2" s="10"/>
      <c r="BM2" s="10"/>
    </row>
    <row r="3" spans="1:70" ht="13.5" thickBot="1">
      <c r="B3" s="25"/>
      <c r="C3" s="25"/>
      <c r="F3" s="10"/>
      <c r="G3" s="10"/>
      <c r="H3" s="10"/>
      <c r="I3" s="10"/>
      <c r="K3" s="10"/>
      <c r="L3" s="10"/>
      <c r="M3" s="10"/>
      <c r="N3" s="10"/>
      <c r="P3" s="10"/>
      <c r="Q3" s="10"/>
      <c r="R3" s="10"/>
      <c r="S3" s="10"/>
      <c r="U3" s="10"/>
      <c r="V3" s="10"/>
      <c r="W3" s="10"/>
      <c r="X3" s="10"/>
      <c r="Y3" s="73"/>
      <c r="Z3" s="10"/>
      <c r="AA3" s="10"/>
      <c r="AB3" s="10"/>
      <c r="AC3" s="10"/>
      <c r="AE3" s="10"/>
      <c r="AF3" s="10"/>
      <c r="AG3" s="10"/>
      <c r="AH3" s="10"/>
      <c r="AJ3" s="10"/>
      <c r="AK3" s="10"/>
      <c r="AL3" s="10"/>
      <c r="AM3" s="528"/>
      <c r="AO3" s="10"/>
      <c r="AP3" s="10"/>
      <c r="AQ3" s="10"/>
      <c r="AR3" s="10"/>
      <c r="AY3" s="10"/>
      <c r="AZ3" s="10"/>
      <c r="BA3" s="10"/>
      <c r="BB3" s="10"/>
      <c r="BD3" s="10"/>
      <c r="BE3" s="10"/>
      <c r="BF3" s="10"/>
      <c r="BG3" s="10"/>
      <c r="BI3" s="10"/>
      <c r="BJ3" s="10"/>
      <c r="BK3" s="10"/>
      <c r="BL3" s="10"/>
    </row>
    <row r="4" spans="1:70">
      <c r="B4" s="997" t="s">
        <v>514</v>
      </c>
      <c r="C4" s="589"/>
      <c r="D4" s="590"/>
      <c r="E4" s="591" t="s">
        <v>58</v>
      </c>
      <c r="F4" s="591" t="s">
        <v>3</v>
      </c>
      <c r="G4" s="591" t="s">
        <v>4</v>
      </c>
      <c r="H4" s="591" t="s">
        <v>5</v>
      </c>
      <c r="I4" s="591" t="s">
        <v>6</v>
      </c>
      <c r="J4" s="591" t="s">
        <v>7</v>
      </c>
      <c r="K4" s="591" t="s">
        <v>8</v>
      </c>
      <c r="L4" s="591" t="s">
        <v>9</v>
      </c>
      <c r="M4" s="591" t="s">
        <v>235</v>
      </c>
      <c r="N4" s="591" t="s">
        <v>313</v>
      </c>
      <c r="O4" s="591" t="s">
        <v>314</v>
      </c>
      <c r="P4" s="592" t="s">
        <v>333</v>
      </c>
      <c r="Q4" s="592" t="s">
        <v>334</v>
      </c>
      <c r="R4" s="592" t="s">
        <v>343</v>
      </c>
      <c r="S4" s="592" t="s">
        <v>444</v>
      </c>
      <c r="T4" s="591" t="s">
        <v>351</v>
      </c>
      <c r="U4" s="592" t="s">
        <v>445</v>
      </c>
      <c r="V4" s="592" t="s">
        <v>446</v>
      </c>
      <c r="W4" s="592" t="s">
        <v>447</v>
      </c>
      <c r="X4" s="592" t="s">
        <v>378</v>
      </c>
      <c r="Y4" s="591" t="s">
        <v>393</v>
      </c>
      <c r="Z4" s="592" t="s">
        <v>394</v>
      </c>
      <c r="AA4" s="592" t="s">
        <v>395</v>
      </c>
      <c r="AB4" s="592" t="s">
        <v>396</v>
      </c>
      <c r="AC4" s="592" t="s">
        <v>401</v>
      </c>
      <c r="AD4" s="591" t="s">
        <v>400</v>
      </c>
      <c r="AE4" s="592" t="s">
        <v>402</v>
      </c>
      <c r="AF4" s="592" t="s">
        <v>441</v>
      </c>
      <c r="AG4" s="592" t="s">
        <v>443</v>
      </c>
      <c r="AH4" s="592" t="s">
        <v>461</v>
      </c>
      <c r="AI4" s="591" t="s">
        <v>460</v>
      </c>
      <c r="AJ4" s="592" t="s">
        <v>465</v>
      </c>
      <c r="AK4" s="592" t="s">
        <v>474</v>
      </c>
      <c r="AL4" s="592" t="s">
        <v>475</v>
      </c>
      <c r="AM4" s="592" t="s">
        <v>476</v>
      </c>
      <c r="AN4" s="591">
        <v>2015</v>
      </c>
      <c r="AO4" s="592" t="s">
        <v>522</v>
      </c>
      <c r="AP4" s="592" t="s">
        <v>521</v>
      </c>
      <c r="AQ4" s="592" t="s">
        <v>520</v>
      </c>
      <c r="AR4" s="592" t="s">
        <v>525</v>
      </c>
      <c r="AS4" s="591">
        <v>2016</v>
      </c>
      <c r="AT4" s="592" t="s">
        <v>534</v>
      </c>
      <c r="AU4" s="592" t="s">
        <v>536</v>
      </c>
      <c r="AV4" s="592" t="s">
        <v>537</v>
      </c>
      <c r="AW4" s="592" t="s">
        <v>538</v>
      </c>
      <c r="AX4" s="591">
        <v>2017</v>
      </c>
      <c r="AY4" s="592" t="s">
        <v>448</v>
      </c>
      <c r="AZ4" s="592" t="s">
        <v>449</v>
      </c>
      <c r="BA4" s="592" t="s">
        <v>450</v>
      </c>
      <c r="BB4" s="592" t="s">
        <v>451</v>
      </c>
      <c r="BC4" s="591" t="s">
        <v>36</v>
      </c>
      <c r="BD4" s="592" t="s">
        <v>452</v>
      </c>
      <c r="BE4" s="592" t="s">
        <v>453</v>
      </c>
      <c r="BF4" s="592" t="s">
        <v>454</v>
      </c>
      <c r="BG4" s="592" t="s">
        <v>455</v>
      </c>
      <c r="BH4" s="591" t="s">
        <v>359</v>
      </c>
      <c r="BI4" s="592" t="s">
        <v>456</v>
      </c>
      <c r="BJ4" s="592" t="s">
        <v>457</v>
      </c>
      <c r="BK4" s="592" t="s">
        <v>458</v>
      </c>
      <c r="BL4" s="592" t="s">
        <v>459</v>
      </c>
      <c r="BM4" s="591" t="s">
        <v>360</v>
      </c>
    </row>
    <row r="5" spans="1:70">
      <c r="B5" s="620" t="s">
        <v>515</v>
      </c>
      <c r="C5" s="12"/>
      <c r="D5" s="44"/>
      <c r="E5" s="136"/>
      <c r="F5" s="136"/>
      <c r="G5" s="136"/>
      <c r="H5" s="136"/>
      <c r="I5" s="136"/>
      <c r="J5" s="136"/>
      <c r="K5" s="136"/>
      <c r="L5" s="136"/>
      <c r="M5" s="136"/>
      <c r="N5" s="136"/>
      <c r="O5" s="136"/>
      <c r="P5" s="621"/>
      <c r="Q5" s="621"/>
      <c r="R5" s="621"/>
      <c r="S5" s="621"/>
      <c r="T5" s="136"/>
      <c r="U5" s="621"/>
      <c r="V5" s="621"/>
      <c r="W5" s="621"/>
      <c r="X5" s="621"/>
      <c r="Y5" s="136"/>
      <c r="Z5" s="621"/>
      <c r="AA5" s="621"/>
      <c r="AB5" s="621"/>
      <c r="AC5" s="621"/>
      <c r="AD5" s="136"/>
      <c r="AE5" s="621"/>
      <c r="AF5" s="621"/>
      <c r="AG5" s="621"/>
      <c r="AH5" s="621"/>
      <c r="AI5" s="136"/>
      <c r="AJ5" s="621"/>
      <c r="AK5" s="621"/>
      <c r="AL5" s="621"/>
      <c r="AM5" s="621"/>
      <c r="AN5" s="136"/>
      <c r="AO5" s="621"/>
      <c r="AP5" s="621"/>
      <c r="AQ5" s="621"/>
      <c r="AR5" s="621"/>
      <c r="AS5" s="136"/>
      <c r="AT5" s="621"/>
      <c r="AU5" s="621"/>
      <c r="AV5" s="621"/>
      <c r="AW5" s="621"/>
      <c r="AX5" s="136"/>
      <c r="AY5" s="621"/>
      <c r="AZ5" s="621"/>
      <c r="BA5" s="621"/>
      <c r="BB5" s="621"/>
      <c r="BC5" s="136"/>
      <c r="BD5" s="621"/>
      <c r="BE5" s="621"/>
      <c r="BF5" s="621"/>
      <c r="BG5" s="621"/>
      <c r="BH5" s="136"/>
      <c r="BI5" s="621"/>
      <c r="BJ5" s="621"/>
      <c r="BK5" s="621"/>
      <c r="BL5" s="621"/>
      <c r="BM5" s="136"/>
    </row>
    <row r="6" spans="1:70" hidden="1" outlineLevel="1">
      <c r="B6" s="626" t="s">
        <v>167</v>
      </c>
      <c r="C6" s="625"/>
      <c r="D6" s="625"/>
      <c r="E6" s="625"/>
      <c r="F6" s="622"/>
      <c r="G6" s="622"/>
      <c r="H6" s="622"/>
      <c r="I6" s="622"/>
      <c r="J6" s="625"/>
      <c r="K6" s="622"/>
      <c r="L6" s="622"/>
      <c r="M6" s="622"/>
      <c r="N6" s="622"/>
      <c r="O6" s="619"/>
      <c r="P6" s="618"/>
      <c r="Q6" s="618"/>
      <c r="R6" s="618"/>
      <c r="S6" s="618"/>
      <c r="T6" s="619"/>
      <c r="U6" s="617">
        <v>0</v>
      </c>
      <c r="V6" s="617">
        <v>0</v>
      </c>
      <c r="W6" s="617">
        <v>0</v>
      </c>
      <c r="X6" s="617">
        <v>19.2</v>
      </c>
      <c r="Y6" s="622">
        <f>SUM(U6:X6)</f>
        <v>19.2</v>
      </c>
      <c r="Z6" s="617">
        <v>4.5019999999999998</v>
      </c>
      <c r="AA6" s="616">
        <v>28.763000000000002</v>
      </c>
      <c r="AB6" s="616">
        <v>34.444000000000003</v>
      </c>
      <c r="AC6" s="616">
        <v>51.043999999999997</v>
      </c>
      <c r="AD6" s="622">
        <f>SUM(Z6:AC6)</f>
        <v>118.753</v>
      </c>
      <c r="AE6" s="616">
        <v>60.811999999999998</v>
      </c>
      <c r="AF6" s="616">
        <v>62.746000000000002</v>
      </c>
      <c r="AG6" s="616">
        <v>79.67</v>
      </c>
      <c r="AH6" s="616">
        <v>93.751999999999995</v>
      </c>
      <c r="AI6" s="624">
        <f>SUM(AE6:AH6)</f>
        <v>296.98</v>
      </c>
      <c r="AJ6" s="739">
        <f>AJ12</f>
        <v>95.489000000000004</v>
      </c>
      <c r="AK6" s="739">
        <f>AK12</f>
        <v>112.062</v>
      </c>
      <c r="AL6" s="739">
        <f>AL12</f>
        <v>117.492</v>
      </c>
      <c r="AM6" s="739">
        <f>AM12</f>
        <v>129.726</v>
      </c>
      <c r="AN6" s="1026">
        <f>SUM(AJ6:AM6)</f>
        <v>454.76900000000001</v>
      </c>
      <c r="AO6" s="739">
        <f>AO12</f>
        <v>137.137</v>
      </c>
      <c r="AP6" s="739">
        <v>150.464</v>
      </c>
      <c r="AQ6" s="739">
        <f>AQ12</f>
        <v>164.37899999999999</v>
      </c>
      <c r="AR6" s="739">
        <f>AR12</f>
        <v>173.57499999999999</v>
      </c>
      <c r="AS6" s="741">
        <f>AS12</f>
        <v>625.55499999999995</v>
      </c>
      <c r="AT6" s="739">
        <f>AT12</f>
        <v>147.61500000000001</v>
      </c>
      <c r="AU6" s="739">
        <f>AU12</f>
        <v>167.833</v>
      </c>
      <c r="AV6" s="739">
        <v>180</v>
      </c>
      <c r="AW6" s="1079">
        <v>194.79</v>
      </c>
      <c r="AX6" s="741">
        <f>Linaclotide!M77</f>
        <v>701.00502762530516</v>
      </c>
      <c r="AY6" s="739">
        <f>0.235*BC6</f>
        <v>191.86350943569329</v>
      </c>
      <c r="AZ6" s="739">
        <f>BC6*0.24</f>
        <v>195.94571176411227</v>
      </c>
      <c r="BA6" s="739">
        <f>BC6*0.25</f>
        <v>204.11011642095031</v>
      </c>
      <c r="BB6" s="739">
        <f>BC6-BA6-AZ6-AY6</f>
        <v>224.5211280630453</v>
      </c>
      <c r="BC6" s="741">
        <f>Linaclotide!N77</f>
        <v>816.44046568380122</v>
      </c>
      <c r="BD6" s="739"/>
      <c r="BE6" s="739"/>
      <c r="BF6" s="739"/>
      <c r="BG6" s="739"/>
      <c r="BH6" s="741">
        <f>Linaclotide!O77</f>
        <v>945.33440406173122</v>
      </c>
      <c r="BI6" s="739"/>
      <c r="BJ6" s="739"/>
      <c r="BK6" s="739"/>
      <c r="BL6" s="739"/>
      <c r="BM6" s="741">
        <f>Linaclotide!P77</f>
        <v>1095.6620910928955</v>
      </c>
    </row>
    <row r="7" spans="1:70" hidden="1" outlineLevel="1">
      <c r="A7" s="15"/>
      <c r="B7" s="626" t="s">
        <v>232</v>
      </c>
      <c r="C7" s="524"/>
      <c r="D7" s="524"/>
      <c r="E7" s="524"/>
      <c r="F7" s="622"/>
      <c r="G7" s="622"/>
      <c r="H7" s="622"/>
      <c r="I7" s="622"/>
      <c r="J7" s="524"/>
      <c r="K7" s="622"/>
      <c r="L7" s="622"/>
      <c r="M7" s="622"/>
      <c r="N7" s="622"/>
      <c r="O7" s="619"/>
      <c r="P7" s="618"/>
      <c r="Q7" s="618"/>
      <c r="R7" s="618"/>
      <c r="S7" s="618"/>
      <c r="T7" s="619"/>
      <c r="U7" s="617">
        <v>0</v>
      </c>
      <c r="V7" s="617">
        <v>0</v>
      </c>
      <c r="W7" s="617">
        <v>0</v>
      </c>
      <c r="X7" s="617">
        <v>0</v>
      </c>
      <c r="Y7" s="619">
        <f>SUM(U7:X7)</f>
        <v>0</v>
      </c>
      <c r="Z7" s="617">
        <v>0</v>
      </c>
      <c r="AA7" s="617">
        <v>0</v>
      </c>
      <c r="AB7" s="617">
        <v>0</v>
      </c>
      <c r="AC7" s="616">
        <f>AC23/Linaclotide!$I$155</f>
        <v>0.45454545454545459</v>
      </c>
      <c r="AD7" s="619">
        <f>SUM(Z7:AC7)</f>
        <v>0.45454545454545459</v>
      </c>
      <c r="AE7" s="623">
        <f>AE23/Linaclotide!$J$155</f>
        <v>0.45454545454545459</v>
      </c>
      <c r="AF7" s="616">
        <v>2</v>
      </c>
      <c r="AG7" s="617">
        <v>3.5</v>
      </c>
      <c r="AH7" s="617">
        <v>4</v>
      </c>
      <c r="AI7" s="622">
        <f>SUM(AE7:AH7)</f>
        <v>9.954545454545455</v>
      </c>
      <c r="AJ7" s="1025">
        <f>AH7*3</f>
        <v>12</v>
      </c>
      <c r="AK7" s="1025">
        <f>AJ7*1.25</f>
        <v>15</v>
      </c>
      <c r="AL7" s="1025">
        <f>AK7*1.25</f>
        <v>18.75</v>
      </c>
      <c r="AM7" s="1025">
        <f>AN7-SUM(AJ7:AL7)</f>
        <v>19.507126924812098</v>
      </c>
      <c r="AN7" s="1026">
        <f>Linaclotide!K151</f>
        <v>65.257126924812098</v>
      </c>
      <c r="AO7" s="739">
        <f>AJ7*(AS7/AN7)</f>
        <v>23.38780888888888</v>
      </c>
      <c r="AP7" s="739">
        <f>AK7*(AS7/AN7)</f>
        <v>29.234761111111101</v>
      </c>
      <c r="AQ7" s="739">
        <f>AL7*(AS7/AN7)</f>
        <v>36.543451388888876</v>
      </c>
      <c r="AR7" s="739">
        <f>AS7-SUM(AO7:AQ7)</f>
        <v>38.019079707400337</v>
      </c>
      <c r="AS7" s="741">
        <f>Linaclotide!L151</f>
        <v>127.18510109628919</v>
      </c>
      <c r="AT7" s="739">
        <v>41.5</v>
      </c>
      <c r="AU7" s="739">
        <v>44.25</v>
      </c>
      <c r="AV7" s="739">
        <v>47.75</v>
      </c>
      <c r="AW7" s="1079">
        <f>AX7-AV7-AU7-AT7</f>
        <v>82.482522710814379</v>
      </c>
      <c r="AX7" s="741">
        <f>Linaclotide!M151</f>
        <v>215.98252271081438</v>
      </c>
      <c r="AY7" s="739">
        <f>0.24*BC7</f>
        <v>65.317163664538285</v>
      </c>
      <c r="AZ7" s="739">
        <f t="shared" ref="AZ7:AZ8" si="0">BC7*0.245</f>
        <v>66.677937907549492</v>
      </c>
      <c r="BA7" s="739">
        <f>BC7*0.2525</f>
        <v>68.719099272066316</v>
      </c>
      <c r="BB7" s="739">
        <f>BC7-BA7-AZ7-AY7</f>
        <v>71.44064775808873</v>
      </c>
      <c r="BC7" s="741">
        <f>Linaclotide!N151</f>
        <v>272.15484860224285</v>
      </c>
      <c r="BD7" s="739"/>
      <c r="BE7" s="739"/>
      <c r="BF7" s="739"/>
      <c r="BG7" s="739"/>
      <c r="BH7" s="741">
        <f>Linaclotide!O151</f>
        <v>288.92797090296705</v>
      </c>
      <c r="BI7" s="739"/>
      <c r="BJ7" s="739"/>
      <c r="BK7" s="739"/>
      <c r="BL7" s="739"/>
      <c r="BM7" s="741">
        <f>Linaclotide!P151</f>
        <v>316.74601290649343</v>
      </c>
      <c r="BN7" s="14"/>
      <c r="BO7" s="14"/>
      <c r="BP7" s="14"/>
      <c r="BQ7" s="14"/>
      <c r="BR7" s="14"/>
    </row>
    <row r="8" spans="1:70" hidden="1" outlineLevel="1">
      <c r="A8" s="15"/>
      <c r="B8" s="627" t="s">
        <v>233</v>
      </c>
      <c r="C8" s="615"/>
      <c r="D8" s="615"/>
      <c r="E8" s="615"/>
      <c r="F8" s="614"/>
      <c r="G8" s="614"/>
      <c r="H8" s="614"/>
      <c r="I8" s="614"/>
      <c r="J8" s="615"/>
      <c r="K8" s="614"/>
      <c r="L8" s="614"/>
      <c r="M8" s="614"/>
      <c r="N8" s="614"/>
      <c r="O8" s="613"/>
      <c r="P8" s="612"/>
      <c r="Q8" s="612"/>
      <c r="R8" s="612"/>
      <c r="S8" s="612"/>
      <c r="T8" s="613"/>
      <c r="U8" s="611">
        <v>0</v>
      </c>
      <c r="V8" s="611">
        <v>0</v>
      </c>
      <c r="W8" s="611">
        <v>0</v>
      </c>
      <c r="X8" s="611">
        <v>0</v>
      </c>
      <c r="Y8" s="613">
        <f>SUM(U8:X8)</f>
        <v>0</v>
      </c>
      <c r="Z8" s="611">
        <v>0</v>
      </c>
      <c r="AA8" s="611">
        <v>0</v>
      </c>
      <c r="AB8" s="611">
        <v>0</v>
      </c>
      <c r="AC8" s="611">
        <v>0</v>
      </c>
      <c r="AD8" s="613">
        <f>SUM(Z8:AC8)</f>
        <v>0</v>
      </c>
      <c r="AE8" s="611">
        <v>0</v>
      </c>
      <c r="AF8" s="611">
        <v>0</v>
      </c>
      <c r="AG8" s="611">
        <v>0</v>
      </c>
      <c r="AH8" s="611">
        <v>0</v>
      </c>
      <c r="AI8" s="613">
        <f>SUM(AE8:AH8)</f>
        <v>0</v>
      </c>
      <c r="AJ8" s="1027">
        <f>$AN$8/4</f>
        <v>0</v>
      </c>
      <c r="AK8" s="1027">
        <f>$AN$8/4</f>
        <v>0</v>
      </c>
      <c r="AL8" s="1027">
        <f>$AN$8/4</f>
        <v>0</v>
      </c>
      <c r="AM8" s="1027">
        <f>AN8-AL8-AK8-AJ8</f>
        <v>0</v>
      </c>
      <c r="AN8" s="1028">
        <f>Linaclotide!K160</f>
        <v>0</v>
      </c>
      <c r="AO8" s="740">
        <v>0</v>
      </c>
      <c r="AP8" s="740">
        <v>0</v>
      </c>
      <c r="AQ8" s="740">
        <v>0</v>
      </c>
      <c r="AR8" s="740">
        <f>AS8*2/3</f>
        <v>0</v>
      </c>
      <c r="AS8" s="744">
        <f>Linaclotide!L160</f>
        <v>0</v>
      </c>
      <c r="AT8" s="740">
        <v>4.5</v>
      </c>
      <c r="AU8" s="740">
        <v>4.75</v>
      </c>
      <c r="AV8" s="740">
        <v>5.0999999999999996</v>
      </c>
      <c r="AW8" s="1080">
        <f>AX8-AV8-AU8-AT8</f>
        <v>13.589546331658248</v>
      </c>
      <c r="AX8" s="744">
        <f>Linaclotide!M160</f>
        <v>27.939546331658246</v>
      </c>
      <c r="AY8" s="740">
        <f>0.24*BC8</f>
        <v>7.5366549289970859</v>
      </c>
      <c r="AZ8" s="740">
        <f t="shared" si="0"/>
        <v>7.693668573351192</v>
      </c>
      <c r="BA8" s="740">
        <f>BC8*0.2525</f>
        <v>7.9291890398823508</v>
      </c>
      <c r="BB8" s="740">
        <f>BC8-BA8-AZ8-AY8</f>
        <v>8.2432163285905613</v>
      </c>
      <c r="BC8" s="744">
        <f>Linaclotide!N160</f>
        <v>31.402728870821193</v>
      </c>
      <c r="BD8" s="740"/>
      <c r="BE8" s="740"/>
      <c r="BF8" s="740"/>
      <c r="BG8" s="740"/>
      <c r="BH8" s="744">
        <f>Linaclotide!O160</f>
        <v>36.442643010894216</v>
      </c>
      <c r="BI8" s="740"/>
      <c r="BJ8" s="740"/>
      <c r="BK8" s="740"/>
      <c r="BL8" s="740"/>
      <c r="BM8" s="744">
        <f>Linaclotide!P160</f>
        <v>28.425370961504299</v>
      </c>
      <c r="BN8" s="14"/>
      <c r="BO8" s="14"/>
      <c r="BP8" s="14"/>
      <c r="BQ8" s="14"/>
      <c r="BR8" s="14"/>
    </row>
    <row r="9" spans="1:70" hidden="1" outlineLevel="1">
      <c r="A9" s="15"/>
      <c r="B9" s="628" t="s">
        <v>234</v>
      </c>
      <c r="C9" s="524"/>
      <c r="D9" s="524"/>
      <c r="E9" s="524"/>
      <c r="F9" s="622"/>
      <c r="G9" s="622"/>
      <c r="H9" s="622"/>
      <c r="I9" s="622"/>
      <c r="J9" s="524"/>
      <c r="K9" s="622"/>
      <c r="L9" s="622"/>
      <c r="M9" s="622"/>
      <c r="N9" s="622"/>
      <c r="O9" s="619"/>
      <c r="P9" s="618"/>
      <c r="Q9" s="618"/>
      <c r="R9" s="618"/>
      <c r="S9" s="618"/>
      <c r="T9" s="619"/>
      <c r="U9" s="618">
        <f t="shared" ref="U9:AI9" si="1">SUM(U6:U8)</f>
        <v>0</v>
      </c>
      <c r="V9" s="618">
        <f t="shared" si="1"/>
        <v>0</v>
      </c>
      <c r="W9" s="618">
        <f t="shared" si="1"/>
        <v>0</v>
      </c>
      <c r="X9" s="618">
        <f t="shared" si="1"/>
        <v>19.2</v>
      </c>
      <c r="Y9" s="622">
        <f t="shared" si="1"/>
        <v>19.2</v>
      </c>
      <c r="Z9" s="618">
        <f t="shared" si="1"/>
        <v>4.5019999999999998</v>
      </c>
      <c r="AA9" s="618">
        <f t="shared" si="1"/>
        <v>28.763000000000002</v>
      </c>
      <c r="AB9" s="618">
        <f t="shared" si="1"/>
        <v>34.444000000000003</v>
      </c>
      <c r="AC9" s="618">
        <f t="shared" si="1"/>
        <v>51.49854545454545</v>
      </c>
      <c r="AD9" s="622">
        <f t="shared" si="1"/>
        <v>119.20754545454545</v>
      </c>
      <c r="AE9" s="618">
        <f>SUM(AE6:AE8)</f>
        <v>61.266545454545451</v>
      </c>
      <c r="AF9" s="618">
        <f t="shared" si="1"/>
        <v>64.746000000000009</v>
      </c>
      <c r="AG9" s="618">
        <f t="shared" si="1"/>
        <v>83.17</v>
      </c>
      <c r="AH9" s="618">
        <f t="shared" si="1"/>
        <v>97.751999999999995</v>
      </c>
      <c r="AI9" s="622">
        <f t="shared" si="1"/>
        <v>306.93454545454546</v>
      </c>
      <c r="AJ9" s="1025">
        <f t="shared" ref="AJ9:BA9" si="2">SUM(AJ6:AJ8)</f>
        <v>107.489</v>
      </c>
      <c r="AK9" s="1025">
        <f t="shared" si="2"/>
        <v>127.062</v>
      </c>
      <c r="AL9" s="1025">
        <f t="shared" si="2"/>
        <v>136.24200000000002</v>
      </c>
      <c r="AM9" s="1025">
        <f t="shared" si="2"/>
        <v>149.2331269248121</v>
      </c>
      <c r="AN9" s="1026">
        <f t="shared" si="2"/>
        <v>520.02612692481216</v>
      </c>
      <c r="AO9" s="739">
        <f t="shared" si="2"/>
        <v>160.52480888888888</v>
      </c>
      <c r="AP9" s="739">
        <f t="shared" si="2"/>
        <v>179.69876111111111</v>
      </c>
      <c r="AQ9" s="739">
        <f t="shared" si="2"/>
        <v>200.92245138888887</v>
      </c>
      <c r="AR9" s="739">
        <f t="shared" si="2"/>
        <v>211.59407970740034</v>
      </c>
      <c r="AS9" s="741">
        <f t="shared" si="2"/>
        <v>752.7401010962891</v>
      </c>
      <c r="AT9" s="739">
        <f t="shared" si="2"/>
        <v>193.61500000000001</v>
      </c>
      <c r="AU9" s="739">
        <f t="shared" si="2"/>
        <v>216.833</v>
      </c>
      <c r="AV9" s="739">
        <f t="shared" si="2"/>
        <v>232.85</v>
      </c>
      <c r="AW9" s="1079">
        <f t="shared" si="2"/>
        <v>290.86206904247263</v>
      </c>
      <c r="AX9" s="741">
        <f>SUM(AX6:AX8)</f>
        <v>944.92709666777773</v>
      </c>
      <c r="AY9" s="739">
        <f t="shared" si="2"/>
        <v>264.71732802922867</v>
      </c>
      <c r="AZ9" s="739">
        <f t="shared" si="2"/>
        <v>270.31731824501298</v>
      </c>
      <c r="BA9" s="739">
        <f t="shared" si="2"/>
        <v>280.75840473289901</v>
      </c>
      <c r="BB9" s="739">
        <f t="shared" ref="BB9" si="3">SUM(BB6:BB8)</f>
        <v>304.2049921497246</v>
      </c>
      <c r="BC9" s="741">
        <f>SUM(BC6:BC8)</f>
        <v>1119.9980431568652</v>
      </c>
      <c r="BD9" s="739"/>
      <c r="BE9" s="739"/>
      <c r="BF9" s="739"/>
      <c r="BG9" s="739"/>
      <c r="BH9" s="741">
        <f>SUM(BH6:BH8)</f>
        <v>1270.7050179755925</v>
      </c>
      <c r="BI9" s="739"/>
      <c r="BJ9" s="739"/>
      <c r="BK9" s="739"/>
      <c r="BL9" s="739"/>
      <c r="BM9" s="741">
        <f>SUM(BM6:BM8)</f>
        <v>1440.8334749608932</v>
      </c>
      <c r="BN9" s="14"/>
      <c r="BO9" s="14"/>
      <c r="BP9" s="14"/>
      <c r="BQ9" s="14"/>
      <c r="BR9" s="14"/>
    </row>
    <row r="10" spans="1:70" hidden="1" outlineLevel="1">
      <c r="A10" s="15"/>
      <c r="B10" s="629"/>
      <c r="C10" s="610"/>
      <c r="D10" s="610"/>
      <c r="E10" s="610"/>
      <c r="F10" s="610"/>
      <c r="G10" s="610"/>
      <c r="H10" s="610"/>
      <c r="I10" s="610"/>
      <c r="J10" s="610"/>
      <c r="K10" s="610"/>
      <c r="L10" s="610"/>
      <c r="M10" s="610"/>
      <c r="N10" s="610"/>
      <c r="O10" s="610"/>
      <c r="P10" s="609"/>
      <c r="Q10" s="609"/>
      <c r="R10" s="609"/>
      <c r="S10" s="609"/>
      <c r="T10" s="610"/>
      <c r="U10" s="609"/>
      <c r="V10" s="609"/>
      <c r="W10" s="609"/>
      <c r="X10" s="609"/>
      <c r="Y10" s="610"/>
      <c r="Z10" s="609"/>
      <c r="AA10" s="609"/>
      <c r="AB10" s="609"/>
      <c r="AC10" s="609"/>
      <c r="AD10" s="610"/>
      <c r="AE10" s="608"/>
      <c r="AF10" s="608"/>
      <c r="AG10" s="608"/>
      <c r="AH10" s="608"/>
      <c r="AI10" s="610"/>
      <c r="AJ10" s="1029"/>
      <c r="AK10" s="1029"/>
      <c r="AL10" s="1029"/>
      <c r="AM10" s="1029"/>
      <c r="AN10" s="1030"/>
      <c r="AO10" s="600"/>
      <c r="AP10" s="600"/>
      <c r="AQ10" s="600"/>
      <c r="AR10" s="600"/>
      <c r="AS10" s="745"/>
      <c r="AT10" s="600"/>
      <c r="AU10" s="600"/>
      <c r="AV10" s="600"/>
      <c r="AW10" s="600"/>
      <c r="AX10" s="745"/>
      <c r="AY10" s="600"/>
      <c r="AZ10" s="600"/>
      <c r="BA10" s="600"/>
      <c r="BB10" s="600"/>
      <c r="BC10" s="745"/>
      <c r="BD10" s="600"/>
      <c r="BE10" s="600"/>
      <c r="BF10" s="600"/>
      <c r="BG10" s="600"/>
      <c r="BH10" s="745"/>
      <c r="BI10" s="600"/>
      <c r="BJ10" s="600"/>
      <c r="BK10" s="600"/>
      <c r="BL10" s="600"/>
      <c r="BM10" s="745"/>
      <c r="BN10" s="12"/>
      <c r="BO10" s="12"/>
      <c r="BP10" s="12"/>
      <c r="BQ10" s="12"/>
      <c r="BR10" s="12"/>
    </row>
    <row r="11" spans="1:70" hidden="1" outlineLevel="1">
      <c r="A11" s="15"/>
      <c r="B11" s="630" t="s">
        <v>168</v>
      </c>
      <c r="C11" s="610"/>
      <c r="D11" s="607"/>
      <c r="E11" s="607"/>
      <c r="F11" s="610"/>
      <c r="G11" s="610"/>
      <c r="H11" s="610"/>
      <c r="I11" s="610"/>
      <c r="J11" s="610"/>
      <c r="K11" s="610"/>
      <c r="L11" s="610"/>
      <c r="M11" s="610"/>
      <c r="N11" s="610"/>
      <c r="O11" s="610"/>
      <c r="P11" s="609"/>
      <c r="Q11" s="609"/>
      <c r="R11" s="609"/>
      <c r="S11" s="609"/>
      <c r="T11" s="610"/>
      <c r="U11" s="609"/>
      <c r="V11" s="609"/>
      <c r="W11" s="609"/>
      <c r="X11" s="609"/>
      <c r="Y11" s="610"/>
      <c r="Z11" s="609"/>
      <c r="AA11" s="609"/>
      <c r="AB11" s="609"/>
      <c r="AC11" s="609"/>
      <c r="AD11" s="610"/>
      <c r="AE11" s="623"/>
      <c r="AF11" s="623"/>
      <c r="AG11" s="623"/>
      <c r="AH11" s="623"/>
      <c r="AI11" s="610"/>
      <c r="AJ11" s="1029"/>
      <c r="AK11" s="1029"/>
      <c r="AL11" s="1029"/>
      <c r="AM11" s="1029"/>
      <c r="AN11" s="1030"/>
      <c r="AO11" s="1019"/>
      <c r="AP11" s="1019"/>
      <c r="AQ11" s="1019"/>
      <c r="AR11" s="1019"/>
      <c r="AS11" s="1020"/>
      <c r="AT11" s="1019"/>
      <c r="AU11" s="1019"/>
      <c r="AV11" s="1078"/>
      <c r="AW11" s="1078"/>
      <c r="AX11" s="678"/>
      <c r="AY11" s="600"/>
      <c r="AZ11" s="600"/>
      <c r="BA11" s="600"/>
      <c r="BB11" s="600"/>
      <c r="BC11" s="745"/>
      <c r="BD11" s="600"/>
      <c r="BE11" s="600"/>
      <c r="BF11" s="600"/>
      <c r="BG11" s="600"/>
      <c r="BH11" s="745"/>
      <c r="BI11" s="600"/>
      <c r="BJ11" s="600"/>
      <c r="BK11" s="600"/>
      <c r="BL11" s="600"/>
      <c r="BM11" s="745"/>
      <c r="BN11" s="12"/>
      <c r="BO11" s="12"/>
      <c r="BP11" s="12"/>
      <c r="BQ11" s="12"/>
      <c r="BR11" s="12"/>
    </row>
    <row r="12" spans="1:70" collapsed="1">
      <c r="A12" s="15"/>
      <c r="B12" s="365" t="s">
        <v>407</v>
      </c>
      <c r="C12" s="610"/>
      <c r="D12" s="607"/>
      <c r="E12" s="607"/>
      <c r="F12" s="610"/>
      <c r="G12" s="610"/>
      <c r="H12" s="610"/>
      <c r="I12" s="610"/>
      <c r="J12" s="610"/>
      <c r="K12" s="610"/>
      <c r="L12" s="610"/>
      <c r="M12" s="610"/>
      <c r="N12" s="610"/>
      <c r="O12" s="610"/>
      <c r="P12" s="609"/>
      <c r="Q12" s="609"/>
      <c r="R12" s="609"/>
      <c r="S12" s="609"/>
      <c r="T12" s="610"/>
      <c r="U12" s="609"/>
      <c r="V12" s="609"/>
      <c r="W12" s="609"/>
      <c r="X12" s="609"/>
      <c r="Y12" s="610"/>
      <c r="Z12" s="604">
        <f>Z6</f>
        <v>4.5019999999999998</v>
      </c>
      <c r="AA12" s="604">
        <f>AA6</f>
        <v>28.763000000000002</v>
      </c>
      <c r="AB12" s="604">
        <f>AB6</f>
        <v>34.444000000000003</v>
      </c>
      <c r="AC12" s="604">
        <f>AC6</f>
        <v>51.043999999999997</v>
      </c>
      <c r="AD12" s="605">
        <f>SUM(Z12:AC12)</f>
        <v>118.753</v>
      </c>
      <c r="AE12" s="623">
        <f>AE6</f>
        <v>60.811999999999998</v>
      </c>
      <c r="AF12" s="623">
        <f>AF6</f>
        <v>62.746000000000002</v>
      </c>
      <c r="AG12" s="623">
        <f>AG6</f>
        <v>79.67</v>
      </c>
      <c r="AH12" s="623">
        <f>AH6</f>
        <v>93.751999999999995</v>
      </c>
      <c r="AI12" s="605">
        <f>SUM(AE12:AH12)</f>
        <v>296.98</v>
      </c>
      <c r="AJ12" s="1029">
        <v>95.489000000000004</v>
      </c>
      <c r="AK12" s="1029">
        <v>112.062</v>
      </c>
      <c r="AL12" s="1029">
        <v>117.492</v>
      </c>
      <c r="AM12" s="1029">
        <v>129.726</v>
      </c>
      <c r="AN12" s="1030">
        <f>SUM(AJ12:AM12)</f>
        <v>454.76900000000001</v>
      </c>
      <c r="AO12" s="600">
        <v>137.137</v>
      </c>
      <c r="AP12" s="600">
        <v>150.464</v>
      </c>
      <c r="AQ12" s="600">
        <v>164.37899999999999</v>
      </c>
      <c r="AR12" s="600">
        <v>173.57499999999999</v>
      </c>
      <c r="AS12" s="745">
        <f>AR12+AQ12+AP12+AO12</f>
        <v>625.55499999999995</v>
      </c>
      <c r="AT12" s="600">
        <v>147.61500000000001</v>
      </c>
      <c r="AU12" s="600">
        <v>167.833</v>
      </c>
      <c r="AV12" s="600">
        <v>190.93199999999999</v>
      </c>
      <c r="AW12" s="600">
        <v>194.79</v>
      </c>
      <c r="AX12" s="745">
        <f>AW12+AV12+AU12+AT12</f>
        <v>701.17</v>
      </c>
      <c r="AY12" s="600">
        <f t="shared" ref="AY12:BC12" si="4">AY6</f>
        <v>191.86350943569329</v>
      </c>
      <c r="AZ12" s="600">
        <f t="shared" si="4"/>
        <v>195.94571176411227</v>
      </c>
      <c r="BA12" s="600">
        <f t="shared" si="4"/>
        <v>204.11011642095031</v>
      </c>
      <c r="BB12" s="600">
        <f t="shared" si="4"/>
        <v>224.5211280630453</v>
      </c>
      <c r="BC12" s="745">
        <f t="shared" si="4"/>
        <v>816.44046568380122</v>
      </c>
      <c r="BD12" s="600"/>
      <c r="BE12" s="600"/>
      <c r="BF12" s="600"/>
      <c r="BG12" s="600"/>
      <c r="BH12" s="745">
        <f>BH6</f>
        <v>945.33440406173122</v>
      </c>
      <c r="BI12" s="600"/>
      <c r="BJ12" s="600"/>
      <c r="BK12" s="600"/>
      <c r="BL12" s="600"/>
      <c r="BM12" s="745">
        <f>BM6</f>
        <v>1095.6620910928955</v>
      </c>
      <c r="BN12" s="12"/>
      <c r="BO12" s="12"/>
      <c r="BP12" s="12"/>
      <c r="BQ12" s="12"/>
      <c r="BR12" s="12"/>
    </row>
    <row r="13" spans="1:70">
      <c r="A13" s="15"/>
      <c r="B13" s="365" t="s">
        <v>411</v>
      </c>
      <c r="C13" s="610"/>
      <c r="D13" s="607"/>
      <c r="E13" s="607"/>
      <c r="F13" s="610"/>
      <c r="G13" s="610"/>
      <c r="H13" s="610"/>
      <c r="I13" s="610"/>
      <c r="J13" s="610"/>
      <c r="K13" s="610"/>
      <c r="L13" s="610"/>
      <c r="M13" s="610"/>
      <c r="N13" s="610"/>
      <c r="O13" s="610"/>
      <c r="P13" s="609"/>
      <c r="Q13" s="609"/>
      <c r="R13" s="609"/>
      <c r="S13" s="609"/>
      <c r="T13" s="610"/>
      <c r="U13" s="609"/>
      <c r="V13" s="609"/>
      <c r="W13" s="609"/>
      <c r="X13" s="609"/>
      <c r="Y13" s="610"/>
      <c r="Z13" s="616">
        <v>71.040000000000006</v>
      </c>
      <c r="AA13" s="616">
        <v>67.629000000000005</v>
      </c>
      <c r="AB13" s="616">
        <v>63.276000000000003</v>
      </c>
      <c r="AC13" s="616">
        <v>62.805999999999997</v>
      </c>
      <c r="AD13" s="605">
        <f>SUM(Z13:AC13)</f>
        <v>264.75100000000003</v>
      </c>
      <c r="AE13" s="616">
        <v>59.915999999999997</v>
      </c>
      <c r="AF13" s="616">
        <v>79.424000000000007</v>
      </c>
      <c r="AG13" s="616">
        <v>69.024000000000001</v>
      </c>
      <c r="AH13" s="616">
        <v>60.05</v>
      </c>
      <c r="AI13" s="605">
        <f>SUM(AE13:AH13)</f>
        <v>268.41399999999999</v>
      </c>
      <c r="AJ13" s="1029">
        <v>58.151000000000003</v>
      </c>
      <c r="AK13" s="1029">
        <v>77.84</v>
      </c>
      <c r="AL13" s="1029">
        <v>65.281999999999996</v>
      </c>
      <c r="AM13" s="1029">
        <v>45.963000000000001</v>
      </c>
      <c r="AN13" s="1030">
        <f>SUM(AJ13:AM13)</f>
        <v>247.23600000000002</v>
      </c>
      <c r="AO13" s="600">
        <v>62.149000000000001</v>
      </c>
      <c r="AP13" s="600">
        <v>71.555999999999997</v>
      </c>
      <c r="AQ13" s="600">
        <v>64.135999999999996</v>
      </c>
      <c r="AR13" s="600">
        <v>67.397000000000006</v>
      </c>
      <c r="AS13" s="745">
        <f>AR13+AQ13+AP13+AO13</f>
        <v>265.238</v>
      </c>
      <c r="AT13" s="600">
        <v>70.929000000000002</v>
      </c>
      <c r="AU13" s="600">
        <v>80.210999999999999</v>
      </c>
      <c r="AV13" s="600">
        <v>64.034000000000006</v>
      </c>
      <c r="AW13" s="600">
        <v>56.023000000000003</v>
      </c>
      <c r="AX13" s="745">
        <f>AW13+AV13+AU13+AT13</f>
        <v>271.197</v>
      </c>
      <c r="AY13" s="600">
        <f t="shared" ref="AY13:BB13" si="5">AY12-AY14</f>
        <v>73.86745113274192</v>
      </c>
      <c r="AZ13" s="600">
        <f t="shared" si="5"/>
        <v>71.520184793900981</v>
      </c>
      <c r="BA13" s="600">
        <f t="shared" si="5"/>
        <v>72.459091329437342</v>
      </c>
      <c r="BB13" s="600">
        <f t="shared" si="5"/>
        <v>78.582394822065851</v>
      </c>
      <c r="BC13" s="745">
        <f>BB13+BA13+AZ13+AY13</f>
        <v>296.42912207814607</v>
      </c>
      <c r="BD13" s="600"/>
      <c r="BE13" s="600"/>
      <c r="BF13" s="600"/>
      <c r="BG13" s="600"/>
      <c r="BH13" s="745">
        <f>BH12-BH14</f>
        <v>316.68702536067997</v>
      </c>
      <c r="BI13" s="600"/>
      <c r="BJ13" s="600"/>
      <c r="BK13" s="600"/>
      <c r="BL13" s="600"/>
      <c r="BM13" s="745">
        <f>BM12-BM14</f>
        <v>328.69862732786873</v>
      </c>
      <c r="BN13" s="12"/>
      <c r="BO13" s="12"/>
      <c r="BP13" s="12"/>
      <c r="BQ13" s="12"/>
      <c r="BR13" s="12"/>
    </row>
    <row r="14" spans="1:70">
      <c r="A14" s="15"/>
      <c r="B14" s="365" t="s">
        <v>408</v>
      </c>
      <c r="C14" s="610"/>
      <c r="D14" s="607"/>
      <c r="E14" s="607"/>
      <c r="F14" s="610"/>
      <c r="G14" s="610"/>
      <c r="H14" s="610"/>
      <c r="I14" s="610"/>
      <c r="J14" s="610"/>
      <c r="K14" s="610"/>
      <c r="L14" s="610"/>
      <c r="M14" s="610"/>
      <c r="N14" s="610"/>
      <c r="O14" s="610"/>
      <c r="P14" s="609"/>
      <c r="Q14" s="609"/>
      <c r="R14" s="609"/>
      <c r="S14" s="609"/>
      <c r="T14" s="610"/>
      <c r="U14" s="609"/>
      <c r="V14" s="609"/>
      <c r="W14" s="609"/>
      <c r="X14" s="609"/>
      <c r="Y14" s="610"/>
      <c r="Z14" s="604">
        <f>Z12-Z13</f>
        <v>-66.538000000000011</v>
      </c>
      <c r="AA14" s="604">
        <f>AA12-AA13</f>
        <v>-38.866</v>
      </c>
      <c r="AB14" s="604">
        <f>AB12-AB13</f>
        <v>-28.832000000000001</v>
      </c>
      <c r="AC14" s="604">
        <f>AC12-AC13</f>
        <v>-11.762</v>
      </c>
      <c r="AD14" s="605">
        <f>SUM(Z14:AC14)</f>
        <v>-145.99800000000002</v>
      </c>
      <c r="AE14" s="623">
        <f>AE12-AE13</f>
        <v>0.8960000000000008</v>
      </c>
      <c r="AF14" s="623">
        <f>AF12-AF13</f>
        <v>-16.678000000000004</v>
      </c>
      <c r="AG14" s="623">
        <f>AG12-AG13</f>
        <v>10.646000000000001</v>
      </c>
      <c r="AH14" s="623">
        <f>AH12-AH13</f>
        <v>33.701999999999998</v>
      </c>
      <c r="AI14" s="605">
        <f>SUM(AE14:AH14)</f>
        <v>28.565999999999995</v>
      </c>
      <c r="AJ14" s="1029">
        <f>AJ12-AJ13</f>
        <v>37.338000000000001</v>
      </c>
      <c r="AK14" s="1029">
        <f>AK12-AK13</f>
        <v>34.221999999999994</v>
      </c>
      <c r="AL14" s="1029">
        <f>AL12-AL13</f>
        <v>52.210000000000008</v>
      </c>
      <c r="AM14" s="1029">
        <f>AM12-AM13</f>
        <v>83.763000000000005</v>
      </c>
      <c r="AN14" s="1030">
        <f>SUM(AJ14:AM14)</f>
        <v>207.53300000000002</v>
      </c>
      <c r="AO14" s="600">
        <f>AO12-AO13</f>
        <v>74.988</v>
      </c>
      <c r="AP14" s="600">
        <f>AP12-AP13</f>
        <v>78.908000000000001</v>
      </c>
      <c r="AQ14" s="600">
        <f>AQ12-AQ13</f>
        <v>100.24299999999999</v>
      </c>
      <c r="AR14" s="600">
        <f>AR12-AR13</f>
        <v>106.17799999999998</v>
      </c>
      <c r="AS14" s="745">
        <f>AR14+AQ14+AP14+AO14</f>
        <v>360.31700000000001</v>
      </c>
      <c r="AT14" s="600">
        <f>AT12-AT13</f>
        <v>76.686000000000007</v>
      </c>
      <c r="AU14" s="600">
        <f>AU12-AU13</f>
        <v>87.622</v>
      </c>
      <c r="AV14" s="600">
        <f>AV12-AV13</f>
        <v>126.89799999999998</v>
      </c>
      <c r="AW14" s="600">
        <f>AW12-AW13</f>
        <v>138.767</v>
      </c>
      <c r="AX14" s="745">
        <f>AW14+AV14+AU14+AT14</f>
        <v>429.97299999999996</v>
      </c>
      <c r="AY14" s="600">
        <f t="shared" ref="AY14:BB14" si="6">AY12*AY15</f>
        <v>117.99605830295137</v>
      </c>
      <c r="AZ14" s="600">
        <f t="shared" si="6"/>
        <v>124.42552697021129</v>
      </c>
      <c r="BA14" s="600">
        <f t="shared" si="6"/>
        <v>131.65102509151296</v>
      </c>
      <c r="BB14" s="600">
        <f t="shared" si="6"/>
        <v>145.93873324097945</v>
      </c>
      <c r="BC14" s="745">
        <f>BC12*BC15</f>
        <v>514.35749338079472</v>
      </c>
      <c r="BD14" s="600"/>
      <c r="BE14" s="600"/>
      <c r="BF14" s="600"/>
      <c r="BG14" s="600"/>
      <c r="BH14" s="745">
        <f>BH12*BH15</f>
        <v>628.64737870105125</v>
      </c>
      <c r="BI14" s="600"/>
      <c r="BJ14" s="600"/>
      <c r="BK14" s="600"/>
      <c r="BL14" s="600"/>
      <c r="BM14" s="745">
        <f>BM12*BM15</f>
        <v>766.96346376502675</v>
      </c>
      <c r="BN14" s="12"/>
      <c r="BO14" s="12"/>
      <c r="BP14" s="12"/>
      <c r="BQ14" s="12"/>
      <c r="BR14" s="12"/>
    </row>
    <row r="15" spans="1:70" hidden="1" outlineLevel="1">
      <c r="A15" s="15"/>
      <c r="B15" s="1022" t="s">
        <v>527</v>
      </c>
      <c r="C15" s="610"/>
      <c r="D15" s="607"/>
      <c r="E15" s="607"/>
      <c r="F15" s="610"/>
      <c r="G15" s="610"/>
      <c r="H15" s="610"/>
      <c r="I15" s="610"/>
      <c r="J15" s="610"/>
      <c r="K15" s="610"/>
      <c r="L15" s="610"/>
      <c r="M15" s="610"/>
      <c r="N15" s="610"/>
      <c r="O15" s="610"/>
      <c r="P15" s="609"/>
      <c r="Q15" s="609"/>
      <c r="R15" s="609"/>
      <c r="S15" s="609"/>
      <c r="T15" s="610"/>
      <c r="U15" s="609"/>
      <c r="V15" s="609"/>
      <c r="W15" s="609"/>
      <c r="X15" s="609"/>
      <c r="Y15" s="610"/>
      <c r="Z15" s="616"/>
      <c r="AA15" s="616"/>
      <c r="AB15" s="616"/>
      <c r="AC15" s="616"/>
      <c r="AD15" s="605"/>
      <c r="AE15" s="616"/>
      <c r="AF15" s="616"/>
      <c r="AG15" s="616"/>
      <c r="AH15" s="616"/>
      <c r="AI15" s="605"/>
      <c r="AJ15" s="1032">
        <f t="shared" ref="AJ15:AV15" si="7">AJ14/AJ12</f>
        <v>0.39101886081119291</v>
      </c>
      <c r="AK15" s="1032">
        <f t="shared" si="7"/>
        <v>0.30538451928396776</v>
      </c>
      <c r="AL15" s="1032">
        <f t="shared" si="7"/>
        <v>0.44437068055697415</v>
      </c>
      <c r="AM15" s="1032">
        <f t="shared" si="7"/>
        <v>0.64569168863604831</v>
      </c>
      <c r="AN15" s="682">
        <f t="shared" si="7"/>
        <v>0.45634816797099187</v>
      </c>
      <c r="AO15" s="1032">
        <f t="shared" si="7"/>
        <v>0.54681085338019642</v>
      </c>
      <c r="AP15" s="1032">
        <f t="shared" si="7"/>
        <v>0.52443109315185032</v>
      </c>
      <c r="AQ15" s="1032">
        <f t="shared" si="7"/>
        <v>0.60982850607437689</v>
      </c>
      <c r="AR15" s="1032">
        <f t="shared" si="7"/>
        <v>0.61171251620337019</v>
      </c>
      <c r="AS15" s="682">
        <f t="shared" si="7"/>
        <v>0.57599571580436582</v>
      </c>
      <c r="AT15" s="1032">
        <f t="shared" si="7"/>
        <v>0.51950005080784478</v>
      </c>
      <c r="AU15" s="1032">
        <f t="shared" si="7"/>
        <v>0.52207849469413048</v>
      </c>
      <c r="AV15" s="1032">
        <f t="shared" si="7"/>
        <v>0.66462405463725305</v>
      </c>
      <c r="AW15" s="1032">
        <f>AW14/AW12</f>
        <v>0.71239283330766467</v>
      </c>
      <c r="AX15" s="1077">
        <v>0.59</v>
      </c>
      <c r="AY15" s="1032">
        <v>0.61499999999999999</v>
      </c>
      <c r="AZ15" s="1032">
        <v>0.63500000000000001</v>
      </c>
      <c r="BA15" s="1032">
        <v>0.64500000000000002</v>
      </c>
      <c r="BB15" s="1032">
        <v>0.65</v>
      </c>
      <c r="BC15" s="1077">
        <v>0.63</v>
      </c>
      <c r="BD15" s="1032"/>
      <c r="BE15" s="1032"/>
      <c r="BF15" s="1032"/>
      <c r="BG15" s="1032"/>
      <c r="BH15" s="1077">
        <v>0.66500000000000004</v>
      </c>
      <c r="BI15" s="1032"/>
      <c r="BJ15" s="1032"/>
      <c r="BK15" s="1032"/>
      <c r="BL15" s="1032"/>
      <c r="BM15" s="1077">
        <v>0.7</v>
      </c>
      <c r="BN15" s="12"/>
      <c r="BO15" s="12"/>
      <c r="BP15" s="12"/>
      <c r="BQ15" s="12"/>
      <c r="BR15" s="12"/>
    </row>
    <row r="16" spans="1:70" collapsed="1">
      <c r="A16" s="15"/>
      <c r="B16" s="365"/>
      <c r="C16" s="610"/>
      <c r="D16" s="607"/>
      <c r="E16" s="607"/>
      <c r="F16" s="610"/>
      <c r="G16" s="610"/>
      <c r="H16" s="610"/>
      <c r="I16" s="610"/>
      <c r="J16" s="610"/>
      <c r="K16" s="610"/>
      <c r="L16" s="610"/>
      <c r="M16" s="610"/>
      <c r="N16" s="610"/>
      <c r="O16" s="610"/>
      <c r="P16" s="609"/>
      <c r="Q16" s="609"/>
      <c r="R16" s="609"/>
      <c r="S16" s="609"/>
      <c r="T16" s="610"/>
      <c r="U16" s="609"/>
      <c r="V16" s="609"/>
      <c r="W16" s="609"/>
      <c r="X16" s="609"/>
      <c r="Y16" s="610"/>
      <c r="Z16" s="609"/>
      <c r="AA16" s="609"/>
      <c r="AB16" s="609"/>
      <c r="AC16" s="609"/>
      <c r="AD16" s="610"/>
      <c r="AE16" s="623"/>
      <c r="AF16" s="606"/>
      <c r="AG16" s="606"/>
      <c r="AH16" s="606"/>
      <c r="AI16" s="605"/>
      <c r="AJ16" s="999"/>
      <c r="AK16" s="999"/>
      <c r="AL16" s="999"/>
      <c r="AM16" s="999"/>
      <c r="AN16" s="745"/>
      <c r="AO16" s="600"/>
      <c r="AP16" s="600"/>
      <c r="AQ16" s="600"/>
      <c r="AR16" s="600"/>
      <c r="AS16" s="745"/>
      <c r="AT16" s="600"/>
      <c r="AU16" s="600"/>
      <c r="AV16" s="600"/>
      <c r="AW16" s="600"/>
      <c r="AX16" s="745"/>
      <c r="AY16" s="600"/>
      <c r="AZ16" s="600"/>
      <c r="BA16" s="600"/>
      <c r="BB16" s="600"/>
      <c r="BC16" s="745"/>
      <c r="BD16" s="600"/>
      <c r="BE16" s="600"/>
      <c r="BF16" s="600"/>
      <c r="BG16" s="600"/>
      <c r="BH16" s="745"/>
      <c r="BI16" s="600"/>
      <c r="BJ16" s="600"/>
      <c r="BK16" s="600"/>
      <c r="BL16" s="600"/>
      <c r="BM16" s="745"/>
      <c r="BN16" s="12"/>
      <c r="BO16" s="12"/>
      <c r="BP16" s="12"/>
      <c r="BQ16" s="12"/>
      <c r="BR16" s="12"/>
    </row>
    <row r="17" spans="1:70">
      <c r="A17" s="15"/>
      <c r="B17" s="365" t="s">
        <v>409</v>
      </c>
      <c r="C17" s="610"/>
      <c r="D17" s="607"/>
      <c r="E17" s="607"/>
      <c r="F17" s="610"/>
      <c r="G17" s="610"/>
      <c r="H17" s="610"/>
      <c r="I17" s="610"/>
      <c r="J17" s="610"/>
      <c r="K17" s="610"/>
      <c r="L17" s="610"/>
      <c r="M17" s="610"/>
      <c r="N17" s="610"/>
      <c r="O17" s="610"/>
      <c r="P17" s="609"/>
      <c r="Q17" s="609"/>
      <c r="R17" s="609"/>
      <c r="S17" s="609"/>
      <c r="T17" s="610"/>
      <c r="U17" s="609"/>
      <c r="V17" s="609"/>
      <c r="W17" s="609"/>
      <c r="X17" s="609"/>
      <c r="Y17" s="610"/>
      <c r="Z17" s="604">
        <f>Z14/2</f>
        <v>-33.269000000000005</v>
      </c>
      <c r="AA17" s="604">
        <f>AA14/2</f>
        <v>-19.433</v>
      </c>
      <c r="AB17" s="604">
        <f>AB14/2</f>
        <v>-14.416</v>
      </c>
      <c r="AC17" s="604">
        <f>AC14/2</f>
        <v>-5.8810000000000002</v>
      </c>
      <c r="AD17" s="605">
        <f>SUM(Z17:AC17)</f>
        <v>-72.999000000000009</v>
      </c>
      <c r="AE17" s="623">
        <f>AE14/2</f>
        <v>0.4480000000000004</v>
      </c>
      <c r="AF17" s="623">
        <f>AF14/2</f>
        <v>-8.3390000000000022</v>
      </c>
      <c r="AG17" s="623">
        <f>AG14/2</f>
        <v>5.3230000000000004</v>
      </c>
      <c r="AH17" s="623">
        <f>AH14/2</f>
        <v>16.850999999999999</v>
      </c>
      <c r="AI17" s="605">
        <f t="shared" ref="AI17:AI25" si="8">SUM(AE17:AH17)</f>
        <v>14.282999999999998</v>
      </c>
      <c r="AJ17" s="999">
        <f>AJ14/2</f>
        <v>18.669</v>
      </c>
      <c r="AK17" s="999">
        <f>AK14/2</f>
        <v>17.110999999999997</v>
      </c>
      <c r="AL17" s="999">
        <f>AL14/2</f>
        <v>26.105000000000004</v>
      </c>
      <c r="AM17" s="999">
        <f>AM14/2</f>
        <v>41.881500000000003</v>
      </c>
      <c r="AN17" s="745">
        <f t="shared" ref="AN17:AN25" si="9">SUM(AJ17:AM17)</f>
        <v>103.76650000000001</v>
      </c>
      <c r="AO17" s="600">
        <f t="shared" ref="AO17:BB17" si="10">AO14/2</f>
        <v>37.494</v>
      </c>
      <c r="AP17" s="600">
        <f t="shared" si="10"/>
        <v>39.454000000000001</v>
      </c>
      <c r="AQ17" s="600">
        <f t="shared" si="10"/>
        <v>50.121499999999997</v>
      </c>
      <c r="AR17" s="600">
        <f t="shared" si="10"/>
        <v>53.088999999999992</v>
      </c>
      <c r="AS17" s="745">
        <f t="shared" si="10"/>
        <v>180.1585</v>
      </c>
      <c r="AT17" s="999">
        <f t="shared" si="10"/>
        <v>38.343000000000004</v>
      </c>
      <c r="AU17" s="600">
        <v>43.811</v>
      </c>
      <c r="AV17" s="600">
        <v>63.448999999999998</v>
      </c>
      <c r="AW17" s="600">
        <v>69.384</v>
      </c>
      <c r="AX17" s="745">
        <f>AW17+AV17+AU17+AT17</f>
        <v>214.98700000000002</v>
      </c>
      <c r="AY17" s="600">
        <f t="shared" si="10"/>
        <v>58.998029151475684</v>
      </c>
      <c r="AZ17" s="600">
        <f t="shared" si="10"/>
        <v>62.212763485105647</v>
      </c>
      <c r="BA17" s="600">
        <f t="shared" si="10"/>
        <v>65.825512545756482</v>
      </c>
      <c r="BB17" s="600">
        <f t="shared" si="10"/>
        <v>72.969366620489723</v>
      </c>
      <c r="BC17" s="745">
        <f>BC14/2</f>
        <v>257.17874669039736</v>
      </c>
      <c r="BD17" s="600"/>
      <c r="BE17" s="600"/>
      <c r="BF17" s="600"/>
      <c r="BG17" s="600"/>
      <c r="BH17" s="745">
        <f>BH14/2</f>
        <v>314.32368935052563</v>
      </c>
      <c r="BI17" s="600"/>
      <c r="BJ17" s="600"/>
      <c r="BK17" s="600"/>
      <c r="BL17" s="600"/>
      <c r="BM17" s="745">
        <f>BM14/2</f>
        <v>383.48173188251337</v>
      </c>
      <c r="BN17" s="12"/>
      <c r="BO17" s="12"/>
      <c r="BP17" s="12"/>
      <c r="BQ17" s="12"/>
      <c r="BR17" s="12"/>
    </row>
    <row r="18" spans="1:70">
      <c r="A18" s="15"/>
      <c r="B18" s="365" t="s">
        <v>410</v>
      </c>
      <c r="C18" s="610"/>
      <c r="D18" s="607"/>
      <c r="E18" s="607"/>
      <c r="F18" s="610"/>
      <c r="G18" s="610"/>
      <c r="H18" s="610"/>
      <c r="I18" s="610"/>
      <c r="J18" s="610"/>
      <c r="K18" s="610"/>
      <c r="L18" s="610"/>
      <c r="M18" s="610"/>
      <c r="N18" s="610"/>
      <c r="O18" s="610"/>
      <c r="P18" s="609"/>
      <c r="Q18" s="609"/>
      <c r="R18" s="609"/>
      <c r="S18" s="609"/>
      <c r="T18" s="610"/>
      <c r="U18" s="609"/>
      <c r="V18" s="609"/>
      <c r="W18" s="609"/>
      <c r="X18" s="609"/>
      <c r="Y18" s="610"/>
      <c r="Z18" s="616">
        <v>8.5389999999999997</v>
      </c>
      <c r="AA18" s="616">
        <v>8.2710000000000008</v>
      </c>
      <c r="AB18" s="616">
        <v>8.234</v>
      </c>
      <c r="AC18" s="616">
        <v>8.7949999999999999</v>
      </c>
      <c r="AD18" s="605">
        <f>SUM(Z18:AC18)</f>
        <v>33.839000000000006</v>
      </c>
      <c r="AE18" s="616">
        <v>7.9989999999999997</v>
      </c>
      <c r="AF18" s="616">
        <v>7.806</v>
      </c>
      <c r="AG18" s="616">
        <v>8.1869999999999994</v>
      </c>
      <c r="AH18" s="616">
        <v>7.6539999999999999</v>
      </c>
      <c r="AI18" s="605">
        <f t="shared" si="8"/>
        <v>31.645999999999997</v>
      </c>
      <c r="AJ18" s="999">
        <v>7.6879999999999997</v>
      </c>
      <c r="AK18" s="999">
        <v>8.3140000000000001</v>
      </c>
      <c r="AL18" s="999">
        <v>8.6449999999999996</v>
      </c>
      <c r="AM18" s="999">
        <v>7.3810000000000002</v>
      </c>
      <c r="AN18" s="745">
        <f t="shared" si="9"/>
        <v>32.027999999999999</v>
      </c>
      <c r="AO18" s="600">
        <v>9.1530000000000005</v>
      </c>
      <c r="AP18" s="600">
        <v>8.8789999999999996</v>
      </c>
      <c r="AQ18" s="600">
        <v>7.4909999999999997</v>
      </c>
      <c r="AR18" s="600">
        <v>9.6739999999999995</v>
      </c>
      <c r="AS18" s="745">
        <f>AR18+AQ18+AP18+AO18</f>
        <v>35.196999999999996</v>
      </c>
      <c r="AT18" s="999">
        <v>11.109</v>
      </c>
      <c r="AU18" s="600">
        <v>12.496</v>
      </c>
      <c r="AV18" s="600">
        <v>10.456</v>
      </c>
      <c r="AW18" s="600">
        <v>7.19</v>
      </c>
      <c r="AX18" s="745">
        <f>AW18+AV18+AU18+AT18</f>
        <v>41.251000000000005</v>
      </c>
      <c r="AY18" s="600">
        <f>AY17*AY19</f>
        <v>10.177160028629554</v>
      </c>
      <c r="AZ18" s="600">
        <f>AZ17*AZ19</f>
        <v>10.420637883755196</v>
      </c>
      <c r="BA18" s="600">
        <f>BA17*BA19</f>
        <v>10.696645788685428</v>
      </c>
      <c r="BB18" s="600">
        <f>BB17*BB19</f>
        <v>11.602129292657866</v>
      </c>
      <c r="BC18" s="745">
        <f>BB18+BA18+AZ18+AY18</f>
        <v>42.896572993728043</v>
      </c>
      <c r="BD18" s="600"/>
      <c r="BE18" s="600"/>
      <c r="BF18" s="600"/>
      <c r="BG18" s="600"/>
      <c r="BH18" s="745">
        <f>BH17*BH19</f>
        <v>48.720171849331471</v>
      </c>
      <c r="BI18" s="600"/>
      <c r="BJ18" s="600"/>
      <c r="BK18" s="600"/>
      <c r="BL18" s="600"/>
      <c r="BM18" s="745">
        <f>BM17*BM19</f>
        <v>55.604851122964433</v>
      </c>
      <c r="BN18" s="12"/>
      <c r="BO18" s="1000"/>
      <c r="BP18" s="12"/>
      <c r="BQ18" s="12"/>
      <c r="BR18" s="12"/>
    </row>
    <row r="19" spans="1:70" hidden="1" outlineLevel="1">
      <c r="A19" s="15"/>
      <c r="B19" s="1022" t="s">
        <v>526</v>
      </c>
      <c r="C19" s="610"/>
      <c r="D19" s="607"/>
      <c r="E19" s="607"/>
      <c r="F19" s="610"/>
      <c r="G19" s="610"/>
      <c r="H19" s="610"/>
      <c r="I19" s="610"/>
      <c r="J19" s="610"/>
      <c r="K19" s="610"/>
      <c r="L19" s="610"/>
      <c r="M19" s="610"/>
      <c r="N19" s="610"/>
      <c r="O19" s="610"/>
      <c r="P19" s="609"/>
      <c r="Q19" s="609"/>
      <c r="R19" s="609"/>
      <c r="S19" s="609"/>
      <c r="T19" s="610"/>
      <c r="U19" s="609"/>
      <c r="V19" s="609"/>
      <c r="W19" s="609"/>
      <c r="X19" s="609"/>
      <c r="Y19" s="610"/>
      <c r="Z19" s="616"/>
      <c r="AA19" s="616"/>
      <c r="AB19" s="616"/>
      <c r="AC19" s="616"/>
      <c r="AD19" s="605"/>
      <c r="AE19" s="616"/>
      <c r="AF19" s="616"/>
      <c r="AG19" s="616"/>
      <c r="AH19" s="616"/>
      <c r="AI19" s="605"/>
      <c r="AJ19" s="1032">
        <f t="shared" ref="AJ19:AS19" si="11">AJ18/AJ17</f>
        <v>0.41180566714874922</v>
      </c>
      <c r="AK19" s="1032">
        <f t="shared" si="11"/>
        <v>0.48588627198877921</v>
      </c>
      <c r="AL19" s="1032">
        <f t="shared" si="11"/>
        <v>0.33116261252633589</v>
      </c>
      <c r="AM19" s="1032">
        <f t="shared" si="11"/>
        <v>0.17623533063524469</v>
      </c>
      <c r="AN19" s="682">
        <f t="shared" si="11"/>
        <v>0.30865452723181369</v>
      </c>
      <c r="AO19" s="1023">
        <f t="shared" si="11"/>
        <v>0.24411905904944792</v>
      </c>
      <c r="AP19" s="1023">
        <f t="shared" si="11"/>
        <v>0.22504689004917117</v>
      </c>
      <c r="AQ19" s="1023">
        <f t="shared" si="11"/>
        <v>0.14945681992757598</v>
      </c>
      <c r="AR19" s="1023">
        <f t="shared" si="11"/>
        <v>0.18222230593908345</v>
      </c>
      <c r="AS19" s="682">
        <f t="shared" si="11"/>
        <v>0.19536685751713073</v>
      </c>
      <c r="AT19" s="1032">
        <v>0.19</v>
      </c>
      <c r="AU19" s="1032">
        <v>0.19</v>
      </c>
      <c r="AV19" s="1032">
        <f>AV18/AV17</f>
        <v>0.16479377137543538</v>
      </c>
      <c r="AW19" s="1032">
        <f>AW18/AW17</f>
        <v>0.10362619624120835</v>
      </c>
      <c r="AX19" s="682">
        <f>AX18/AX17</f>
        <v>0.19187671812714258</v>
      </c>
      <c r="AY19" s="1024">
        <v>0.17249999999999999</v>
      </c>
      <c r="AZ19" s="1024">
        <v>0.16750000000000001</v>
      </c>
      <c r="BA19" s="1024">
        <v>0.16250000000000001</v>
      </c>
      <c r="BB19" s="1024">
        <v>0.159</v>
      </c>
      <c r="BC19" s="682">
        <f>BC18/BC17</f>
        <v>0.1667967261904762</v>
      </c>
      <c r="BD19" s="1024"/>
      <c r="BE19" s="1024"/>
      <c r="BF19" s="1024"/>
      <c r="BG19" s="1024"/>
      <c r="BH19" s="1031">
        <v>0.155</v>
      </c>
      <c r="BI19" s="1024"/>
      <c r="BJ19" s="1024"/>
      <c r="BK19" s="1024"/>
      <c r="BL19" s="1024"/>
      <c r="BM19" s="1031">
        <v>0.14499999999999999</v>
      </c>
      <c r="BN19" s="12"/>
      <c r="BO19" s="12"/>
      <c r="BP19" s="12"/>
      <c r="BQ19" s="12"/>
      <c r="BR19" s="12"/>
    </row>
    <row r="20" spans="1:70" collapsed="1">
      <c r="A20" s="15"/>
      <c r="B20" s="365" t="s">
        <v>437</v>
      </c>
      <c r="C20" s="610"/>
      <c r="D20" s="607"/>
      <c r="E20" s="607"/>
      <c r="F20" s="610"/>
      <c r="G20" s="610"/>
      <c r="H20" s="610"/>
      <c r="I20" s="610"/>
      <c r="J20" s="610"/>
      <c r="K20" s="610"/>
      <c r="L20" s="610"/>
      <c r="M20" s="610"/>
      <c r="N20" s="610"/>
      <c r="O20" s="610"/>
      <c r="P20" s="609"/>
      <c r="Q20" s="609"/>
      <c r="R20" s="609"/>
      <c r="S20" s="609"/>
      <c r="T20" s="610"/>
      <c r="U20" s="609"/>
      <c r="V20" s="609"/>
      <c r="W20" s="609"/>
      <c r="X20" s="609"/>
      <c r="Y20" s="610"/>
      <c r="Z20" s="604">
        <f>IF(Z17+Z18&lt;0,-(Z18+Z17),0)</f>
        <v>24.730000000000004</v>
      </c>
      <c r="AA20" s="604">
        <f>IF(AA17+AA18&lt;0,-(AA18+AA17),0)</f>
        <v>11.161999999999999</v>
      </c>
      <c r="AB20" s="604">
        <f>IF(AB17+AB18&lt;0,-(AB18+AB17),0)</f>
        <v>6.1820000000000004</v>
      </c>
      <c r="AC20" s="604">
        <f>IF(AC17+AC18&lt;0,-(AC18+AC17),0)</f>
        <v>0</v>
      </c>
      <c r="AD20" s="605">
        <f>SUM(Z20:AC20)</f>
        <v>42.074000000000005</v>
      </c>
      <c r="AE20" s="623">
        <f>IF(AE17+AE18&lt;0,-(AE18+AE17),0)</f>
        <v>0</v>
      </c>
      <c r="AF20" s="616">
        <v>0</v>
      </c>
      <c r="AG20" s="616">
        <v>0</v>
      </c>
      <c r="AH20" s="616">
        <f>IF(AH17+AH18&lt;0,-(AH18+AH17),0)</f>
        <v>0</v>
      </c>
      <c r="AI20" s="605">
        <f t="shared" si="8"/>
        <v>0</v>
      </c>
      <c r="AJ20" s="999">
        <v>0</v>
      </c>
      <c r="AK20" s="999">
        <v>0</v>
      </c>
      <c r="AL20" s="999">
        <v>0</v>
      </c>
      <c r="AM20" s="999">
        <v>0</v>
      </c>
      <c r="AN20" s="745">
        <f t="shared" si="9"/>
        <v>0</v>
      </c>
      <c r="AO20" s="600">
        <v>0</v>
      </c>
      <c r="AP20" s="600">
        <v>0</v>
      </c>
      <c r="AQ20" s="600">
        <v>0</v>
      </c>
      <c r="AR20" s="600">
        <v>0</v>
      </c>
      <c r="AS20" s="1076">
        <f>AR20+AQ20+AP20+AO20</f>
        <v>0</v>
      </c>
      <c r="AT20" s="999">
        <v>0</v>
      </c>
      <c r="AU20" s="999">
        <v>0</v>
      </c>
      <c r="AV20" s="999">
        <v>1.677</v>
      </c>
      <c r="AW20" s="999">
        <v>0</v>
      </c>
      <c r="AX20" s="745">
        <f>AW20+AV20+AU20+AT20</f>
        <v>1.677</v>
      </c>
      <c r="AY20" s="999">
        <v>0</v>
      </c>
      <c r="AZ20" s="999">
        <v>0</v>
      </c>
      <c r="BA20" s="999">
        <v>0</v>
      </c>
      <c r="BB20" s="999">
        <v>0</v>
      </c>
      <c r="BC20" s="745">
        <f>BB20+BA20+AZ20+AY20</f>
        <v>0</v>
      </c>
      <c r="BD20" s="999"/>
      <c r="BE20" s="999"/>
      <c r="BF20" s="999"/>
      <c r="BG20" s="999"/>
      <c r="BH20" s="1076">
        <v>0</v>
      </c>
      <c r="BI20" s="999"/>
      <c r="BJ20" s="999"/>
      <c r="BK20" s="999"/>
      <c r="BL20" s="999"/>
      <c r="BM20" s="1076">
        <v>0</v>
      </c>
      <c r="BN20" s="12"/>
      <c r="BO20" s="12"/>
      <c r="BP20" s="12"/>
      <c r="BQ20" s="12"/>
      <c r="BR20" s="12"/>
    </row>
    <row r="21" spans="1:70">
      <c r="A21" s="15"/>
      <c r="B21" s="365" t="s">
        <v>442</v>
      </c>
      <c r="C21" s="610"/>
      <c r="D21" s="607"/>
      <c r="E21" s="607"/>
      <c r="F21" s="610"/>
      <c r="G21" s="610"/>
      <c r="H21" s="610"/>
      <c r="I21" s="610"/>
      <c r="J21" s="610"/>
      <c r="K21" s="610"/>
      <c r="L21" s="610"/>
      <c r="M21" s="610"/>
      <c r="N21" s="610"/>
      <c r="O21" s="610"/>
      <c r="P21" s="609"/>
      <c r="Q21" s="609"/>
      <c r="R21" s="609"/>
      <c r="S21" s="609"/>
      <c r="T21" s="610"/>
      <c r="U21" s="609"/>
      <c r="V21" s="609"/>
      <c r="W21" s="609"/>
      <c r="X21" s="609"/>
      <c r="Y21" s="610"/>
      <c r="Z21" s="604"/>
      <c r="AA21" s="604"/>
      <c r="AB21" s="604"/>
      <c r="AC21" s="604"/>
      <c r="AD21" s="605"/>
      <c r="AE21" s="623"/>
      <c r="AF21" s="616">
        <v>2.3109999999999999</v>
      </c>
      <c r="AG21" s="616">
        <v>0</v>
      </c>
      <c r="AH21" s="616">
        <v>-0.623</v>
      </c>
      <c r="AI21" s="605">
        <f t="shared" si="8"/>
        <v>1.6879999999999999</v>
      </c>
      <c r="AJ21" s="999">
        <v>-1.22</v>
      </c>
      <c r="AK21" s="999">
        <v>-1.1499999999999999</v>
      </c>
      <c r="AL21" s="999">
        <v>0</v>
      </c>
      <c r="AM21" s="999">
        <v>0</v>
      </c>
      <c r="AN21" s="745">
        <f t="shared" si="9"/>
        <v>-2.37</v>
      </c>
      <c r="AO21" s="600">
        <v>0</v>
      </c>
      <c r="AP21" s="600">
        <v>0</v>
      </c>
      <c r="AQ21" s="600">
        <v>2.37</v>
      </c>
      <c r="AR21" s="600">
        <v>0</v>
      </c>
      <c r="AS21" s="1076">
        <f>AR21+AQ21+AP21+AO21</f>
        <v>2.37</v>
      </c>
      <c r="AT21" s="999">
        <v>0</v>
      </c>
      <c r="AU21" s="999">
        <v>0</v>
      </c>
      <c r="AV21" s="999">
        <v>0</v>
      </c>
      <c r="AW21" s="999">
        <v>0</v>
      </c>
      <c r="AX21" s="745">
        <f>AW21+AV21+AU21+AT21</f>
        <v>0</v>
      </c>
      <c r="AY21" s="999">
        <v>0</v>
      </c>
      <c r="AZ21" s="999">
        <v>0</v>
      </c>
      <c r="BA21" s="999">
        <v>0</v>
      </c>
      <c r="BB21" s="999">
        <v>0</v>
      </c>
      <c r="BC21" s="745">
        <f>BB21+BA21+AZ21+AY21</f>
        <v>0</v>
      </c>
      <c r="BD21" s="999"/>
      <c r="BE21" s="999"/>
      <c r="BF21" s="999"/>
      <c r="BG21" s="999"/>
      <c r="BH21" s="1076">
        <v>0</v>
      </c>
      <c r="BI21" s="999"/>
      <c r="BJ21" s="999"/>
      <c r="BK21" s="999"/>
      <c r="BL21" s="999"/>
      <c r="BM21" s="1076">
        <v>0</v>
      </c>
      <c r="BN21" s="12"/>
      <c r="BO21" s="1000"/>
      <c r="BP21" s="12"/>
      <c r="BQ21" s="12"/>
      <c r="BR21" s="12"/>
    </row>
    <row r="22" spans="1:70">
      <c r="A22" s="15"/>
      <c r="B22" s="629" t="s">
        <v>355</v>
      </c>
      <c r="C22" s="610"/>
      <c r="D22" s="607"/>
      <c r="E22" s="607"/>
      <c r="F22" s="603"/>
      <c r="G22" s="603"/>
      <c r="H22" s="603"/>
      <c r="I22" s="603"/>
      <c r="J22" s="610"/>
      <c r="K22" s="603"/>
      <c r="L22" s="603"/>
      <c r="M22" s="603"/>
      <c r="N22" s="603"/>
      <c r="O22" s="602"/>
      <c r="P22" s="601"/>
      <c r="Q22" s="601"/>
      <c r="R22" s="601"/>
      <c r="S22" s="601"/>
      <c r="T22" s="602"/>
      <c r="U22" s="617">
        <v>0</v>
      </c>
      <c r="V22" s="617">
        <v>0</v>
      </c>
      <c r="W22" s="617">
        <v>0</v>
      </c>
      <c r="X22" s="617">
        <v>0</v>
      </c>
      <c r="Y22" s="610">
        <f>SUM(U22:X22)</f>
        <v>0</v>
      </c>
      <c r="Z22" s="606">
        <f>Z20+Z18+Z17</f>
        <v>0</v>
      </c>
      <c r="AA22" s="606">
        <f>AA20+AA18+AA17</f>
        <v>0</v>
      </c>
      <c r="AB22" s="606">
        <f>AB20+AB18+AB17</f>
        <v>0</v>
      </c>
      <c r="AC22" s="606">
        <f>AC20+AC18+AC17</f>
        <v>2.9139999999999997</v>
      </c>
      <c r="AD22" s="603">
        <f>SUM(Z22:AC22)</f>
        <v>2.9139999999999997</v>
      </c>
      <c r="AE22" s="623">
        <f>AE20+AE18+AE17</f>
        <v>8.4469999999999992</v>
      </c>
      <c r="AF22" s="623">
        <f>AF20+AF18+AF17+AF21</f>
        <v>1.7779999999999978</v>
      </c>
      <c r="AG22" s="623">
        <f>AG20+AG18+AG17</f>
        <v>13.51</v>
      </c>
      <c r="AH22" s="623">
        <f>AH20+AH18+AH17+AH21</f>
        <v>23.881999999999998</v>
      </c>
      <c r="AI22" s="603">
        <f t="shared" si="8"/>
        <v>47.616999999999997</v>
      </c>
      <c r="AJ22" s="600">
        <f>AJ20+AJ18+AJ17+AJ21</f>
        <v>25.137</v>
      </c>
      <c r="AK22" s="600">
        <f>AK20+AK18+AK17+AK21</f>
        <v>24.274999999999999</v>
      </c>
      <c r="AL22" s="600">
        <f>AL20+AL18+AL17+AL21</f>
        <v>34.75</v>
      </c>
      <c r="AM22" s="600">
        <f>AM20+AM18+AM17+AM21</f>
        <v>49.262500000000003</v>
      </c>
      <c r="AN22" s="745">
        <f t="shared" si="9"/>
        <v>133.42450000000002</v>
      </c>
      <c r="AO22" s="600">
        <f>AO20+AO18+AO17+AO21</f>
        <v>46.646999999999998</v>
      </c>
      <c r="AP22" s="600">
        <f>AP20+AP18+AP17+AP21</f>
        <v>48.332999999999998</v>
      </c>
      <c r="AQ22" s="600">
        <f>AQ20+AQ18+AQ17+AQ21</f>
        <v>59.982499999999995</v>
      </c>
      <c r="AR22" s="600">
        <f>AR20+AR18+AR17+AR21</f>
        <v>62.762999999999991</v>
      </c>
      <c r="AS22" s="745">
        <f>AR22+AQ22+AP22+AO22</f>
        <v>217.72549999999998</v>
      </c>
      <c r="AT22" s="999">
        <f>AT20+AT18+AT17+AT21</f>
        <v>49.452000000000005</v>
      </c>
      <c r="AU22" s="600">
        <f>AU20+AU18+AU17+AU21</f>
        <v>56.307000000000002</v>
      </c>
      <c r="AV22" s="600">
        <f>AV20+AV18+AV17+AV21</f>
        <v>75.581999999999994</v>
      </c>
      <c r="AW22" s="600">
        <f>AW20+AW18+AW17+AW21</f>
        <v>76.573999999999998</v>
      </c>
      <c r="AX22" s="745">
        <f>AW22+AV22+AU22+AT22</f>
        <v>257.91500000000002</v>
      </c>
      <c r="AY22" s="600">
        <f>AY20+AY18+AY17+AY21</f>
        <v>69.175189180105235</v>
      </c>
      <c r="AZ22" s="600">
        <f>AZ20+AZ18+AZ17+AZ21</f>
        <v>72.633401368860845</v>
      </c>
      <c r="BA22" s="600">
        <f>BA20+BA18+BA17+BA21</f>
        <v>76.522158334441912</v>
      </c>
      <c r="BB22" s="600">
        <f>BB20+BB18+BB17+BB21</f>
        <v>84.571495913147587</v>
      </c>
      <c r="BC22" s="745">
        <f>BC20+BC18+BC17+BC21</f>
        <v>300.07531968412542</v>
      </c>
      <c r="BD22" s="600"/>
      <c r="BE22" s="600"/>
      <c r="BF22" s="600"/>
      <c r="BG22" s="600"/>
      <c r="BH22" s="745">
        <f>BH20+BH18+BH17+BH21</f>
        <v>363.04386119985708</v>
      </c>
      <c r="BI22" s="600"/>
      <c r="BJ22" s="600"/>
      <c r="BK22" s="600"/>
      <c r="BL22" s="600"/>
      <c r="BM22" s="745">
        <f>BM20+BM18+BM17+BM21</f>
        <v>439.08658300547779</v>
      </c>
      <c r="BN22" s="12"/>
      <c r="BO22" s="1000"/>
      <c r="BP22" s="12"/>
      <c r="BQ22" s="12"/>
      <c r="BR22" s="12"/>
    </row>
    <row r="23" spans="1:70" hidden="1" outlineLevel="1">
      <c r="A23" s="15"/>
      <c r="B23" s="1044" t="s">
        <v>231</v>
      </c>
      <c r="C23" s="610"/>
      <c r="D23" s="607"/>
      <c r="E23" s="607"/>
      <c r="F23" s="603"/>
      <c r="G23" s="603"/>
      <c r="H23" s="603"/>
      <c r="I23" s="603"/>
      <c r="J23" s="610"/>
      <c r="K23" s="603"/>
      <c r="L23" s="603"/>
      <c r="M23" s="603"/>
      <c r="N23" s="603"/>
      <c r="O23" s="602"/>
      <c r="P23" s="601"/>
      <c r="Q23" s="601"/>
      <c r="R23" s="601"/>
      <c r="S23" s="601"/>
      <c r="T23" s="602"/>
      <c r="U23" s="617">
        <v>0</v>
      </c>
      <c r="V23" s="617">
        <v>0</v>
      </c>
      <c r="W23" s="617">
        <v>0</v>
      </c>
      <c r="X23" s="617">
        <v>0</v>
      </c>
      <c r="Y23" s="610">
        <f>SUM(U23:X23)</f>
        <v>0</v>
      </c>
      <c r="Z23" s="617">
        <v>0</v>
      </c>
      <c r="AA23" s="617">
        <v>0</v>
      </c>
      <c r="AB23" s="617">
        <v>0</v>
      </c>
      <c r="AC23" s="617">
        <v>0.1</v>
      </c>
      <c r="AD23" s="603">
        <f>SUM(Z23:AC23)</f>
        <v>0.1</v>
      </c>
      <c r="AE23" s="616">
        <v>0.1</v>
      </c>
      <c r="AF23" s="623">
        <f>AE7*0.2</f>
        <v>9.0909090909090925E-2</v>
      </c>
      <c r="AG23" s="623">
        <f>AF7*0.2</f>
        <v>0.4</v>
      </c>
      <c r="AH23" s="623">
        <f>AG7*0.2</f>
        <v>0.70000000000000007</v>
      </c>
      <c r="AI23" s="603">
        <f t="shared" si="8"/>
        <v>1.290909090909091</v>
      </c>
      <c r="AJ23" s="600">
        <v>0.10100000000000001</v>
      </c>
      <c r="AK23" s="600">
        <v>0.11600000000000001</v>
      </c>
      <c r="AL23" s="600">
        <f>0.143</f>
        <v>0.14299999999999999</v>
      </c>
      <c r="AM23" s="600">
        <f>0.54-AL23-AK23-AJ23</f>
        <v>0.18000000000000002</v>
      </c>
      <c r="AN23" s="745">
        <f t="shared" si="9"/>
        <v>0.54</v>
      </c>
      <c r="AO23" s="600">
        <f>0.08+0.003</f>
        <v>8.3000000000000004E-2</v>
      </c>
      <c r="AP23" s="600">
        <f>0.11</f>
        <v>0.11</v>
      </c>
      <c r="AQ23" s="600">
        <f>0.11</f>
        <v>0.11</v>
      </c>
      <c r="AR23" s="1018"/>
      <c r="AS23" s="1063"/>
      <c r="AT23" s="600"/>
      <c r="AU23" s="600">
        <v>8</v>
      </c>
      <c r="AV23" s="600">
        <v>9.5</v>
      </c>
      <c r="AW23" s="600">
        <v>14.2</v>
      </c>
      <c r="AX23" s="1018"/>
      <c r="AY23" s="600">
        <v>8</v>
      </c>
      <c r="AZ23" s="600">
        <v>8</v>
      </c>
      <c r="BA23" s="600">
        <v>8.1</v>
      </c>
      <c r="BB23" s="600">
        <v>8.1</v>
      </c>
      <c r="BC23" s="1018">
        <f>Linaclotide!N154</f>
        <v>35.380130318291577</v>
      </c>
      <c r="BD23" s="600"/>
      <c r="BE23" s="600"/>
      <c r="BF23" s="600"/>
      <c r="BG23" s="600"/>
      <c r="BH23" s="1018">
        <f>Linaclotide!O154</f>
        <v>37.560636217385721</v>
      </c>
      <c r="BI23" s="600"/>
      <c r="BJ23" s="600"/>
      <c r="BK23" s="600"/>
      <c r="BL23" s="600"/>
      <c r="BM23" s="1018">
        <f>Linaclotide!P154</f>
        <v>41.176981677844154</v>
      </c>
      <c r="BN23" s="12"/>
      <c r="BO23" s="1000"/>
      <c r="BP23" s="12"/>
      <c r="BQ23" s="12"/>
      <c r="BR23" s="12"/>
    </row>
    <row r="24" spans="1:70" hidden="1" outlineLevel="1">
      <c r="A24" s="15"/>
      <c r="B24" s="1044" t="s">
        <v>529</v>
      </c>
      <c r="C24" s="610"/>
      <c r="D24" s="607"/>
      <c r="E24" s="607"/>
      <c r="F24" s="603"/>
      <c r="G24" s="603"/>
      <c r="H24" s="603"/>
      <c r="I24" s="603"/>
      <c r="J24" s="610"/>
      <c r="K24" s="603"/>
      <c r="L24" s="603"/>
      <c r="M24" s="603"/>
      <c r="N24" s="603"/>
      <c r="O24" s="602"/>
      <c r="P24" s="601"/>
      <c r="Q24" s="601"/>
      <c r="R24" s="601"/>
      <c r="S24" s="601"/>
      <c r="T24" s="602"/>
      <c r="U24" s="617">
        <v>0</v>
      </c>
      <c r="V24" s="617">
        <v>0</v>
      </c>
      <c r="W24" s="617">
        <v>0</v>
      </c>
      <c r="X24" s="617">
        <v>0</v>
      </c>
      <c r="Y24" s="610">
        <f>SUM(U24:X24)</f>
        <v>0</v>
      </c>
      <c r="Z24" s="617">
        <v>0</v>
      </c>
      <c r="AA24" s="617">
        <v>0</v>
      </c>
      <c r="AB24" s="617">
        <v>0</v>
      </c>
      <c r="AC24" s="617">
        <v>0</v>
      </c>
      <c r="AD24" s="603">
        <f>SUM(Z24:AC24)</f>
        <v>0</v>
      </c>
      <c r="AE24" s="617">
        <v>0</v>
      </c>
      <c r="AF24" s="617">
        <v>0</v>
      </c>
      <c r="AG24" s="617">
        <v>0</v>
      </c>
      <c r="AH24" s="617">
        <v>0</v>
      </c>
      <c r="AI24" s="603">
        <f t="shared" si="8"/>
        <v>0</v>
      </c>
      <c r="AJ24" s="600">
        <f>1.23+2.276</f>
        <v>3.5059999999999998</v>
      </c>
      <c r="AK24" s="600">
        <f>0.466+1.805</f>
        <v>2.2709999999999999</v>
      </c>
      <c r="AL24" s="600">
        <f>0.474+1.806</f>
        <v>2.2800000000000002</v>
      </c>
      <c r="AM24" s="600">
        <f>2.37+7.696-AL24-AK24-AJ24</f>
        <v>2.008999999999999</v>
      </c>
      <c r="AN24" s="745">
        <f t="shared" si="9"/>
        <v>10.065999999999997</v>
      </c>
      <c r="AO24" s="600">
        <f>0.13+14.68</f>
        <v>14.81</v>
      </c>
      <c r="AP24" s="600">
        <f>0.164+2.334</f>
        <v>2.4980000000000002</v>
      </c>
      <c r="AQ24" s="600">
        <f>0.077+4.446</f>
        <v>4.5229999999999997</v>
      </c>
      <c r="AR24" s="1018"/>
      <c r="AS24" s="1063"/>
      <c r="AT24" s="600"/>
      <c r="AU24" s="600"/>
      <c r="AV24" s="600"/>
      <c r="AW24" s="600"/>
      <c r="AX24" s="1018"/>
      <c r="AY24" s="600">
        <f>$BC$24*0.25</f>
        <v>1.4131227991869537</v>
      </c>
      <c r="AZ24" s="600">
        <f>$BC$24*0.25</f>
        <v>1.4131227991869537</v>
      </c>
      <c r="BA24" s="600">
        <f>$BC$24*0.25</f>
        <v>1.4131227991869537</v>
      </c>
      <c r="BB24" s="600">
        <f>$BC$24*0.25</f>
        <v>1.4131227991869537</v>
      </c>
      <c r="BC24" s="1018">
        <f>Linaclotide!N163</f>
        <v>5.6524911967478149</v>
      </c>
      <c r="BD24" s="600"/>
      <c r="BE24" s="600"/>
      <c r="BF24" s="600"/>
      <c r="BG24" s="600"/>
      <c r="BH24" s="1018">
        <f>Linaclotide!O163</f>
        <v>6.5596757419609588</v>
      </c>
      <c r="BI24" s="600"/>
      <c r="BJ24" s="600"/>
      <c r="BK24" s="600"/>
      <c r="BL24" s="600"/>
      <c r="BM24" s="1018">
        <f>Linaclotide!P163</f>
        <v>5.1165667730707733</v>
      </c>
      <c r="BN24" s="12"/>
      <c r="BO24" s="12"/>
      <c r="BP24" s="12"/>
      <c r="BQ24" s="12"/>
      <c r="BR24" s="12"/>
    </row>
    <row r="25" spans="1:70" hidden="1" outlineLevel="1">
      <c r="A25" s="15"/>
      <c r="B25" s="1044" t="s">
        <v>530</v>
      </c>
      <c r="C25" s="610"/>
      <c r="D25" s="599"/>
      <c r="E25" s="599">
        <v>18.382999999999999</v>
      </c>
      <c r="F25" s="598">
        <v>4.45</v>
      </c>
      <c r="G25" s="597">
        <v>6.21</v>
      </c>
      <c r="H25" s="597">
        <v>15.257</v>
      </c>
      <c r="I25" s="597">
        <f>J25-SUM(F25:H25)</f>
        <v>8.4039999999999964</v>
      </c>
      <c r="J25" s="596">
        <v>34.320999999999998</v>
      </c>
      <c r="K25" s="597">
        <v>8.8379999999999992</v>
      </c>
      <c r="L25" s="597">
        <v>9.1880000000000006</v>
      </c>
      <c r="M25" s="597">
        <v>9.0589999999999993</v>
      </c>
      <c r="N25" s="597">
        <v>16.771999999999998</v>
      </c>
      <c r="O25" s="596">
        <f>SUM(K25:N25)</f>
        <v>43.856999999999999</v>
      </c>
      <c r="P25" s="595">
        <v>10.237</v>
      </c>
      <c r="Q25" s="595">
        <f>11.262</f>
        <v>11.262</v>
      </c>
      <c r="R25" s="595">
        <v>12.218</v>
      </c>
      <c r="S25" s="595">
        <f>32.154</f>
        <v>32.154000000000003</v>
      </c>
      <c r="T25" s="596">
        <f>SUM(P25:S25)</f>
        <v>65.871000000000009</v>
      </c>
      <c r="U25" s="595">
        <v>12.247999999999999</v>
      </c>
      <c r="V25" s="595">
        <v>14.603999999999999</v>
      </c>
      <c r="W25" s="595">
        <v>96.412999999999997</v>
      </c>
      <c r="X25" s="595">
        <v>26.98</v>
      </c>
      <c r="Y25" s="603">
        <f>SUM(U25:X25)</f>
        <v>150.24499999999998</v>
      </c>
      <c r="Z25" s="595">
        <v>3.2549999999999999</v>
      </c>
      <c r="AA25" s="595">
        <v>9.6630000000000003</v>
      </c>
      <c r="AB25" s="595">
        <f>3.432+1.5</f>
        <v>4.9320000000000004</v>
      </c>
      <c r="AC25" s="595">
        <f>5.031-AC23-AC22-AC24</f>
        <v>2.0170000000000003</v>
      </c>
      <c r="AD25" s="603">
        <f>SUM(Z25:AC25)</f>
        <v>19.867000000000001</v>
      </c>
      <c r="AE25" s="616">
        <f>14.605-AE23-AE22-AE24</f>
        <v>6.0580000000000016</v>
      </c>
      <c r="AF25" s="616">
        <f>6.84-AF24-AF23-AF22</f>
        <v>4.9710909090909112</v>
      </c>
      <c r="AG25" s="616">
        <f>16.918-AG24-AG23-AG22</f>
        <v>3.0080000000000009</v>
      </c>
      <c r="AH25" s="616">
        <f>38.073-AH24-AH23-AH22</f>
        <v>13.491</v>
      </c>
      <c r="AI25" s="603">
        <f t="shared" si="8"/>
        <v>27.528090909090913</v>
      </c>
      <c r="AJ25" s="600">
        <v>0.188</v>
      </c>
      <c r="AK25" s="600">
        <f>0.976+0.106</f>
        <v>1.0820000000000001</v>
      </c>
      <c r="AL25" s="600">
        <f>2.066+0.333</f>
        <v>2.399</v>
      </c>
      <c r="AM25" s="600">
        <f>4.437+0.177+0.91-AL25-AK25-AJ25</f>
        <v>1.8550000000000002</v>
      </c>
      <c r="AN25" s="745">
        <f t="shared" si="9"/>
        <v>5.524</v>
      </c>
      <c r="AO25" s="600">
        <f>0.309+3.017+0.719+0.457</f>
        <v>4.5019999999999998</v>
      </c>
      <c r="AP25" s="600">
        <f>1.159+0.547+0.238+1.465</f>
        <v>3.4089999999999998</v>
      </c>
      <c r="AQ25" s="600">
        <f>0.764+0.424+0.302</f>
        <v>1.49</v>
      </c>
      <c r="AR25" s="1018"/>
      <c r="AS25" s="1063"/>
      <c r="AT25" s="999"/>
      <c r="AU25" s="999">
        <v>0.3</v>
      </c>
      <c r="AV25" s="999">
        <f>AV26-AV23</f>
        <v>0.80000000000000071</v>
      </c>
      <c r="AW25" s="999">
        <f>AW29-AW27-AW23-AW22</f>
        <v>1.8340000000000032</v>
      </c>
      <c r="AX25" s="1018"/>
      <c r="AY25" s="999">
        <f>$BC$25*0.25</f>
        <v>0.75</v>
      </c>
      <c r="AZ25" s="999">
        <f>$BC$25*0.25</f>
        <v>0.75</v>
      </c>
      <c r="BA25" s="999">
        <f>$BC$25*0.25</f>
        <v>0.75</v>
      </c>
      <c r="BB25" s="999">
        <f>$BC$25*0.25</f>
        <v>0.75</v>
      </c>
      <c r="BC25" s="1018">
        <f>BC231</f>
        <v>3</v>
      </c>
      <c r="BD25" s="999"/>
      <c r="BE25" s="999"/>
      <c r="BF25" s="999"/>
      <c r="BG25" s="999"/>
      <c r="BH25" s="1018">
        <f>BH231</f>
        <v>2.75</v>
      </c>
      <c r="BI25" s="999"/>
      <c r="BJ25" s="999"/>
      <c r="BK25" s="999"/>
      <c r="BL25" s="999"/>
      <c r="BM25" s="1018">
        <f>BM231</f>
        <v>0</v>
      </c>
      <c r="BN25" s="12"/>
      <c r="BO25" s="12"/>
      <c r="BP25" s="12"/>
      <c r="BQ25" s="12"/>
      <c r="BR25" s="12"/>
    </row>
    <row r="26" spans="1:70" collapsed="1">
      <c r="A26" s="15"/>
      <c r="B26" s="629" t="s">
        <v>531</v>
      </c>
      <c r="C26" s="610"/>
      <c r="D26" s="599"/>
      <c r="E26" s="599"/>
      <c r="F26" s="598"/>
      <c r="G26" s="597"/>
      <c r="H26" s="597"/>
      <c r="I26" s="597"/>
      <c r="J26" s="596"/>
      <c r="K26" s="597"/>
      <c r="L26" s="597"/>
      <c r="M26" s="597"/>
      <c r="N26" s="597"/>
      <c r="O26" s="596"/>
      <c r="P26" s="595"/>
      <c r="Q26" s="595"/>
      <c r="R26" s="595"/>
      <c r="S26" s="595"/>
      <c r="T26" s="596"/>
      <c r="U26" s="595"/>
      <c r="V26" s="595"/>
      <c r="W26" s="595"/>
      <c r="X26" s="595"/>
      <c r="Y26" s="603"/>
      <c r="Z26" s="595"/>
      <c r="AA26" s="595"/>
      <c r="AB26" s="595"/>
      <c r="AC26" s="595"/>
      <c r="AD26" s="603"/>
      <c r="AE26" s="616"/>
      <c r="AF26" s="616"/>
      <c r="AG26" s="616"/>
      <c r="AH26" s="616"/>
      <c r="AI26" s="603"/>
      <c r="AJ26" s="600">
        <f t="shared" ref="AJ26" si="12">AJ23+AJ24+AJ25</f>
        <v>3.7949999999999999</v>
      </c>
      <c r="AK26" s="600">
        <f t="shared" ref="AK26" si="13">AK23+AK24+AK25</f>
        <v>3.4690000000000003</v>
      </c>
      <c r="AL26" s="600">
        <f t="shared" ref="AL26" si="14">AL23+AL24+AL25</f>
        <v>4.8220000000000001</v>
      </c>
      <c r="AM26" s="600">
        <f t="shared" ref="AM26" si="15">AM23+AM24+AM25</f>
        <v>4.0439999999999996</v>
      </c>
      <c r="AN26" s="745">
        <f>AN23+AN24+AN25</f>
        <v>16.13</v>
      </c>
      <c r="AO26" s="600">
        <f t="shared" ref="AO26:AQ26" si="16">AO23+AO24+AO25</f>
        <v>19.395</v>
      </c>
      <c r="AP26" s="600">
        <f t="shared" si="16"/>
        <v>6.0169999999999995</v>
      </c>
      <c r="AQ26" s="600">
        <f t="shared" si="16"/>
        <v>6.1230000000000002</v>
      </c>
      <c r="AR26" s="600">
        <f>AR29-AR22</f>
        <v>24.696000000000012</v>
      </c>
      <c r="AS26" s="745">
        <f>AS29-AS27-AS22</f>
        <v>56.131499999999988</v>
      </c>
      <c r="AT26" s="600">
        <f>AT29-AT27-AT22</f>
        <v>2.4139999999999944</v>
      </c>
      <c r="AU26" s="600">
        <f>AU29-AU27-AU22</f>
        <v>8.269999999999996</v>
      </c>
      <c r="AV26" s="600">
        <v>10.3</v>
      </c>
      <c r="AW26" s="600">
        <f>AW25+AW23+AW24</f>
        <v>16.034000000000002</v>
      </c>
      <c r="AX26" s="745">
        <f>AW26+AV26+AU26+AT26</f>
        <v>37.017999999999994</v>
      </c>
      <c r="AY26" s="600">
        <f>AY23+AY24+AY25</f>
        <v>10.163122799186954</v>
      </c>
      <c r="AZ26" s="600">
        <f>AZ23+AZ24+AZ25</f>
        <v>10.163122799186954</v>
      </c>
      <c r="BA26" s="600">
        <f>BA23+BA24+BA25</f>
        <v>10.263122799186954</v>
      </c>
      <c r="BB26" s="600">
        <f>BB23+BB24+BB25</f>
        <v>10.263122799186954</v>
      </c>
      <c r="BC26" s="745">
        <f>BC23+BC24+BC25</f>
        <v>44.032621515039395</v>
      </c>
      <c r="BD26" s="600"/>
      <c r="BE26" s="600"/>
      <c r="BF26" s="600"/>
      <c r="BG26" s="600"/>
      <c r="BH26" s="745">
        <f>BH23+BH24+BH25</f>
        <v>46.870311959346679</v>
      </c>
      <c r="BI26" s="600"/>
      <c r="BJ26" s="600"/>
      <c r="BK26" s="600"/>
      <c r="BL26" s="600"/>
      <c r="BM26" s="745">
        <f>BM23+BM24+BM25</f>
        <v>46.293548450914926</v>
      </c>
      <c r="BN26" s="12"/>
      <c r="BO26" s="12"/>
      <c r="BP26" s="12"/>
      <c r="BQ26" s="12"/>
      <c r="BR26" s="12"/>
    </row>
    <row r="27" spans="1:70">
      <c r="A27" s="15"/>
      <c r="B27" s="629" t="s">
        <v>532</v>
      </c>
      <c r="C27" s="610"/>
      <c r="D27" s="599"/>
      <c r="E27" s="599"/>
      <c r="F27" s="598"/>
      <c r="G27" s="597"/>
      <c r="H27" s="597"/>
      <c r="I27" s="597"/>
      <c r="J27" s="596"/>
      <c r="K27" s="597"/>
      <c r="L27" s="597"/>
      <c r="M27" s="597"/>
      <c r="N27" s="597"/>
      <c r="O27" s="596"/>
      <c r="P27" s="595"/>
      <c r="Q27" s="595"/>
      <c r="R27" s="595"/>
      <c r="S27" s="595"/>
      <c r="T27" s="596"/>
      <c r="U27" s="595"/>
      <c r="V27" s="595"/>
      <c r="W27" s="595"/>
      <c r="X27" s="595"/>
      <c r="Y27" s="603"/>
      <c r="Z27" s="595"/>
      <c r="AA27" s="595"/>
      <c r="AB27" s="595"/>
      <c r="AC27" s="595"/>
      <c r="AD27" s="603"/>
      <c r="AE27" s="616"/>
      <c r="AF27" s="616"/>
      <c r="AG27" s="616"/>
      <c r="AH27" s="616"/>
      <c r="AI27" s="603"/>
      <c r="AJ27" s="1021"/>
      <c r="AK27" s="600"/>
      <c r="AL27" s="999"/>
      <c r="AM27" s="999"/>
      <c r="AN27" s="745"/>
      <c r="AO27" s="600">
        <v>0</v>
      </c>
      <c r="AP27" s="600">
        <v>0</v>
      </c>
      <c r="AQ27" s="600">
        <v>0</v>
      </c>
      <c r="AR27" s="600">
        <v>0.1</v>
      </c>
      <c r="AS27" s="745">
        <f>AR27+AQ27+AP27+AO27</f>
        <v>0.1</v>
      </c>
      <c r="AT27" s="600">
        <v>0.3</v>
      </c>
      <c r="AU27" s="600">
        <v>0.5</v>
      </c>
      <c r="AV27" s="600">
        <v>0.7</v>
      </c>
      <c r="AW27" s="600">
        <v>1.6</v>
      </c>
      <c r="AX27" s="745">
        <f>AW27+AV27+AU27+AT27</f>
        <v>3.0999999999999996</v>
      </c>
      <c r="AY27" s="600">
        <v>3</v>
      </c>
      <c r="AZ27" s="600">
        <v>4.5</v>
      </c>
      <c r="BA27" s="600">
        <v>6</v>
      </c>
      <c r="BB27" s="600">
        <f>BC27-BA27-AZ27-AY27</f>
        <v>7.5</v>
      </c>
      <c r="BC27" s="745">
        <f>'Zurampic-Duzallo P&amp;L'!E4</f>
        <v>21</v>
      </c>
      <c r="BD27" s="600"/>
      <c r="BE27" s="600"/>
      <c r="BF27" s="600"/>
      <c r="BG27" s="600"/>
      <c r="BH27" s="745">
        <f>'Zurampic-Duzallo P&amp;L'!F4</f>
        <v>42</v>
      </c>
      <c r="BI27" s="600"/>
      <c r="BJ27" s="600"/>
      <c r="BK27" s="600"/>
      <c r="BL27" s="600"/>
      <c r="BM27" s="745">
        <f>'Zurampic-Duzallo P&amp;L'!G4</f>
        <v>69.3</v>
      </c>
      <c r="BN27" s="12"/>
      <c r="BO27" s="12"/>
      <c r="BP27" s="12"/>
      <c r="BQ27" s="12"/>
      <c r="BR27" s="12"/>
    </row>
    <row r="28" spans="1:70" hidden="1" outlineLevel="1">
      <c r="A28" s="15"/>
      <c r="B28" s="629" t="s">
        <v>165</v>
      </c>
      <c r="C28" s="610"/>
      <c r="D28" s="594"/>
      <c r="E28" s="594"/>
      <c r="F28" s="598">
        <v>0.78100000000000003</v>
      </c>
      <c r="G28" s="597">
        <v>0.4</v>
      </c>
      <c r="H28" s="597"/>
      <c r="I28" s="597">
        <f>J28-SUM(F28:H28)</f>
        <v>-1.181</v>
      </c>
      <c r="J28" s="596">
        <v>0</v>
      </c>
      <c r="K28" s="597">
        <v>0.214</v>
      </c>
      <c r="L28" s="597">
        <v>1.7709999999999999</v>
      </c>
      <c r="M28" s="597"/>
      <c r="N28" s="597"/>
      <c r="O28" s="596"/>
      <c r="P28" s="593"/>
      <c r="Q28" s="593"/>
      <c r="R28" s="593"/>
      <c r="S28" s="593"/>
      <c r="T28" s="596"/>
      <c r="U28" s="593"/>
      <c r="V28" s="593"/>
      <c r="W28" s="593"/>
      <c r="X28" s="593"/>
      <c r="Y28" s="596"/>
      <c r="Z28" s="593"/>
      <c r="AA28" s="593"/>
      <c r="AB28" s="593"/>
      <c r="AC28" s="593"/>
      <c r="AD28" s="596"/>
      <c r="AE28" s="606"/>
      <c r="AF28" s="606"/>
      <c r="AG28" s="606"/>
      <c r="AH28" s="606"/>
      <c r="AI28" s="596"/>
      <c r="AJ28" s="593"/>
      <c r="AK28" s="593"/>
      <c r="AL28" s="593"/>
      <c r="AM28" s="593"/>
      <c r="AN28" s="745"/>
      <c r="AO28" s="600"/>
      <c r="AP28" s="600"/>
      <c r="AQ28" s="600"/>
      <c r="AR28" s="600"/>
      <c r="AS28" s="745"/>
      <c r="AT28" s="600"/>
      <c r="AU28" s="600"/>
      <c r="AV28" s="600"/>
      <c r="AW28" s="600"/>
      <c r="AX28" s="745"/>
      <c r="AY28" s="600"/>
      <c r="AZ28" s="600"/>
      <c r="BA28" s="600"/>
      <c r="BB28" s="600"/>
      <c r="BC28" s="745"/>
      <c r="BD28" s="600"/>
      <c r="BE28" s="600"/>
      <c r="BF28" s="600"/>
      <c r="BG28" s="600"/>
      <c r="BH28" s="745"/>
      <c r="BI28" s="600"/>
      <c r="BJ28" s="600"/>
      <c r="BK28" s="600"/>
      <c r="BL28" s="600"/>
      <c r="BM28" s="745"/>
      <c r="BN28" s="12"/>
      <c r="BO28" s="12"/>
      <c r="BP28" s="12"/>
      <c r="BQ28" s="12"/>
      <c r="BR28" s="12"/>
    </row>
    <row r="29" spans="1:70" collapsed="1">
      <c r="A29" s="15"/>
      <c r="B29" s="769" t="s">
        <v>10</v>
      </c>
      <c r="C29" s="770"/>
      <c r="D29" s="766"/>
      <c r="E29" s="766">
        <f t="shared" ref="E29:AC29" si="17">SUM(E22:E28)</f>
        <v>18.382999999999999</v>
      </c>
      <c r="F29" s="766">
        <f t="shared" si="17"/>
        <v>5.2309999999999999</v>
      </c>
      <c r="G29" s="766">
        <f t="shared" si="17"/>
        <v>6.61</v>
      </c>
      <c r="H29" s="766">
        <f t="shared" si="17"/>
        <v>15.257</v>
      </c>
      <c r="I29" s="766">
        <f t="shared" si="17"/>
        <v>7.2229999999999963</v>
      </c>
      <c r="J29" s="766">
        <f t="shared" si="17"/>
        <v>34.320999999999998</v>
      </c>
      <c r="K29" s="766">
        <f t="shared" si="17"/>
        <v>9.0519999999999996</v>
      </c>
      <c r="L29" s="766">
        <f t="shared" si="17"/>
        <v>10.959</v>
      </c>
      <c r="M29" s="766">
        <f t="shared" si="17"/>
        <v>9.0589999999999993</v>
      </c>
      <c r="N29" s="766">
        <f t="shared" si="17"/>
        <v>16.771999999999998</v>
      </c>
      <c r="O29" s="766">
        <f t="shared" si="17"/>
        <v>43.856999999999999</v>
      </c>
      <c r="P29" s="771">
        <f t="shared" si="17"/>
        <v>10.237</v>
      </c>
      <c r="Q29" s="771">
        <f t="shared" si="17"/>
        <v>11.262</v>
      </c>
      <c r="R29" s="771">
        <f t="shared" si="17"/>
        <v>12.218</v>
      </c>
      <c r="S29" s="771">
        <f t="shared" si="17"/>
        <v>32.154000000000003</v>
      </c>
      <c r="T29" s="766">
        <f t="shared" si="17"/>
        <v>65.871000000000009</v>
      </c>
      <c r="U29" s="771">
        <f t="shared" si="17"/>
        <v>12.247999999999999</v>
      </c>
      <c r="V29" s="771">
        <f t="shared" si="17"/>
        <v>14.603999999999999</v>
      </c>
      <c r="W29" s="771">
        <f t="shared" si="17"/>
        <v>96.412999999999997</v>
      </c>
      <c r="X29" s="771">
        <f t="shared" si="17"/>
        <v>26.98</v>
      </c>
      <c r="Y29" s="766">
        <f t="shared" si="17"/>
        <v>150.24499999999998</v>
      </c>
      <c r="Z29" s="771">
        <f t="shared" si="17"/>
        <v>3.2549999999999999</v>
      </c>
      <c r="AA29" s="771">
        <f t="shared" si="17"/>
        <v>9.6630000000000003</v>
      </c>
      <c r="AB29" s="771">
        <f t="shared" si="17"/>
        <v>4.9320000000000004</v>
      </c>
      <c r="AC29" s="771">
        <f t="shared" si="17"/>
        <v>5.0310000000000006</v>
      </c>
      <c r="AD29" s="766">
        <f>SUM(Z29:AC29)</f>
        <v>22.881</v>
      </c>
      <c r="AE29" s="771">
        <f>SUM(AE22:AE28)</f>
        <v>14.605</v>
      </c>
      <c r="AF29" s="771">
        <f>SUM(AF22:AF28)</f>
        <v>6.84</v>
      </c>
      <c r="AG29" s="771">
        <f>SUM(AG22:AG28)</f>
        <v>16.917999999999999</v>
      </c>
      <c r="AH29" s="771">
        <f>SUM(AH22:AH28)</f>
        <v>38.072999999999993</v>
      </c>
      <c r="AI29" s="766">
        <f>SUM(AE29:AH29)</f>
        <v>76.435999999999993</v>
      </c>
      <c r="AJ29" s="772">
        <f>SUM(AJ22:AJ28)</f>
        <v>32.726999999999997</v>
      </c>
      <c r="AK29" s="772">
        <f>SUM(AK22:AK28)</f>
        <v>31.213000000000001</v>
      </c>
      <c r="AL29" s="772">
        <f>SUM(AL22:AL28)</f>
        <v>44.394000000000005</v>
      </c>
      <c r="AM29" s="772">
        <v>53.307000000000002</v>
      </c>
      <c r="AN29" s="767">
        <f>SUM(AJ29:AM29)</f>
        <v>161.64100000000002</v>
      </c>
      <c r="AO29" s="772">
        <f t="shared" ref="AO29:AQ29" si="18">SUM(AO22:AO28)</f>
        <v>85.436999999999998</v>
      </c>
      <c r="AP29" s="772">
        <f t="shared" si="18"/>
        <v>60.36699999999999</v>
      </c>
      <c r="AQ29" s="772">
        <f t="shared" si="18"/>
        <v>72.228499999999997</v>
      </c>
      <c r="AR29" s="772">
        <v>87.459000000000003</v>
      </c>
      <c r="AS29" s="767">
        <v>273.95699999999999</v>
      </c>
      <c r="AT29" s="772">
        <v>52.165999999999997</v>
      </c>
      <c r="AU29" s="772">
        <v>65.076999999999998</v>
      </c>
      <c r="AV29" s="772">
        <v>86.825000000000003</v>
      </c>
      <c r="AW29" s="772">
        <v>94.207999999999998</v>
      </c>
      <c r="AX29" s="767">
        <f>AW29+AV29+AU29+AT29</f>
        <v>298.27600000000001</v>
      </c>
      <c r="AY29" s="772">
        <f t="shared" ref="AY29:BC29" si="19">AY22+AY26+AY27</f>
        <v>82.338311979292186</v>
      </c>
      <c r="AZ29" s="772">
        <f t="shared" si="19"/>
        <v>87.296524168047796</v>
      </c>
      <c r="BA29" s="772">
        <f t="shared" si="19"/>
        <v>92.785281133628871</v>
      </c>
      <c r="BB29" s="772">
        <f t="shared" si="19"/>
        <v>102.33461871233455</v>
      </c>
      <c r="BC29" s="767">
        <f t="shared" si="19"/>
        <v>365.10794119916483</v>
      </c>
      <c r="BD29" s="772"/>
      <c r="BE29" s="772"/>
      <c r="BF29" s="772"/>
      <c r="BG29" s="772"/>
      <c r="BH29" s="767">
        <f>BH22+BH26+BH27</f>
        <v>451.91417315920376</v>
      </c>
      <c r="BI29" s="772"/>
      <c r="BJ29" s="772"/>
      <c r="BK29" s="772"/>
      <c r="BL29" s="772"/>
      <c r="BM29" s="768">
        <f>BM22+BM26+BM27</f>
        <v>554.6801314563927</v>
      </c>
      <c r="BN29" s="12"/>
      <c r="BO29" s="1000"/>
      <c r="BP29" s="12"/>
      <c r="BQ29" s="12"/>
      <c r="BR29" s="12"/>
    </row>
    <row r="30" spans="1:70">
      <c r="A30" s="15"/>
      <c r="B30" s="12"/>
      <c r="C30" s="12"/>
      <c r="D30" s="360"/>
      <c r="E30" s="360"/>
      <c r="F30" s="361"/>
      <c r="G30" s="361"/>
      <c r="H30" s="361"/>
      <c r="I30" s="361"/>
      <c r="J30" s="361"/>
      <c r="K30" s="361"/>
      <c r="L30" s="361"/>
      <c r="M30" s="361"/>
      <c r="N30" s="361"/>
      <c r="O30" s="361"/>
      <c r="P30" s="451"/>
      <c r="Q30" s="451"/>
      <c r="R30" s="451"/>
      <c r="S30" s="451"/>
      <c r="T30" s="361"/>
      <c r="U30" s="451"/>
      <c r="V30" s="451"/>
      <c r="W30" s="451"/>
      <c r="X30" s="451"/>
      <c r="Y30" s="361"/>
      <c r="Z30" s="451"/>
      <c r="AA30" s="451"/>
      <c r="AB30" s="451"/>
      <c r="AC30" s="451"/>
      <c r="AD30" s="361"/>
      <c r="AE30" s="477"/>
      <c r="AF30" s="477"/>
      <c r="AG30" s="477"/>
      <c r="AH30" s="477"/>
      <c r="AI30" s="361"/>
      <c r="AJ30" s="451"/>
      <c r="AK30" s="451"/>
      <c r="AL30" s="451"/>
      <c r="AM30" s="451"/>
      <c r="AN30" s="746"/>
      <c r="AO30" s="747"/>
      <c r="AP30" s="747"/>
      <c r="AQ30" s="747"/>
      <c r="AR30" s="747"/>
      <c r="AS30" s="746"/>
      <c r="AT30" s="747"/>
      <c r="AU30" s="747"/>
      <c r="AV30" s="747"/>
      <c r="AW30" s="747"/>
      <c r="AX30" s="746"/>
      <c r="AY30" s="747"/>
      <c r="AZ30" s="747"/>
      <c r="BA30" s="747"/>
      <c r="BB30" s="747"/>
      <c r="BC30" s="746"/>
      <c r="BD30" s="747"/>
      <c r="BE30" s="747"/>
      <c r="BF30" s="747"/>
      <c r="BG30" s="747"/>
      <c r="BH30" s="746"/>
      <c r="BI30" s="747"/>
      <c r="BJ30" s="747"/>
      <c r="BK30" s="747"/>
      <c r="BL30" s="747"/>
      <c r="BM30" s="746"/>
      <c r="BN30" s="12"/>
      <c r="BO30" s="12"/>
      <c r="BP30" s="12"/>
      <c r="BQ30" s="12"/>
      <c r="BR30" s="12"/>
    </row>
    <row r="31" spans="1:70">
      <c r="A31" s="15"/>
      <c r="B31" s="25" t="s">
        <v>11</v>
      </c>
      <c r="C31" s="185"/>
      <c r="D31" s="186"/>
      <c r="E31" s="186"/>
      <c r="F31" s="16"/>
      <c r="G31" s="16"/>
      <c r="H31" s="16"/>
      <c r="I31" s="16"/>
      <c r="J31" s="16"/>
      <c r="K31" s="16"/>
      <c r="L31" s="16"/>
      <c r="M31" s="16"/>
      <c r="N31" s="16"/>
      <c r="O31" s="16"/>
      <c r="P31" s="452"/>
      <c r="Q31" s="452"/>
      <c r="R31" s="452"/>
      <c r="S31" s="452"/>
      <c r="T31" s="16"/>
      <c r="U31" s="452"/>
      <c r="V31" s="452"/>
      <c r="W31" s="452"/>
      <c r="X31" s="452"/>
      <c r="Y31" s="16"/>
      <c r="Z31" s="452"/>
      <c r="AA31" s="452"/>
      <c r="AB31" s="452"/>
      <c r="AC31" s="452"/>
      <c r="AD31" s="16"/>
      <c r="AE31" s="478"/>
      <c r="AF31" s="478"/>
      <c r="AG31" s="478"/>
      <c r="AH31" s="478"/>
      <c r="AI31" s="16"/>
      <c r="AJ31" s="452"/>
      <c r="AK31" s="452"/>
      <c r="AL31" s="526"/>
      <c r="AM31" s="452"/>
      <c r="AN31" s="503"/>
      <c r="AO31" s="748"/>
      <c r="AP31" s="748"/>
      <c r="AQ31" s="748"/>
      <c r="AR31" s="748"/>
      <c r="AS31" s="503"/>
      <c r="AT31" s="748"/>
      <c r="AU31" s="748"/>
      <c r="AV31" s="748"/>
      <c r="AW31" s="748"/>
      <c r="AX31" s="503"/>
      <c r="AY31" s="748"/>
      <c r="AZ31" s="748"/>
      <c r="BA31" s="748"/>
      <c r="BB31" s="748"/>
      <c r="BC31" s="503"/>
      <c r="BD31" s="748"/>
      <c r="BE31" s="748"/>
      <c r="BF31" s="748"/>
      <c r="BG31" s="748"/>
      <c r="BH31" s="503"/>
      <c r="BI31" s="748"/>
      <c r="BJ31" s="748"/>
      <c r="BK31" s="748"/>
      <c r="BL31" s="748"/>
      <c r="BM31" s="503"/>
      <c r="BN31" s="12"/>
      <c r="BO31" s="12"/>
      <c r="BP31" s="12"/>
      <c r="BQ31" s="12"/>
      <c r="BR31" s="12"/>
    </row>
    <row r="32" spans="1:70">
      <c r="A32" s="15"/>
      <c r="B32" s="365" t="s">
        <v>97</v>
      </c>
      <c r="C32" s="610"/>
      <c r="D32" s="607"/>
      <c r="E32" s="607"/>
      <c r="F32" s="610"/>
      <c r="G32" s="610"/>
      <c r="H32" s="610"/>
      <c r="I32" s="610"/>
      <c r="J32" s="610"/>
      <c r="K32" s="610"/>
      <c r="L32" s="610"/>
      <c r="M32" s="610"/>
      <c r="N32" s="610"/>
      <c r="O32" s="610"/>
      <c r="P32" s="609"/>
      <c r="Q32" s="609"/>
      <c r="R32" s="609"/>
      <c r="S32" s="609"/>
      <c r="T32" s="610"/>
      <c r="U32" s="609">
        <v>0</v>
      </c>
      <c r="V32" s="609">
        <v>0</v>
      </c>
      <c r="W32" s="609">
        <v>0</v>
      </c>
      <c r="X32" s="609">
        <v>0.96499999999999997</v>
      </c>
      <c r="Y32" s="610">
        <f>SUM(U32:X32)</f>
        <v>0.96499999999999997</v>
      </c>
      <c r="Z32" s="604">
        <v>1.2310000000000001</v>
      </c>
      <c r="AA32" s="604">
        <v>3.4180000000000001</v>
      </c>
      <c r="AB32" s="604">
        <v>2.0209999999999999</v>
      </c>
      <c r="AC32" s="604">
        <v>0.53300000000000003</v>
      </c>
      <c r="AD32" s="605">
        <f>SUM(Z32:AC32)</f>
        <v>7.2030000000000003</v>
      </c>
      <c r="AE32" s="623">
        <v>1.9239999999999999</v>
      </c>
      <c r="AF32" s="623">
        <v>10.518000000000001</v>
      </c>
      <c r="AG32" s="623">
        <v>0</v>
      </c>
      <c r="AH32" s="623">
        <v>13.141</v>
      </c>
      <c r="AI32" s="605">
        <f>SUM(AE32:AH32)</f>
        <v>25.582999999999998</v>
      </c>
      <c r="AJ32" s="1029">
        <v>1.2E-2</v>
      </c>
      <c r="AK32" s="1029">
        <v>8.15</v>
      </c>
      <c r="AL32" s="1029">
        <v>0</v>
      </c>
      <c r="AM32" s="1029">
        <v>0</v>
      </c>
      <c r="AN32" s="1030">
        <f>SUM(AJ32:AM32)</f>
        <v>8.1620000000000008</v>
      </c>
      <c r="AO32" s="600">
        <v>0</v>
      </c>
      <c r="AP32" s="600">
        <v>0</v>
      </c>
      <c r="AQ32" s="600">
        <v>0</v>
      </c>
      <c r="AR32" s="600">
        <f>1.868+0.368</f>
        <v>2.2360000000000002</v>
      </c>
      <c r="AS32" s="745">
        <f>AR32+AQ32+AP32+AO32</f>
        <v>2.2360000000000002</v>
      </c>
      <c r="AT32" s="600">
        <v>0.53100000000000003</v>
      </c>
      <c r="AU32" s="600">
        <f>3.502+0.096</f>
        <v>3.5979999999999999</v>
      </c>
      <c r="AV32" s="600">
        <v>6.08</v>
      </c>
      <c r="AW32" s="600">
        <f>9.126-0</f>
        <v>9.1259999999999994</v>
      </c>
      <c r="AX32" s="745">
        <v>19.405999999999999</v>
      </c>
      <c r="AY32" s="600">
        <f>BC32*0.24</f>
        <v>4.9256291156121215</v>
      </c>
      <c r="AZ32" s="600">
        <f>BC32*0.245</f>
        <v>5.0282463888540407</v>
      </c>
      <c r="BA32" s="600">
        <f>BC32*0.2525</f>
        <v>5.1821722987169201</v>
      </c>
      <c r="BB32" s="739">
        <f>BC32-BA32-AZ32-AY32</f>
        <v>5.3874068452007577</v>
      </c>
      <c r="BC32" s="745">
        <f>Linaclotide!N152+Linaclotide!N161+'Zurampic-Duzallo P&amp;L'!E9</f>
        <v>20.52345464838384</v>
      </c>
      <c r="BD32" s="600"/>
      <c r="BE32" s="600"/>
      <c r="BF32" s="600"/>
      <c r="BG32" s="600"/>
      <c r="BH32" s="745">
        <f>Linaclotide!O152+Linaclotide!O161+'Zurampic-Duzallo P&amp;L'!F9</f>
        <v>24.352236834831672</v>
      </c>
      <c r="BI32" s="600"/>
      <c r="BJ32" s="600"/>
      <c r="BK32" s="600"/>
      <c r="BL32" s="600"/>
      <c r="BM32" s="745">
        <f>Linaclotide!P152+Linaclotide!P161+'Zurampic-Duzallo P&amp;L'!G9</f>
        <v>29.026283032079867</v>
      </c>
      <c r="BN32" s="12"/>
      <c r="BO32" s="12"/>
      <c r="BP32" s="12"/>
      <c r="BQ32" s="12"/>
      <c r="BR32" s="12"/>
    </row>
    <row r="33" spans="1:70">
      <c r="A33" s="15"/>
      <c r="B33" s="10" t="s">
        <v>12</v>
      </c>
      <c r="C33" s="188"/>
      <c r="D33" s="179"/>
      <c r="E33" s="179"/>
      <c r="F33" s="179"/>
      <c r="G33" s="179"/>
      <c r="H33" s="179"/>
      <c r="I33" s="179"/>
      <c r="J33" s="179"/>
      <c r="K33" s="179"/>
      <c r="L33" s="179"/>
      <c r="M33" s="179"/>
      <c r="N33" s="179"/>
      <c r="O33" s="179"/>
      <c r="P33" s="453"/>
      <c r="Q33" s="453"/>
      <c r="R33" s="453"/>
      <c r="S33" s="453"/>
      <c r="T33" s="179"/>
      <c r="U33" s="453"/>
      <c r="V33" s="453"/>
      <c r="W33" s="453"/>
      <c r="X33" s="453">
        <f t="shared" ref="X33:AW33" si="20">X32/X9</f>
        <v>5.0260416666666669E-2</v>
      </c>
      <c r="Y33" s="179">
        <f t="shared" si="20"/>
        <v>5.0260416666666669E-2</v>
      </c>
      <c r="Z33" s="453">
        <f t="shared" si="20"/>
        <v>0.27343402932030214</v>
      </c>
      <c r="AA33" s="453">
        <f t="shared" si="20"/>
        <v>0.11883322323818794</v>
      </c>
      <c r="AB33" s="453">
        <f t="shared" si="20"/>
        <v>5.8674950644524437E-2</v>
      </c>
      <c r="AC33" s="453">
        <f t="shared" si="20"/>
        <v>1.0349806878923324E-2</v>
      </c>
      <c r="AD33" s="179">
        <f t="shared" si="20"/>
        <v>6.0424027460128746E-2</v>
      </c>
      <c r="AE33" s="479">
        <f t="shared" si="20"/>
        <v>3.1403761803861521E-2</v>
      </c>
      <c r="AF33" s="479">
        <f t="shared" si="20"/>
        <v>0.16245018997312574</v>
      </c>
      <c r="AG33" s="479">
        <f t="shared" si="20"/>
        <v>0</v>
      </c>
      <c r="AH33" s="479">
        <f t="shared" si="20"/>
        <v>0.13443203208118504</v>
      </c>
      <c r="AI33" s="179">
        <f t="shared" si="20"/>
        <v>8.3350018363405873E-2</v>
      </c>
      <c r="AJ33" s="631">
        <f t="shared" si="20"/>
        <v>1.1163933053614788E-4</v>
      </c>
      <c r="AK33" s="631">
        <f t="shared" si="20"/>
        <v>6.4141914970644254E-2</v>
      </c>
      <c r="AL33" s="631">
        <f t="shared" si="20"/>
        <v>0</v>
      </c>
      <c r="AM33" s="631">
        <f t="shared" si="20"/>
        <v>0</v>
      </c>
      <c r="AN33" s="749">
        <f t="shared" si="20"/>
        <v>1.5695365246869802E-2</v>
      </c>
      <c r="AO33" s="631">
        <f t="shared" si="20"/>
        <v>0</v>
      </c>
      <c r="AP33" s="631">
        <f t="shared" si="20"/>
        <v>0</v>
      </c>
      <c r="AQ33" s="631">
        <f t="shared" si="20"/>
        <v>0</v>
      </c>
      <c r="AR33" s="631">
        <f t="shared" si="20"/>
        <v>1.0567403412666454E-2</v>
      </c>
      <c r="AS33" s="749">
        <f>AS32/(AS9+AS27)</f>
        <v>2.970086206544958E-3</v>
      </c>
      <c r="AT33" s="631">
        <f t="shared" si="20"/>
        <v>2.7425561036076751E-3</v>
      </c>
      <c r="AU33" s="631">
        <f t="shared" si="20"/>
        <v>1.6593415208939599E-2</v>
      </c>
      <c r="AV33" s="631">
        <f t="shared" si="20"/>
        <v>2.6111230405840669E-2</v>
      </c>
      <c r="AW33" s="631">
        <f t="shared" si="20"/>
        <v>3.1375696494366168E-2</v>
      </c>
      <c r="AX33" s="749">
        <f>AX32/(AX9+AX27)</f>
        <v>2.0469879044818638E-2</v>
      </c>
      <c r="AY33" s="631">
        <f t="shared" ref="AY33:BB33" si="21">AY32/AY9</f>
        <v>1.8607127656819881E-2</v>
      </c>
      <c r="AZ33" s="631">
        <f t="shared" si="21"/>
        <v>1.8601273575437321E-2</v>
      </c>
      <c r="BA33" s="631">
        <f t="shared" si="21"/>
        <v>1.8457763726243592E-2</v>
      </c>
      <c r="BB33" s="631">
        <f t="shared" si="21"/>
        <v>1.7709791042972649E-2</v>
      </c>
      <c r="BC33" s="749">
        <f>BC32/(BC9+BC27)</f>
        <v>1.7987282950635404E-2</v>
      </c>
      <c r="BD33" s="631"/>
      <c r="BE33" s="631"/>
      <c r="BF33" s="631"/>
      <c r="BG33" s="631"/>
      <c r="BH33" s="749">
        <f>BH32/(BH9+BH27)</f>
        <v>1.8551187434620184E-2</v>
      </c>
      <c r="BI33" s="631"/>
      <c r="BJ33" s="631"/>
      <c r="BK33" s="631"/>
      <c r="BL33" s="631"/>
      <c r="BM33" s="749">
        <f>BM32/(BM9+BM27)</f>
        <v>1.9221004972975346E-2</v>
      </c>
      <c r="BN33" s="12"/>
      <c r="BO33" s="12"/>
      <c r="BP33" s="12"/>
      <c r="BQ33" s="12"/>
      <c r="BR33" s="12"/>
    </row>
    <row r="34" spans="1:70">
      <c r="A34" s="15"/>
      <c r="B34" s="10" t="s">
        <v>257</v>
      </c>
      <c r="C34" s="188"/>
      <c r="D34" s="179"/>
      <c r="E34" s="179"/>
      <c r="F34" s="179"/>
      <c r="G34" s="179"/>
      <c r="H34" s="179"/>
      <c r="I34" s="179"/>
      <c r="J34" s="179"/>
      <c r="K34" s="179"/>
      <c r="L34" s="179"/>
      <c r="M34" s="179"/>
      <c r="N34" s="179"/>
      <c r="O34" s="179"/>
      <c r="P34" s="453"/>
      <c r="Q34" s="453"/>
      <c r="R34" s="453"/>
      <c r="S34" s="453"/>
      <c r="T34" s="179"/>
      <c r="U34" s="453"/>
      <c r="V34" s="453"/>
      <c r="W34" s="453"/>
      <c r="X34" s="453"/>
      <c r="Y34" s="179"/>
      <c r="Z34" s="453"/>
      <c r="AA34" s="453"/>
      <c r="AB34" s="453"/>
      <c r="AC34" s="453">
        <f t="shared" ref="AC34:AW34" si="22">AC32/(AC7+AC8)</f>
        <v>1.1725999999999999</v>
      </c>
      <c r="AD34" s="179">
        <f t="shared" si="22"/>
        <v>15.846599999999999</v>
      </c>
      <c r="AE34" s="479">
        <f t="shared" si="22"/>
        <v>4.2327999999999992</v>
      </c>
      <c r="AF34" s="479">
        <f t="shared" si="22"/>
        <v>5.2590000000000003</v>
      </c>
      <c r="AG34" s="479">
        <f t="shared" si="22"/>
        <v>0</v>
      </c>
      <c r="AH34" s="479">
        <f t="shared" si="22"/>
        <v>3.28525</v>
      </c>
      <c r="AI34" s="179">
        <f t="shared" si="22"/>
        <v>2.5699817351598169</v>
      </c>
      <c r="AJ34" s="1033">
        <f t="shared" si="22"/>
        <v>1E-3</v>
      </c>
      <c r="AK34" s="1033">
        <f t="shared" si="22"/>
        <v>0.54333333333333333</v>
      </c>
      <c r="AL34" s="1033">
        <f t="shared" si="22"/>
        <v>0</v>
      </c>
      <c r="AM34" s="1033">
        <f t="shared" si="22"/>
        <v>0</v>
      </c>
      <c r="AN34" s="749">
        <f t="shared" si="22"/>
        <v>0.12507446135966249</v>
      </c>
      <c r="AO34" s="631">
        <f t="shared" si="22"/>
        <v>0</v>
      </c>
      <c r="AP34" s="631">
        <f t="shared" si="22"/>
        <v>0</v>
      </c>
      <c r="AQ34" s="631">
        <f t="shared" si="22"/>
        <v>0</v>
      </c>
      <c r="AR34" s="631">
        <f t="shared" si="22"/>
        <v>5.8812575612259423E-2</v>
      </c>
      <c r="AS34" s="749">
        <f t="shared" si="22"/>
        <v>1.7580675572268258E-2</v>
      </c>
      <c r="AT34" s="631">
        <f t="shared" si="22"/>
        <v>1.1543478260869567E-2</v>
      </c>
      <c r="AU34" s="631">
        <f t="shared" si="22"/>
        <v>7.3428571428571426E-2</v>
      </c>
      <c r="AV34" s="631">
        <f t="shared" si="22"/>
        <v>0.11504257332071902</v>
      </c>
      <c r="AW34" s="631">
        <f t="shared" si="22"/>
        <v>9.4991188291838224E-2</v>
      </c>
      <c r="AX34" s="749">
        <f>AX32/(AX7+AX8)</f>
        <v>7.9558196911739681E-2</v>
      </c>
      <c r="AY34" s="631">
        <f t="shared" ref="AY34:BB34" si="23">AY32/(AY7+AY8)</f>
        <v>6.7609758976301532E-2</v>
      </c>
      <c r="AZ34" s="631">
        <f t="shared" si="23"/>
        <v>6.7609758976301546E-2</v>
      </c>
      <c r="BA34" s="631">
        <f t="shared" si="23"/>
        <v>6.7609758976301546E-2</v>
      </c>
      <c r="BB34" s="631">
        <f t="shared" si="23"/>
        <v>6.7609758976301546E-2</v>
      </c>
      <c r="BC34" s="749">
        <f>BC32/(BC7+BC8)</f>
        <v>6.7609758976301532E-2</v>
      </c>
      <c r="BD34" s="631"/>
      <c r="BE34" s="631"/>
      <c r="BF34" s="631"/>
      <c r="BG34" s="631"/>
      <c r="BH34" s="749">
        <f>BH32/(BH7+BH8)</f>
        <v>7.4844610402581391E-2</v>
      </c>
      <c r="BI34" s="631"/>
      <c r="BJ34" s="631"/>
      <c r="BK34" s="631"/>
      <c r="BL34" s="631"/>
      <c r="BM34" s="749">
        <f>BM32/(BM7+BM8)</f>
        <v>8.4092379579125978E-2</v>
      </c>
      <c r="BN34" s="12"/>
      <c r="BO34" s="12"/>
      <c r="BP34" s="12"/>
      <c r="BQ34" s="12"/>
      <c r="BR34" s="12"/>
    </row>
    <row r="35" spans="1:70" ht="9.75" customHeight="1">
      <c r="A35" s="15"/>
      <c r="B35" s="10"/>
      <c r="C35" s="188"/>
      <c r="D35" s="179"/>
      <c r="E35" s="179"/>
      <c r="F35" s="179"/>
      <c r="G35" s="179"/>
      <c r="H35" s="179"/>
      <c r="I35" s="179"/>
      <c r="J35" s="179"/>
      <c r="K35" s="179"/>
      <c r="L35" s="179"/>
      <c r="M35" s="179"/>
      <c r="N35" s="179"/>
      <c r="O35" s="179"/>
      <c r="P35" s="453"/>
      <c r="Q35" s="453"/>
      <c r="R35" s="453"/>
      <c r="S35" s="453"/>
      <c r="T35" s="179"/>
      <c r="U35" s="453"/>
      <c r="V35" s="453"/>
      <c r="W35" s="453"/>
      <c r="X35" s="453"/>
      <c r="Y35" s="179"/>
      <c r="Z35" s="453"/>
      <c r="AA35" s="453"/>
      <c r="AB35" s="453"/>
      <c r="AC35" s="453"/>
      <c r="AD35" s="179"/>
      <c r="AE35" s="479"/>
      <c r="AF35" s="479"/>
      <c r="AG35" s="479"/>
      <c r="AH35" s="479"/>
      <c r="AI35" s="179"/>
      <c r="AJ35" s="453"/>
      <c r="AK35" s="453"/>
      <c r="AL35" s="527"/>
      <c r="AM35" s="527"/>
      <c r="AN35" s="750"/>
      <c r="AO35" s="479"/>
      <c r="AP35" s="479"/>
      <c r="AQ35" s="479"/>
      <c r="AR35" s="479"/>
      <c r="AS35" s="19"/>
      <c r="AT35" s="479"/>
      <c r="AU35" s="479"/>
      <c r="AV35" s="479"/>
      <c r="AW35" s="479"/>
      <c r="AX35" s="741"/>
      <c r="AY35" s="479"/>
      <c r="AZ35" s="479"/>
      <c r="BA35" s="479"/>
      <c r="BB35" s="479"/>
      <c r="BC35" s="19"/>
      <c r="BD35" s="479"/>
      <c r="BE35" s="479"/>
      <c r="BF35" s="479"/>
      <c r="BG35" s="479"/>
      <c r="BH35" s="19"/>
      <c r="BI35" s="479"/>
      <c r="BJ35" s="479"/>
      <c r="BK35" s="479"/>
      <c r="BL35" s="479"/>
      <c r="BM35" s="19"/>
      <c r="BN35" s="12"/>
      <c r="BO35" s="12"/>
      <c r="BP35" s="12"/>
      <c r="BQ35" s="12"/>
      <c r="BR35" s="12"/>
    </row>
    <row r="36" spans="1:70">
      <c r="A36" s="15"/>
      <c r="B36" s="14" t="s">
        <v>539</v>
      </c>
      <c r="C36" s="14"/>
      <c r="D36" s="189"/>
      <c r="E36" s="189">
        <v>51.420999999999999</v>
      </c>
      <c r="F36" s="128">
        <f>18.607-0.729</f>
        <v>17.878</v>
      </c>
      <c r="G36" s="128">
        <f>19.396-0.558</f>
        <v>18.838000000000001</v>
      </c>
      <c r="H36" s="128">
        <f>18.603-0.622</f>
        <v>17.981000000000002</v>
      </c>
      <c r="I36" s="128">
        <f>J36-SUM(F36:H36)</f>
        <v>21.402999999999992</v>
      </c>
      <c r="J36" s="169">
        <v>76.099999999999994</v>
      </c>
      <c r="K36" s="128">
        <f>18.637-0.729</f>
        <v>17.908000000000001</v>
      </c>
      <c r="L36" s="128">
        <f>20.953-1.04</f>
        <v>19.913</v>
      </c>
      <c r="M36" s="128">
        <f>18.742-1.093</f>
        <v>17.649000000000001</v>
      </c>
      <c r="N36" s="128">
        <f>77.454-0.58*7.181-SUM(K36:M36)</f>
        <v>17.819019999999995</v>
      </c>
      <c r="O36" s="133">
        <f>77.454</f>
        <v>77.453999999999994</v>
      </c>
      <c r="P36" s="454">
        <f>19.555-1.338</f>
        <v>18.216999999999999</v>
      </c>
      <c r="Q36" s="454">
        <f>19.409-1.465</f>
        <v>17.943999999999999</v>
      </c>
      <c r="R36" s="454">
        <f>22.905-1.653</f>
        <v>21.252000000000002</v>
      </c>
      <c r="S36" s="454">
        <f>24.224-1.615</f>
        <v>22.609000000000002</v>
      </c>
      <c r="T36" s="133">
        <f>SUM(P36:S36)</f>
        <v>80.022000000000006</v>
      </c>
      <c r="U36" s="454">
        <f>29.51-1.951</f>
        <v>27.559000000000001</v>
      </c>
      <c r="V36" s="454">
        <f>32.238-2.077</f>
        <v>30.161000000000001</v>
      </c>
      <c r="W36" s="454">
        <f>23.453-2.648</f>
        <v>20.805</v>
      </c>
      <c r="X36" s="454">
        <f>28.273-2.404</f>
        <v>25.869</v>
      </c>
      <c r="Y36" s="98">
        <f>SUM(U36:X36)</f>
        <v>104.39400000000001</v>
      </c>
      <c r="Z36" s="474">
        <f>32.753-2.224</f>
        <v>30.529</v>
      </c>
      <c r="AA36" s="474">
        <f>24.093-2.701</f>
        <v>21.391999999999999</v>
      </c>
      <c r="AB36" s="474">
        <f>23.016-2.349</f>
        <v>20.666999999999998</v>
      </c>
      <c r="AC36" s="474">
        <f>22.516-1.904</f>
        <v>20.611999999999998</v>
      </c>
      <c r="AD36" s="133">
        <f>SUM(Z36:AC36)</f>
        <v>93.199999999999989</v>
      </c>
      <c r="AE36" s="474">
        <f>27.144-2.69</f>
        <v>24.453999999999997</v>
      </c>
      <c r="AF36" s="474">
        <f>22.142-2.271</f>
        <v>19.870999999999999</v>
      </c>
      <c r="AG36" s="474">
        <f>25.122-2.151</f>
        <v>22.971</v>
      </c>
      <c r="AH36" s="474">
        <f>27.482-2.37</f>
        <v>25.111999999999998</v>
      </c>
      <c r="AI36" s="419">
        <f>SUM(AE36:AH36)</f>
        <v>92.407999999999987</v>
      </c>
      <c r="AJ36" s="1029">
        <f>26.641-AJ82</f>
        <v>24.587</v>
      </c>
      <c r="AK36" s="1029">
        <f>28.648-AK82</f>
        <v>25.957000000000001</v>
      </c>
      <c r="AL36" s="1029">
        <f>25.83-AL82</f>
        <v>23.167999999999999</v>
      </c>
      <c r="AM36" s="1029">
        <f>27.627-AM82</f>
        <v>24.968999999999998</v>
      </c>
      <c r="AN36" s="741">
        <f>SUM(AJ36:AM36)</f>
        <v>98.680999999999983</v>
      </c>
      <c r="AO36" s="1029">
        <f>31.842-AO82</f>
        <v>29.343</v>
      </c>
      <c r="AP36" s="739">
        <f>31.682-AP82</f>
        <v>28.416999999999998</v>
      </c>
      <c r="AQ36" s="739">
        <f>37.526-AQ82</f>
        <v>34.892000000000003</v>
      </c>
      <c r="AR36" s="739">
        <f>38.442-AR82</f>
        <v>35.496000000000002</v>
      </c>
      <c r="AS36" s="745">
        <f>AR36+AQ36+AP36+AO36</f>
        <v>128.148</v>
      </c>
      <c r="AT36" s="739">
        <f>33.702-AT82</f>
        <v>31.076999999999998</v>
      </c>
      <c r="AU36" s="739">
        <f>37.344-AU82</f>
        <v>34.719000000000001</v>
      </c>
      <c r="AV36" s="739">
        <f>37.065-AV82</f>
        <v>34.44</v>
      </c>
      <c r="AW36" s="739">
        <f>40.117-AW82</f>
        <v>37.491999999999997</v>
      </c>
      <c r="AX36" s="745">
        <f>AW36+AV36+AU36+AT36</f>
        <v>137.72799999999998</v>
      </c>
      <c r="AY36" s="600">
        <f>BC36*0.24</f>
        <v>36.444576000000033</v>
      </c>
      <c r="AZ36" s="600">
        <f>BC36*0.245</f>
        <v>37.20383800000004</v>
      </c>
      <c r="BA36" s="600">
        <f>BC36*0.2525</f>
        <v>38.342731000000043</v>
      </c>
      <c r="BB36" s="739">
        <f>BC36-BA36-AZ36-AY36</f>
        <v>39.861255000000035</v>
      </c>
      <c r="BC36" s="741">
        <f>BC98</f>
        <v>151.85240000000016</v>
      </c>
      <c r="BD36" s="739"/>
      <c r="BE36" s="739"/>
      <c r="BF36" s="739"/>
      <c r="BG36" s="739"/>
      <c r="BH36" s="741">
        <f>BH98</f>
        <v>147.24281000000013</v>
      </c>
      <c r="BI36" s="739"/>
      <c r="BJ36" s="739"/>
      <c r="BK36" s="739"/>
      <c r="BL36" s="739"/>
      <c r="BM36" s="741">
        <f>BM98</f>
        <v>142.87826510000011</v>
      </c>
      <c r="BN36" s="12"/>
      <c r="BO36" s="12"/>
      <c r="BP36" s="12"/>
      <c r="BQ36" s="12"/>
      <c r="BR36" s="12"/>
    </row>
    <row r="37" spans="1:70">
      <c r="A37" s="15"/>
      <c r="B37" s="14"/>
      <c r="C37" s="14"/>
      <c r="D37" s="189"/>
      <c r="E37" s="189"/>
      <c r="F37" s="128"/>
      <c r="G37" s="128"/>
      <c r="H37" s="128"/>
      <c r="I37" s="128"/>
      <c r="J37" s="169"/>
      <c r="K37" s="128"/>
      <c r="L37" s="128"/>
      <c r="M37" s="128"/>
      <c r="N37" s="128"/>
      <c r="O37" s="133"/>
      <c r="P37" s="454"/>
      <c r="Q37" s="454"/>
      <c r="R37" s="454"/>
      <c r="S37" s="454"/>
      <c r="T37" s="133"/>
      <c r="U37" s="454"/>
      <c r="V37" s="454"/>
      <c r="W37" s="454"/>
      <c r="X37" s="454"/>
      <c r="Y37" s="98"/>
      <c r="Z37" s="474"/>
      <c r="AA37" s="474"/>
      <c r="AB37" s="474"/>
      <c r="AC37" s="474"/>
      <c r="AD37" s="133"/>
      <c r="AE37" s="474"/>
      <c r="AF37" s="474"/>
      <c r="AG37" s="474"/>
      <c r="AH37" s="474"/>
      <c r="AI37" s="419"/>
      <c r="AJ37" s="472"/>
      <c r="AK37" s="1034"/>
      <c r="AL37" s="1035"/>
      <c r="AM37" s="1035"/>
      <c r="AN37" s="751"/>
      <c r="AO37" s="480"/>
      <c r="AP37" s="480"/>
      <c r="AQ37" s="479"/>
      <c r="AR37" s="479"/>
      <c r="AS37" s="19"/>
      <c r="AT37" s="480"/>
      <c r="AU37" s="480"/>
      <c r="AV37" s="480"/>
      <c r="AW37" s="480"/>
      <c r="AX37" s="418"/>
      <c r="AY37" s="480"/>
      <c r="AZ37" s="480"/>
      <c r="BA37" s="480"/>
      <c r="BB37" s="480"/>
      <c r="BC37" s="418"/>
      <c r="BD37" s="480"/>
      <c r="BE37" s="480"/>
      <c r="BF37" s="480"/>
      <c r="BG37" s="480"/>
      <c r="BH37" s="418"/>
      <c r="BI37" s="480"/>
      <c r="BJ37" s="480"/>
      <c r="BK37" s="480"/>
      <c r="BL37" s="480"/>
      <c r="BM37" s="418"/>
      <c r="BN37" s="12"/>
      <c r="BO37" s="12"/>
      <c r="BP37" s="12"/>
      <c r="BQ37" s="12"/>
      <c r="BR37" s="12"/>
    </row>
    <row r="38" spans="1:70">
      <c r="A38" s="15"/>
      <c r="B38" s="10" t="s">
        <v>397</v>
      </c>
      <c r="C38" s="188"/>
      <c r="D38" s="179"/>
      <c r="E38" s="179"/>
      <c r="F38" s="179"/>
      <c r="G38" s="179"/>
      <c r="H38" s="179"/>
      <c r="I38" s="179"/>
      <c r="J38" s="179">
        <f t="shared" ref="J38:AI38" si="24">J36/E36-1</f>
        <v>0.47994010229283757</v>
      </c>
      <c r="K38" s="179">
        <f t="shared" si="24"/>
        <v>1.6780400492226732E-3</v>
      </c>
      <c r="L38" s="179">
        <f t="shared" si="24"/>
        <v>5.706550589234527E-2</v>
      </c>
      <c r="M38" s="179">
        <f t="shared" si="24"/>
        <v>-1.8463934152716743E-2</v>
      </c>
      <c r="N38" s="179">
        <f t="shared" si="24"/>
        <v>-0.1674522263234125</v>
      </c>
      <c r="O38" s="179">
        <f t="shared" si="24"/>
        <v>1.779237844940873E-2</v>
      </c>
      <c r="P38" s="453">
        <f t="shared" si="24"/>
        <v>1.7254858163948894E-2</v>
      </c>
      <c r="Q38" s="453">
        <f t="shared" si="24"/>
        <v>-9.8880128559232672E-2</v>
      </c>
      <c r="R38" s="453">
        <f t="shared" si="24"/>
        <v>0.2041475437701854</v>
      </c>
      <c r="S38" s="453">
        <f t="shared" si="24"/>
        <v>0.26881276299145562</v>
      </c>
      <c r="T38" s="179">
        <f t="shared" si="24"/>
        <v>3.3155163064528814E-2</v>
      </c>
      <c r="U38" s="453">
        <f t="shared" si="24"/>
        <v>0.51281769775484465</v>
      </c>
      <c r="V38" s="453">
        <f t="shared" si="24"/>
        <v>0.6808403923316988</v>
      </c>
      <c r="W38" s="453">
        <f t="shared" si="24"/>
        <v>-2.1033314511575529E-2</v>
      </c>
      <c r="X38" s="453">
        <f t="shared" si="24"/>
        <v>0.144190366668141</v>
      </c>
      <c r="Y38" s="179">
        <f t="shared" si="24"/>
        <v>0.30456624428282231</v>
      </c>
      <c r="Z38" s="453">
        <f t="shared" si="24"/>
        <v>0.10776878696614522</v>
      </c>
      <c r="AA38" s="453">
        <f t="shared" si="24"/>
        <v>-0.29073969695964996</v>
      </c>
      <c r="AB38" s="453">
        <f t="shared" si="24"/>
        <v>-6.6330209084355385E-3</v>
      </c>
      <c r="AC38" s="453">
        <f t="shared" si="24"/>
        <v>-0.20321620472380075</v>
      </c>
      <c r="AD38" s="179">
        <f t="shared" si="24"/>
        <v>-0.10722838477307139</v>
      </c>
      <c r="AE38" s="479">
        <f t="shared" si="24"/>
        <v>-0.19899112319433987</v>
      </c>
      <c r="AF38" s="479">
        <f t="shared" si="24"/>
        <v>-7.1101346297681389E-2</v>
      </c>
      <c r="AG38" s="479">
        <f t="shared" si="24"/>
        <v>0.1114820728697925</v>
      </c>
      <c r="AH38" s="479">
        <f>AH36/AC36-1</f>
        <v>0.21831942557733353</v>
      </c>
      <c r="AI38" s="179">
        <f t="shared" si="24"/>
        <v>-8.4978540772532307E-3</v>
      </c>
      <c r="AJ38" s="1033">
        <f t="shared" ref="AJ38:AS38" si="25">AJ36/AE36-1</f>
        <v>5.4387830211828359E-3</v>
      </c>
      <c r="AK38" s="1033">
        <f t="shared" si="25"/>
        <v>0.3062754768255247</v>
      </c>
      <c r="AL38" s="1033">
        <f t="shared" si="25"/>
        <v>8.5760306473379178E-3</v>
      </c>
      <c r="AM38" s="1033">
        <f t="shared" si="25"/>
        <v>-5.6944886906657999E-3</v>
      </c>
      <c r="AN38" s="749">
        <f t="shared" si="25"/>
        <v>6.7883733010128955E-2</v>
      </c>
      <c r="AO38" s="631">
        <f t="shared" si="25"/>
        <v>0.19343555537479151</v>
      </c>
      <c r="AP38" s="631">
        <f t="shared" si="25"/>
        <v>9.4772123126709351E-2</v>
      </c>
      <c r="AQ38" s="631">
        <f t="shared" si="25"/>
        <v>0.50604281767955817</v>
      </c>
      <c r="AR38" s="631">
        <f t="shared" si="25"/>
        <v>0.4216027874564463</v>
      </c>
      <c r="AS38" s="749">
        <f t="shared" si="25"/>
        <v>0.29860864806801724</v>
      </c>
      <c r="AT38" s="631">
        <f t="shared" ref="AT38" si="26">AT36/AO36-1</f>
        <v>5.9094162151109186E-2</v>
      </c>
      <c r="AU38" s="631">
        <f t="shared" ref="AU38" si="27">AU36/AP36-1</f>
        <v>0.22176865960516601</v>
      </c>
      <c r="AV38" s="631">
        <f t="shared" ref="AV38" si="28">AV36/AQ36-1</f>
        <v>-1.2954258855898404E-2</v>
      </c>
      <c r="AW38" s="631">
        <f t="shared" ref="AW38" si="29">AW36/AR36-1</f>
        <v>5.6231688077529762E-2</v>
      </c>
      <c r="AX38" s="749">
        <f>AX36/AS36-1</f>
        <v>7.4757311858163922E-2</v>
      </c>
      <c r="AY38" s="631">
        <f t="shared" ref="AY38" si="30">AY36/AT36-1</f>
        <v>0.17271860218167889</v>
      </c>
      <c r="AZ38" s="631">
        <f t="shared" ref="AZ38" si="31">AZ36/AU36-1</f>
        <v>7.1569976093782683E-2</v>
      </c>
      <c r="BA38" s="631">
        <f t="shared" ref="BA38" si="32">BA36/AV36-1</f>
        <v>0.11331971544715569</v>
      </c>
      <c r="BB38" s="631">
        <f t="shared" ref="BB38" si="33">BB36/AW36-1</f>
        <v>6.3193614637790496E-2</v>
      </c>
      <c r="BC38" s="749">
        <f>BC36/AX36-1</f>
        <v>0.10255285780669277</v>
      </c>
      <c r="BD38" s="631"/>
      <c r="BE38" s="631"/>
      <c r="BF38" s="631"/>
      <c r="BG38" s="631"/>
      <c r="BH38" s="749">
        <f>BH36/BC36-1</f>
        <v>-3.0355727008595346E-2</v>
      </c>
      <c r="BI38" s="631"/>
      <c r="BJ38" s="631"/>
      <c r="BK38" s="631"/>
      <c r="BL38" s="631"/>
      <c r="BM38" s="749">
        <f>BM36/BH36-1</f>
        <v>-2.9641820201611324E-2</v>
      </c>
      <c r="BN38" s="12"/>
      <c r="BO38" s="12"/>
      <c r="BP38" s="12"/>
      <c r="BQ38" s="12"/>
      <c r="BR38" s="12"/>
    </row>
    <row r="39" spans="1:70">
      <c r="A39" s="15"/>
      <c r="B39" s="10" t="s">
        <v>14</v>
      </c>
      <c r="C39" s="188"/>
      <c r="D39" s="179"/>
      <c r="E39" s="179">
        <f t="shared" ref="E39:T39" si="34">E36/E29</f>
        <v>2.7972039384213678</v>
      </c>
      <c r="F39" s="414">
        <f t="shared" si="34"/>
        <v>3.4177021601988149</v>
      </c>
      <c r="G39" s="179">
        <f t="shared" si="34"/>
        <v>2.8499243570347956</v>
      </c>
      <c r="H39" s="179">
        <f t="shared" si="34"/>
        <v>1.1785409975748837</v>
      </c>
      <c r="I39" s="179">
        <f t="shared" si="34"/>
        <v>2.9631731967326598</v>
      </c>
      <c r="J39" s="179">
        <f t="shared" si="34"/>
        <v>2.2173013606829639</v>
      </c>
      <c r="K39" s="179">
        <f t="shared" si="34"/>
        <v>1.978347326557667</v>
      </c>
      <c r="L39" s="179">
        <f t="shared" si="34"/>
        <v>1.8170453508531801</v>
      </c>
      <c r="M39" s="179">
        <f t="shared" si="34"/>
        <v>1.9482282812672482</v>
      </c>
      <c r="N39" s="179">
        <f t="shared" si="34"/>
        <v>1.0624266634867634</v>
      </c>
      <c r="O39" s="179">
        <f t="shared" si="34"/>
        <v>1.7660578698953415</v>
      </c>
      <c r="P39" s="453">
        <f t="shared" si="34"/>
        <v>1.7795252515385365</v>
      </c>
      <c r="Q39" s="453">
        <f t="shared" si="34"/>
        <v>1.5933226780323209</v>
      </c>
      <c r="R39" s="453">
        <f t="shared" si="34"/>
        <v>1.7394008839417254</v>
      </c>
      <c r="S39" s="453">
        <f t="shared" si="34"/>
        <v>0.70314735336194567</v>
      </c>
      <c r="T39" s="179">
        <f t="shared" si="34"/>
        <v>1.2148289839231223</v>
      </c>
      <c r="U39" s="453">
        <f t="shared" ref="U39:AG39" si="35">U36/U29</f>
        <v>2.250081645983018</v>
      </c>
      <c r="V39" s="453">
        <f>V36/V29</f>
        <v>2.0652560942207616</v>
      </c>
      <c r="W39" s="453">
        <f t="shared" si="35"/>
        <v>0.21579040170931307</v>
      </c>
      <c r="X39" s="453">
        <f t="shared" si="35"/>
        <v>0.95882134914751671</v>
      </c>
      <c r="Y39" s="179">
        <f>Y36/Y29</f>
        <v>0.69482511897234533</v>
      </c>
      <c r="Z39" s="453">
        <f t="shared" si="35"/>
        <v>9.3791090629800316</v>
      </c>
      <c r="AA39" s="453">
        <f t="shared" si="35"/>
        <v>2.2138052364690055</v>
      </c>
      <c r="AB39" s="453">
        <f t="shared" si="35"/>
        <v>4.1903892944038921</v>
      </c>
      <c r="AC39" s="453">
        <f t="shared" si="35"/>
        <v>4.0969986086265147</v>
      </c>
      <c r="AD39" s="179">
        <f>AD36/AD29</f>
        <v>4.0732485468292463</v>
      </c>
      <c r="AE39" s="479">
        <f t="shared" si="35"/>
        <v>1.6743580965422797</v>
      </c>
      <c r="AF39" s="479">
        <f t="shared" si="35"/>
        <v>2.9051169590643275</v>
      </c>
      <c r="AG39" s="479">
        <f t="shared" si="35"/>
        <v>1.3577846081097058</v>
      </c>
      <c r="AH39" s="479">
        <f>AH36/AH29</f>
        <v>0.65957502692196579</v>
      </c>
      <c r="AI39" s="179">
        <f t="shared" ref="AI39:AN39" si="36">AI36/AI29</f>
        <v>1.2089591292061332</v>
      </c>
      <c r="AJ39" s="1033">
        <f t="shared" si="36"/>
        <v>0.75127570507532015</v>
      </c>
      <c r="AK39" s="1033">
        <f t="shared" si="36"/>
        <v>0.83160862461154006</v>
      </c>
      <c r="AL39" s="1033">
        <f t="shared" si="36"/>
        <v>0.52187232508897585</v>
      </c>
      <c r="AM39" s="1033">
        <f t="shared" si="36"/>
        <v>0.46840002251111479</v>
      </c>
      <c r="AN39" s="749">
        <f t="shared" si="36"/>
        <v>0.61049486207088532</v>
      </c>
      <c r="AO39" s="631">
        <f t="shared" ref="AO39:AX39" si="37">AO36/AO29</f>
        <v>0.34344604796516731</v>
      </c>
      <c r="AP39" s="631">
        <f t="shared" si="37"/>
        <v>0.47073732337204105</v>
      </c>
      <c r="AQ39" s="631">
        <f t="shared" si="37"/>
        <v>0.48307800937303147</v>
      </c>
      <c r="AR39" s="631">
        <f t="shared" si="37"/>
        <v>0.40585874524062704</v>
      </c>
      <c r="AS39" s="749">
        <f t="shared" si="37"/>
        <v>0.46776683932149937</v>
      </c>
      <c r="AT39" s="631">
        <f t="shared" si="37"/>
        <v>0.59573285281601041</v>
      </c>
      <c r="AU39" s="631">
        <f t="shared" si="37"/>
        <v>0.53350646157628656</v>
      </c>
      <c r="AV39" s="631">
        <f t="shared" si="37"/>
        <v>0.39665994817160954</v>
      </c>
      <c r="AW39" s="631">
        <f t="shared" si="37"/>
        <v>0.39797044836956519</v>
      </c>
      <c r="AX39" s="749">
        <f t="shared" si="37"/>
        <v>0.46174683849857173</v>
      </c>
      <c r="AY39" s="631">
        <f t="shared" ref="AY39:BB39" si="38">AY36/AY29</f>
        <v>0.44261990711159738</v>
      </c>
      <c r="AZ39" s="631">
        <f t="shared" si="38"/>
        <v>0.42617777001501006</v>
      </c>
      <c r="BA39" s="631">
        <f t="shared" si="38"/>
        <v>0.41324152421092569</v>
      </c>
      <c r="BB39" s="631">
        <f t="shared" si="38"/>
        <v>0.38951877186400752</v>
      </c>
      <c r="BC39" s="749">
        <f>BC36/BC29</f>
        <v>0.41591097553576717</v>
      </c>
      <c r="BD39" s="631"/>
      <c r="BE39" s="631"/>
      <c r="BF39" s="631"/>
      <c r="BG39" s="631"/>
      <c r="BH39" s="749">
        <f>BH36/BH29</f>
        <v>0.32582029674056784</v>
      </c>
      <c r="BI39" s="631"/>
      <c r="BJ39" s="631"/>
      <c r="BK39" s="631"/>
      <c r="BL39" s="631"/>
      <c r="BM39" s="749">
        <f>BM36/BM29</f>
        <v>0.25758677298365207</v>
      </c>
      <c r="BN39" s="12"/>
      <c r="BO39" s="12"/>
      <c r="BP39" s="12"/>
      <c r="BQ39" s="12"/>
      <c r="BR39" s="12"/>
    </row>
    <row r="40" spans="1:70">
      <c r="A40" s="15"/>
      <c r="B40" s="10"/>
      <c r="C40" s="188"/>
      <c r="D40" s="179"/>
      <c r="E40" s="179"/>
      <c r="F40" s="179"/>
      <c r="G40" s="179"/>
      <c r="H40" s="179"/>
      <c r="I40" s="179"/>
      <c r="J40" s="179"/>
      <c r="K40" s="179"/>
      <c r="L40" s="179"/>
      <c r="M40" s="179"/>
      <c r="N40" s="179"/>
      <c r="O40" s="179"/>
      <c r="P40" s="453"/>
      <c r="Q40" s="453"/>
      <c r="R40" s="453"/>
      <c r="S40" s="453"/>
      <c r="T40" s="179"/>
      <c r="U40" s="453"/>
      <c r="V40" s="453"/>
      <c r="W40" s="453"/>
      <c r="X40" s="453"/>
      <c r="Y40" s="179"/>
      <c r="Z40" s="453"/>
      <c r="AA40" s="453"/>
      <c r="AB40" s="453"/>
      <c r="AC40" s="453"/>
      <c r="AD40" s="179"/>
      <c r="AE40" s="479"/>
      <c r="AF40" s="479"/>
      <c r="AG40" s="479"/>
      <c r="AH40" s="479"/>
      <c r="AI40" s="179"/>
      <c r="AJ40" s="453"/>
      <c r="AK40" s="1033"/>
      <c r="AL40" s="1036"/>
      <c r="AM40" s="1036"/>
      <c r="AN40" s="19"/>
      <c r="AO40" s="479"/>
      <c r="AP40" s="479"/>
      <c r="AQ40" s="479"/>
      <c r="AR40" s="479"/>
      <c r="AS40" s="19"/>
      <c r="AT40" s="479"/>
      <c r="AU40" s="479"/>
      <c r="AV40" s="479"/>
      <c r="AW40" s="479"/>
      <c r="AX40" s="741"/>
      <c r="AY40" s="479"/>
      <c r="AZ40" s="479"/>
      <c r="BA40" s="479"/>
      <c r="BB40" s="479"/>
      <c r="BC40" s="19"/>
      <c r="BD40" s="479"/>
      <c r="BE40" s="479"/>
      <c r="BF40" s="479"/>
      <c r="BG40" s="479"/>
      <c r="BH40" s="19"/>
      <c r="BI40" s="479"/>
      <c r="BJ40" s="479"/>
      <c r="BK40" s="479"/>
      <c r="BL40" s="479"/>
      <c r="BM40" s="19"/>
      <c r="BN40" s="12"/>
      <c r="BO40" s="1000"/>
      <c r="BP40" s="12"/>
      <c r="BQ40" s="12"/>
      <c r="BR40" s="12"/>
    </row>
    <row r="41" spans="1:70">
      <c r="A41" s="15"/>
      <c r="B41" s="14" t="s">
        <v>540</v>
      </c>
      <c r="C41" s="14"/>
      <c r="D41" s="189"/>
      <c r="E41" s="189">
        <v>15.269</v>
      </c>
      <c r="F41" s="128">
        <f>5.194-0.289</f>
        <v>4.9050000000000002</v>
      </c>
      <c r="G41" s="128">
        <f>5.79-0.352</f>
        <v>5.4379999999999997</v>
      </c>
      <c r="H41" s="128">
        <f>4.941-0.636</f>
        <v>4.3049999999999997</v>
      </c>
      <c r="I41" s="128">
        <f>J41-SUM(F41:H41)</f>
        <v>4.3889999999999993</v>
      </c>
      <c r="J41" s="169">
        <v>19.036999999999999</v>
      </c>
      <c r="K41" s="128">
        <f>6.643-0.879</f>
        <v>5.7639999999999993</v>
      </c>
      <c r="L41" s="128">
        <f>7.325-0.65</f>
        <v>6.6749999999999998</v>
      </c>
      <c r="M41" s="128">
        <f>6.482-0.79</f>
        <v>5.6920000000000002</v>
      </c>
      <c r="N41" s="407">
        <f>O41-SUM(K41:M41)-0.42*7.181</f>
        <v>6.021980000000001</v>
      </c>
      <c r="O41" s="133">
        <f>27.169</f>
        <v>27.169</v>
      </c>
      <c r="P41" s="454">
        <f>9.224-1.36</f>
        <v>7.8639999999999999</v>
      </c>
      <c r="Q41" s="454">
        <f>10.805-1.486</f>
        <v>9.3189999999999991</v>
      </c>
      <c r="R41" s="454">
        <f>10.929-1.209</f>
        <v>9.7200000000000006</v>
      </c>
      <c r="S41" s="454">
        <f>14.962-1.606</f>
        <v>13.356</v>
      </c>
      <c r="T41" s="133">
        <f>SUM(P41:S41)</f>
        <v>40.259</v>
      </c>
      <c r="U41" s="454">
        <f>18.374-1.77</f>
        <v>16.603999999999999</v>
      </c>
      <c r="V41" s="454">
        <f>23.2-1.979</f>
        <v>21.221</v>
      </c>
      <c r="W41" s="454">
        <f>25.352-2.487</f>
        <v>22.865000000000002</v>
      </c>
      <c r="X41" s="454">
        <f>33.274-2.257</f>
        <v>31.016999999999999</v>
      </c>
      <c r="Y41" s="98">
        <f>SUM(U41:X41)</f>
        <v>91.707000000000008</v>
      </c>
      <c r="Z41" s="474">
        <f>33.374-3.051</f>
        <v>30.323</v>
      </c>
      <c r="AA41" s="474">
        <f>30.87-2.116</f>
        <v>28.754000000000001</v>
      </c>
      <c r="AB41" s="474">
        <f>30.264-2.85</f>
        <v>27.413999999999998</v>
      </c>
      <c r="AC41" s="474">
        <f>28.72-2.634</f>
        <v>26.085999999999999</v>
      </c>
      <c r="AD41" s="133">
        <f>SUM(Z41:AC41)</f>
        <v>112.577</v>
      </c>
      <c r="AE41" s="474">
        <f>29.924-3.384</f>
        <v>26.54</v>
      </c>
      <c r="AF41" s="474">
        <f>29.299-3.741</f>
        <v>25.558</v>
      </c>
      <c r="AG41" s="474">
        <f>28.535-3.385</f>
        <v>25.15</v>
      </c>
      <c r="AH41" s="474">
        <f>30.575-6.192</f>
        <v>24.382999999999999</v>
      </c>
      <c r="AI41" s="133">
        <f>SUM(AE41:AH41)</f>
        <v>101.63099999999999</v>
      </c>
      <c r="AJ41" s="1029">
        <f>30.346-AJ83</f>
        <v>26.974</v>
      </c>
      <c r="AK41" s="1029">
        <f>32.955-AK83</f>
        <v>28.742999999999999</v>
      </c>
      <c r="AL41" s="1029">
        <f>30.439-AL83</f>
        <v>26.460999999999999</v>
      </c>
      <c r="AM41" s="1029">
        <f>31.507-AM83</f>
        <v>27.664999999999999</v>
      </c>
      <c r="AN41" s="741">
        <f>SUM(AJ41:AM41)</f>
        <v>109.84299999999999</v>
      </c>
      <c r="AO41" s="1029">
        <f>36.168-AO83</f>
        <v>31.860999999999997</v>
      </c>
      <c r="AP41" s="739">
        <f>36.918-4.632</f>
        <v>32.286000000000001</v>
      </c>
      <c r="AQ41" s="739">
        <f>44.987-AQ83</f>
        <v>40.688000000000002</v>
      </c>
      <c r="AR41" s="739">
        <f>55.208-AR83</f>
        <v>50.570999999999998</v>
      </c>
      <c r="AS41" s="745">
        <f>AR41+AQ41+AP41+AO41</f>
        <v>155.40600000000001</v>
      </c>
      <c r="AT41" s="739">
        <f>55.604-AT83</f>
        <v>50.95</v>
      </c>
      <c r="AU41" s="739">
        <f>57.792-AU83</f>
        <v>53.138000000000005</v>
      </c>
      <c r="AV41" s="739">
        <f>61.774-AV83</f>
        <v>57.120000000000005</v>
      </c>
      <c r="AW41" s="739">
        <f>57.953-AW83</f>
        <v>53.299000000000007</v>
      </c>
      <c r="AX41" s="745">
        <f>AW41+AV41+AU41+AT41</f>
        <v>214.50700000000001</v>
      </c>
      <c r="AY41" s="600">
        <f>BC41*0.24</f>
        <v>51.752398079999999</v>
      </c>
      <c r="AZ41" s="600">
        <f>BC41*0.245</f>
        <v>52.830573040000004</v>
      </c>
      <c r="BA41" s="600">
        <f>BC41*0.2525</f>
        <v>54.447835480000002</v>
      </c>
      <c r="BB41" s="739">
        <f>BC41-BA41-AZ41-AY41</f>
        <v>56.604185399999999</v>
      </c>
      <c r="BC41" s="741">
        <f>BC110</f>
        <v>215.63499200000001</v>
      </c>
      <c r="BD41" s="739"/>
      <c r="BE41" s="739"/>
      <c r="BF41" s="739"/>
      <c r="BG41" s="739"/>
      <c r="BH41" s="741">
        <f>BH110</f>
        <v>218.74386009</v>
      </c>
      <c r="BI41" s="739"/>
      <c r="BJ41" s="739"/>
      <c r="BK41" s="739"/>
      <c r="BL41" s="739"/>
      <c r="BM41" s="741">
        <f>BM110</f>
        <v>208.08616741680001</v>
      </c>
      <c r="BN41" s="12"/>
      <c r="BO41" s="1000"/>
      <c r="BP41" s="12"/>
      <c r="BQ41" s="12"/>
      <c r="BR41" s="12"/>
    </row>
    <row r="42" spans="1:70">
      <c r="A42" s="15"/>
      <c r="B42" s="14"/>
      <c r="C42" s="14"/>
      <c r="D42" s="189"/>
      <c r="E42" s="189"/>
      <c r="F42" s="128"/>
      <c r="G42" s="128"/>
      <c r="H42" s="128"/>
      <c r="I42" s="128"/>
      <c r="J42" s="169"/>
      <c r="K42" s="128"/>
      <c r="L42" s="128"/>
      <c r="M42" s="128"/>
      <c r="N42" s="407"/>
      <c r="O42" s="133"/>
      <c r="P42" s="454"/>
      <c r="Q42" s="454"/>
      <c r="R42" s="454"/>
      <c r="S42" s="454"/>
      <c r="T42" s="133"/>
      <c r="U42" s="454"/>
      <c r="V42" s="454"/>
      <c r="W42" s="454"/>
      <c r="X42" s="454"/>
      <c r="Y42" s="98"/>
      <c r="Z42" s="474"/>
      <c r="AA42" s="474"/>
      <c r="AB42" s="474"/>
      <c r="AC42" s="474"/>
      <c r="AD42" s="133"/>
      <c r="AE42" s="474"/>
      <c r="AF42" s="474"/>
      <c r="AG42" s="474"/>
      <c r="AH42" s="474"/>
      <c r="AI42" s="133"/>
      <c r="AJ42" s="472"/>
      <c r="AK42" s="472"/>
      <c r="AL42" s="474"/>
      <c r="AM42" s="474"/>
      <c r="AN42" s="751"/>
      <c r="AO42" s="480"/>
      <c r="AP42" s="480"/>
      <c r="AQ42" s="479"/>
      <c r="AR42" s="479"/>
      <c r="AS42" s="19"/>
      <c r="AT42" s="480"/>
      <c r="AU42" s="480"/>
      <c r="AV42" s="480"/>
      <c r="AW42" s="480"/>
      <c r="AX42" s="418"/>
      <c r="AY42" s="480"/>
      <c r="AZ42" s="480"/>
      <c r="BA42" s="480"/>
      <c r="BB42" s="480"/>
      <c r="BC42" s="418"/>
      <c r="BD42" s="480"/>
      <c r="BE42" s="480"/>
      <c r="BF42" s="480"/>
      <c r="BG42" s="480"/>
      <c r="BH42" s="418"/>
      <c r="BI42" s="480"/>
      <c r="BJ42" s="480"/>
      <c r="BK42" s="480"/>
      <c r="BL42" s="480"/>
      <c r="BM42" s="418"/>
      <c r="BN42" s="12"/>
      <c r="BO42" s="12"/>
      <c r="BP42" s="12"/>
      <c r="BQ42" s="12"/>
      <c r="BR42" s="12"/>
    </row>
    <row r="43" spans="1:70">
      <c r="A43" s="15"/>
      <c r="B43" s="10" t="s">
        <v>397</v>
      </c>
      <c r="C43" s="188"/>
      <c r="D43" s="179"/>
      <c r="E43" s="179"/>
      <c r="F43" s="179"/>
      <c r="G43" s="179"/>
      <c r="H43" s="179"/>
      <c r="I43" s="179"/>
      <c r="J43" s="179">
        <f t="shared" ref="J43:AJ43" si="39">J41/E41-1</f>
        <v>0.24677451044600174</v>
      </c>
      <c r="K43" s="179">
        <f t="shared" si="39"/>
        <v>0.17512742099898038</v>
      </c>
      <c r="L43" s="179">
        <f t="shared" si="39"/>
        <v>0.22747333578521522</v>
      </c>
      <c r="M43" s="179">
        <f t="shared" si="39"/>
        <v>0.32218350754936131</v>
      </c>
      <c r="N43" s="179">
        <f t="shared" si="39"/>
        <v>0.37206197311460509</v>
      </c>
      <c r="O43" s="179">
        <f t="shared" si="39"/>
        <v>0.42716814624152977</v>
      </c>
      <c r="P43" s="453">
        <f t="shared" si="39"/>
        <v>0.36433032616238736</v>
      </c>
      <c r="Q43" s="453">
        <f t="shared" si="39"/>
        <v>0.39610486891385754</v>
      </c>
      <c r="R43" s="453">
        <f t="shared" si="39"/>
        <v>0.70765987350667614</v>
      </c>
      <c r="S43" s="453">
        <f t="shared" si="39"/>
        <v>1.2178751839096109</v>
      </c>
      <c r="T43" s="179">
        <f t="shared" si="39"/>
        <v>0.48179910927895753</v>
      </c>
      <c r="U43" s="453">
        <f t="shared" si="39"/>
        <v>1.1113936927772126</v>
      </c>
      <c r="V43" s="453">
        <f t="shared" si="39"/>
        <v>1.2771756626247455</v>
      </c>
      <c r="W43" s="453">
        <f t="shared" si="39"/>
        <v>1.352366255144033</v>
      </c>
      <c r="X43" s="453">
        <f t="shared" si="39"/>
        <v>1.3223270440251573</v>
      </c>
      <c r="Y43" s="179">
        <f t="shared" si="39"/>
        <v>1.2779254328224745</v>
      </c>
      <c r="Z43" s="453">
        <f t="shared" si="39"/>
        <v>0.82624668754516994</v>
      </c>
      <c r="AA43" s="453">
        <f t="shared" si="39"/>
        <v>0.35497855897460062</v>
      </c>
      <c r="AB43" s="453">
        <f t="shared" si="39"/>
        <v>0.19895036081347017</v>
      </c>
      <c r="AC43" s="453">
        <f t="shared" si="39"/>
        <v>-0.15897733500983335</v>
      </c>
      <c r="AD43" s="179">
        <f t="shared" si="39"/>
        <v>0.22757259533078167</v>
      </c>
      <c r="AE43" s="479">
        <f t="shared" si="39"/>
        <v>-0.12475678527850154</v>
      </c>
      <c r="AF43" s="479">
        <f t="shared" si="39"/>
        <v>-0.1111497530778327</v>
      </c>
      <c r="AG43" s="479">
        <f t="shared" si="39"/>
        <v>-8.2585540234916488E-2</v>
      </c>
      <c r="AH43" s="479">
        <f t="shared" si="39"/>
        <v>-6.5284060415548573E-2</v>
      </c>
      <c r="AI43" s="179">
        <f t="shared" si="39"/>
        <v>-9.7231228403670489E-2</v>
      </c>
      <c r="AJ43" s="1033">
        <f t="shared" si="39"/>
        <v>1.6352675207234491E-2</v>
      </c>
      <c r="AK43" s="1033">
        <f t="shared" ref="AK43:AS43" si="40">AK41/AF41-1</f>
        <v>0.12461851475076302</v>
      </c>
      <c r="AL43" s="1033">
        <f t="shared" si="40"/>
        <v>5.2127236580516989E-2</v>
      </c>
      <c r="AM43" s="1033">
        <f t="shared" si="40"/>
        <v>0.13460197678710584</v>
      </c>
      <c r="AN43" s="749">
        <f t="shared" si="40"/>
        <v>8.0802117464159551E-2</v>
      </c>
      <c r="AO43" s="631">
        <f t="shared" si="40"/>
        <v>0.18117446429895434</v>
      </c>
      <c r="AP43" s="631">
        <f t="shared" si="40"/>
        <v>0.12326479490658615</v>
      </c>
      <c r="AQ43" s="631">
        <f t="shared" si="40"/>
        <v>0.53765919655341832</v>
      </c>
      <c r="AR43" s="631">
        <f t="shared" si="40"/>
        <v>0.82797758901138629</v>
      </c>
      <c r="AS43" s="749">
        <f t="shared" si="40"/>
        <v>0.41480112524239154</v>
      </c>
      <c r="AT43" s="631">
        <f t="shared" ref="AT43" si="41">AT41/AO41-1</f>
        <v>0.59913373717083607</v>
      </c>
      <c r="AU43" s="631">
        <f t="shared" ref="AU43" si="42">AU41/AP41-1</f>
        <v>0.64585269156910119</v>
      </c>
      <c r="AV43" s="631">
        <f t="shared" ref="AV43" si="43">AV41/AQ41-1</f>
        <v>0.40385371608336618</v>
      </c>
      <c r="AW43" s="631">
        <f t="shared" ref="AW43" si="44">AW41/AR41-1</f>
        <v>5.3943959977062139E-2</v>
      </c>
      <c r="AX43" s="749">
        <f>AX41/AS41-1</f>
        <v>0.38030063189323449</v>
      </c>
      <c r="AY43" s="631">
        <f t="shared" ref="AY43" si="45">AY41/AT41-1</f>
        <v>1.5748735623159815E-2</v>
      </c>
      <c r="AZ43" s="631">
        <f t="shared" ref="AZ43" si="46">AZ41/AU41-1</f>
        <v>-5.7854446911814739E-3</v>
      </c>
      <c r="BA43" s="631">
        <f t="shared" ref="BA43" si="47">BA41/AV41-1</f>
        <v>-4.6781591736694716E-2</v>
      </c>
      <c r="BB43" s="631">
        <f t="shared" ref="BB43" si="48">BB41/AW41-1</f>
        <v>6.2012146569353943E-2</v>
      </c>
      <c r="BC43" s="749">
        <f>BC41/AX41-1</f>
        <v>5.2585323555875974E-3</v>
      </c>
      <c r="BD43" s="631"/>
      <c r="BE43" s="631"/>
      <c r="BF43" s="631"/>
      <c r="BG43" s="631"/>
      <c r="BH43" s="749">
        <f>BH41/BC41-1</f>
        <v>1.4417270875962451E-2</v>
      </c>
      <c r="BI43" s="631"/>
      <c r="BJ43" s="631"/>
      <c r="BK43" s="631"/>
      <c r="BL43" s="631"/>
      <c r="BM43" s="749">
        <f>BM41/BH41-1</f>
        <v>-4.8722248335633211E-2</v>
      </c>
      <c r="BN43" s="12"/>
      <c r="BO43" s="12"/>
      <c r="BP43" s="12"/>
      <c r="BQ43" s="12"/>
      <c r="BR43" s="12"/>
    </row>
    <row r="44" spans="1:70">
      <c r="A44" s="15"/>
      <c r="B44" s="10" t="s">
        <v>16</v>
      </c>
      <c r="C44" s="188"/>
      <c r="D44" s="179"/>
      <c r="E44" s="179">
        <f>E41/E29</f>
        <v>0.83060436272643212</v>
      </c>
      <c r="F44" s="179">
        <f t="shared" ref="F44:X44" si="49">F41/F29</f>
        <v>0.93767922003441029</v>
      </c>
      <c r="G44" s="179">
        <f t="shared" si="49"/>
        <v>0.82269288956127073</v>
      </c>
      <c r="H44" s="179">
        <f t="shared" si="49"/>
        <v>0.28216556334797144</v>
      </c>
      <c r="I44" s="179">
        <f t="shared" si="49"/>
        <v>0.60764225391111748</v>
      </c>
      <c r="J44" s="179">
        <f>J41/J29</f>
        <v>0.55467498033274087</v>
      </c>
      <c r="K44" s="179">
        <f t="shared" si="49"/>
        <v>0.63676535572249227</v>
      </c>
      <c r="L44" s="179">
        <f t="shared" si="49"/>
        <v>0.60908842047632084</v>
      </c>
      <c r="M44" s="179">
        <f t="shared" si="49"/>
        <v>0.62832542223203447</v>
      </c>
      <c r="N44" s="179">
        <f t="shared" si="49"/>
        <v>0.35904960648700224</v>
      </c>
      <c r="O44" s="179">
        <f>O41/O29</f>
        <v>0.61949061723328092</v>
      </c>
      <c r="P44" s="453">
        <f t="shared" si="49"/>
        <v>0.76819380677932991</v>
      </c>
      <c r="Q44" s="453">
        <f t="shared" si="49"/>
        <v>0.82747291777659371</v>
      </c>
      <c r="R44" s="453">
        <f t="shared" si="49"/>
        <v>0.79554755279096423</v>
      </c>
      <c r="S44" s="453">
        <f t="shared" si="49"/>
        <v>0.4153760029856316</v>
      </c>
      <c r="T44" s="179">
        <f>T41/T29</f>
        <v>0.61117942645473722</v>
      </c>
      <c r="U44" s="453">
        <f t="shared" si="49"/>
        <v>1.3556499020248205</v>
      </c>
      <c r="V44" s="453">
        <f t="shared" si="49"/>
        <v>1.4530950424541222</v>
      </c>
      <c r="W44" s="453">
        <f t="shared" si="49"/>
        <v>0.23715681495234048</v>
      </c>
      <c r="X44" s="453">
        <f t="shared" si="49"/>
        <v>1.1496293550778354</v>
      </c>
      <c r="Y44" s="179">
        <f t="shared" ref="Y44:AI44" si="50">Y41/Y29</f>
        <v>0.61038304103297958</v>
      </c>
      <c r="Z44" s="453">
        <f t="shared" si="50"/>
        <v>9.3158218125960062</v>
      </c>
      <c r="AA44" s="453">
        <f t="shared" si="50"/>
        <v>2.9756804305081239</v>
      </c>
      <c r="AB44" s="453">
        <f t="shared" si="50"/>
        <v>5.5583941605839406</v>
      </c>
      <c r="AC44" s="453">
        <f t="shared" si="50"/>
        <v>5.1850526734247655</v>
      </c>
      <c r="AD44" s="179">
        <f t="shared" si="50"/>
        <v>4.9201083868712034</v>
      </c>
      <c r="AE44" s="479">
        <f t="shared" si="50"/>
        <v>1.8171858952413555</v>
      </c>
      <c r="AF44" s="479">
        <f t="shared" si="50"/>
        <v>3.7365497076023391</v>
      </c>
      <c r="AG44" s="479">
        <f t="shared" si="50"/>
        <v>1.4865823383378649</v>
      </c>
      <c r="AH44" s="479">
        <f>AH41/AH29</f>
        <v>0.64042759961127316</v>
      </c>
      <c r="AI44" s="179">
        <f t="shared" si="50"/>
        <v>1.3296221675650217</v>
      </c>
      <c r="AJ44" s="1033">
        <f t="shared" ref="AJ44:AS44" si="51">AJ41/AJ29</f>
        <v>0.82421242399242223</v>
      </c>
      <c r="AK44" s="1033">
        <f t="shared" si="51"/>
        <v>0.92086630570595573</v>
      </c>
      <c r="AL44" s="1033">
        <f t="shared" si="51"/>
        <v>0.59604901563274304</v>
      </c>
      <c r="AM44" s="1033">
        <f t="shared" si="51"/>
        <v>0.51897499390323965</v>
      </c>
      <c r="AN44" s="749">
        <f t="shared" si="51"/>
        <v>0.67954912429395997</v>
      </c>
      <c r="AO44" s="631">
        <f t="shared" si="51"/>
        <v>0.37291805657970201</v>
      </c>
      <c r="AP44" s="631">
        <f t="shared" si="51"/>
        <v>0.53482863153709814</v>
      </c>
      <c r="AQ44" s="631">
        <f t="shared" si="51"/>
        <v>0.56332334189412769</v>
      </c>
      <c r="AR44" s="631">
        <f t="shared" si="51"/>
        <v>0.57822522553425026</v>
      </c>
      <c r="AS44" s="749">
        <f t="shared" si="51"/>
        <v>0.56726420569651448</v>
      </c>
      <c r="AT44" s="631">
        <f t="shared" ref="AT44:AW44" si="52">AT41/AT29</f>
        <v>0.97668979795268962</v>
      </c>
      <c r="AU44" s="631">
        <f t="shared" si="52"/>
        <v>0.81654040598060773</v>
      </c>
      <c r="AV44" s="631">
        <f t="shared" si="52"/>
        <v>0.65787503599193786</v>
      </c>
      <c r="AW44" s="631">
        <f t="shared" si="52"/>
        <v>0.56575874660326098</v>
      </c>
      <c r="AX44" s="749">
        <f>AX41/AX29</f>
        <v>0.71915608362724459</v>
      </c>
      <c r="AY44" s="631">
        <f t="shared" ref="AY44:BB44" si="53">AY41/AY29</f>
        <v>0.62853362955771497</v>
      </c>
      <c r="AZ44" s="631">
        <f t="shared" si="53"/>
        <v>0.60518529853834668</v>
      </c>
      <c r="BA44" s="631">
        <f t="shared" si="53"/>
        <v>0.58681543898740274</v>
      </c>
      <c r="BB44" s="631">
        <f t="shared" si="53"/>
        <v>0.55312841453111716</v>
      </c>
      <c r="BC44" s="749">
        <f>BC41/BC29</f>
        <v>0.59060614045196036</v>
      </c>
      <c r="BD44" s="631"/>
      <c r="BE44" s="631"/>
      <c r="BF44" s="631"/>
      <c r="BG44" s="631"/>
      <c r="BH44" s="749">
        <f>BH41/BH29</f>
        <v>0.48403850350791999</v>
      </c>
      <c r="BI44" s="631"/>
      <c r="BJ44" s="631"/>
      <c r="BK44" s="631"/>
      <c r="BL44" s="631"/>
      <c r="BM44" s="749">
        <f>BM41/BM29</f>
        <v>0.37514624306163585</v>
      </c>
      <c r="BN44" s="12"/>
      <c r="BO44" s="12"/>
      <c r="BP44" s="12"/>
      <c r="BQ44" s="12"/>
      <c r="BR44" s="12"/>
    </row>
    <row r="45" spans="1:70">
      <c r="A45" s="15"/>
      <c r="B45" s="10"/>
      <c r="C45" s="188"/>
      <c r="D45" s="179"/>
      <c r="E45" s="179"/>
      <c r="F45" s="179"/>
      <c r="G45" s="179"/>
      <c r="H45" s="179"/>
      <c r="I45" s="179"/>
      <c r="J45" s="179"/>
      <c r="K45" s="179"/>
      <c r="L45" s="179"/>
      <c r="M45" s="179"/>
      <c r="N45" s="179"/>
      <c r="O45" s="179"/>
      <c r="P45" s="453"/>
      <c r="Q45" s="453"/>
      <c r="R45" s="453"/>
      <c r="S45" s="453"/>
      <c r="T45" s="179"/>
      <c r="U45" s="453"/>
      <c r="V45" s="453"/>
      <c r="W45" s="453"/>
      <c r="X45" s="453"/>
      <c r="Y45" s="179"/>
      <c r="Z45" s="453"/>
      <c r="AA45" s="453"/>
      <c r="AB45" s="453"/>
      <c r="AC45" s="453"/>
      <c r="AD45" s="179"/>
      <c r="AE45" s="479"/>
      <c r="AF45" s="479"/>
      <c r="AG45" s="479"/>
      <c r="AH45" s="479"/>
      <c r="AI45" s="179"/>
      <c r="AJ45" s="453"/>
      <c r="AK45" s="453"/>
      <c r="AL45" s="453"/>
      <c r="AM45" s="453"/>
      <c r="AN45" s="752"/>
      <c r="AO45" s="479"/>
      <c r="AP45" s="479"/>
      <c r="AQ45" s="479"/>
      <c r="AR45" s="479"/>
      <c r="AS45" s="19"/>
      <c r="AT45" s="479"/>
      <c r="AU45" s="479"/>
      <c r="AV45" s="479"/>
      <c r="AW45" s="479"/>
      <c r="AX45" s="19"/>
      <c r="AY45" s="479"/>
      <c r="AZ45" s="479"/>
      <c r="BA45" s="479"/>
      <c r="BB45" s="479"/>
      <c r="BC45" s="19"/>
      <c r="BD45" s="479"/>
      <c r="BE45" s="479"/>
      <c r="BF45" s="479"/>
      <c r="BG45" s="479"/>
      <c r="BH45" s="19"/>
      <c r="BI45" s="479"/>
      <c r="BJ45" s="479"/>
      <c r="BK45" s="479"/>
      <c r="BL45" s="479"/>
      <c r="BM45" s="19"/>
      <c r="BN45" s="12"/>
      <c r="BO45" s="12"/>
      <c r="BP45" s="12"/>
      <c r="BQ45" s="12"/>
      <c r="BR45" s="12"/>
    </row>
    <row r="46" spans="1:70">
      <c r="A46" s="15"/>
      <c r="B46" s="94" t="s">
        <v>504</v>
      </c>
      <c r="C46" s="188"/>
      <c r="D46" s="179"/>
      <c r="E46" s="179"/>
      <c r="F46" s="169"/>
      <c r="G46" s="169"/>
      <c r="H46" s="169"/>
      <c r="I46" s="169"/>
      <c r="J46" s="179"/>
      <c r="K46" s="169"/>
      <c r="L46" s="169"/>
      <c r="M46" s="169"/>
      <c r="N46" s="169"/>
      <c r="O46" s="169"/>
      <c r="P46" s="455"/>
      <c r="Q46" s="455"/>
      <c r="R46" s="455"/>
      <c r="S46" s="455"/>
      <c r="T46" s="169"/>
      <c r="U46" s="454">
        <v>0</v>
      </c>
      <c r="V46" s="454">
        <v>0</v>
      </c>
      <c r="W46" s="454">
        <v>0</v>
      </c>
      <c r="X46" s="454">
        <v>8.3680000000000003</v>
      </c>
      <c r="Y46" s="98">
        <f>SUM(U46:X46)</f>
        <v>8.3680000000000003</v>
      </c>
      <c r="Z46" s="472">
        <f>Z20</f>
        <v>24.730000000000004</v>
      </c>
      <c r="AA46" s="472">
        <f>AA20</f>
        <v>11.161999999999999</v>
      </c>
      <c r="AB46" s="472">
        <f>AB20</f>
        <v>6.1820000000000004</v>
      </c>
      <c r="AC46" s="472">
        <f>AC20</f>
        <v>0</v>
      </c>
      <c r="AD46" s="133">
        <f>SUM(Z46:AC46)</f>
        <v>42.074000000000005</v>
      </c>
      <c r="AE46" s="480">
        <f>AE20</f>
        <v>0</v>
      </c>
      <c r="AF46" s="480">
        <f>AF20</f>
        <v>0</v>
      </c>
      <c r="AG46" s="480">
        <f>AG20</f>
        <v>0</v>
      </c>
      <c r="AH46" s="480">
        <f>AH20</f>
        <v>0</v>
      </c>
      <c r="AI46" s="133">
        <f>SUM(AE46:AH46)</f>
        <v>0</v>
      </c>
      <c r="AJ46" s="1029">
        <f>AJ20</f>
        <v>0</v>
      </c>
      <c r="AK46" s="1029">
        <v>0</v>
      </c>
      <c r="AL46" s="1029">
        <v>9.4879999999999995</v>
      </c>
      <c r="AM46" s="1029">
        <v>0</v>
      </c>
      <c r="AN46" s="741">
        <f>SUM(AJ46:AM46)</f>
        <v>9.4879999999999995</v>
      </c>
      <c r="AO46" s="739">
        <v>0</v>
      </c>
      <c r="AP46" s="739">
        <v>0</v>
      </c>
      <c r="AQ46" s="739">
        <v>0</v>
      </c>
      <c r="AR46" s="739">
        <v>0</v>
      </c>
      <c r="AS46" s="741">
        <f>+IF(Linaclotide!L125&lt;0,-Linaclotide!L125,0)</f>
        <v>0</v>
      </c>
      <c r="AT46" s="739">
        <v>0</v>
      </c>
      <c r="AU46" s="739">
        <v>0</v>
      </c>
      <c r="AV46" s="739">
        <v>0</v>
      </c>
      <c r="AW46" s="739">
        <v>0</v>
      </c>
      <c r="AX46" s="741">
        <f>+IF(Linaclotide!M125&lt;0,-Linaclotide!M125,0)</f>
        <v>0</v>
      </c>
      <c r="AY46" s="739">
        <v>0</v>
      </c>
      <c r="AZ46" s="739">
        <v>0</v>
      </c>
      <c r="BA46" s="739">
        <v>0</v>
      </c>
      <c r="BB46" s="739">
        <v>0</v>
      </c>
      <c r="BC46" s="741">
        <f>+IF(Linaclotide!N125&lt;0,-Linaclotide!N125,0)</f>
        <v>0</v>
      </c>
      <c r="BD46" s="739"/>
      <c r="BE46" s="739"/>
      <c r="BF46" s="739"/>
      <c r="BG46" s="739"/>
      <c r="BH46" s="741">
        <f>+IF(Linaclotide!O125&lt;0,-Linaclotide!O125,0)</f>
        <v>0</v>
      </c>
      <c r="BI46" s="739"/>
      <c r="BJ46" s="739"/>
      <c r="BK46" s="739"/>
      <c r="BL46" s="739"/>
      <c r="BM46" s="741">
        <f>+IF(Linaclotide!P125&lt;0,-Linaclotide!P125,0)</f>
        <v>0</v>
      </c>
      <c r="BN46" s="12"/>
      <c r="BO46" s="12"/>
      <c r="BP46" s="12"/>
      <c r="BQ46" s="12"/>
      <c r="BR46" s="12"/>
    </row>
    <row r="47" spans="1:70">
      <c r="A47" s="15"/>
      <c r="B47" s="10" t="s">
        <v>16</v>
      </c>
      <c r="C47" s="188"/>
      <c r="D47" s="179"/>
      <c r="E47" s="179"/>
      <c r="F47" s="179"/>
      <c r="G47" s="179"/>
      <c r="H47" s="179"/>
      <c r="I47" s="179"/>
      <c r="J47" s="179"/>
      <c r="K47" s="179"/>
      <c r="L47" s="179"/>
      <c r="M47" s="179"/>
      <c r="N47" s="179"/>
      <c r="O47" s="179"/>
      <c r="P47" s="453"/>
      <c r="Q47" s="453"/>
      <c r="R47" s="453"/>
      <c r="S47" s="453"/>
      <c r="T47" s="179"/>
      <c r="U47" s="453"/>
      <c r="V47" s="453"/>
      <c r="W47" s="453"/>
      <c r="X47" s="453"/>
      <c r="Y47" s="179"/>
      <c r="Z47" s="453"/>
      <c r="AA47" s="453"/>
      <c r="AB47" s="453"/>
      <c r="AC47" s="453"/>
      <c r="AD47" s="179"/>
      <c r="AE47" s="479"/>
      <c r="AF47" s="479"/>
      <c r="AG47" s="479"/>
      <c r="AH47" s="479"/>
      <c r="AI47" s="179"/>
      <c r="AJ47" s="631"/>
      <c r="AK47" s="631"/>
      <c r="AL47" s="631"/>
      <c r="AM47" s="631"/>
      <c r="AN47" s="749">
        <f>AN46/AN29</f>
        <v>5.8697978854374805E-2</v>
      </c>
      <c r="AO47" s="631"/>
      <c r="AP47" s="631"/>
      <c r="AQ47" s="631"/>
      <c r="AR47" s="631"/>
      <c r="AS47" s="749">
        <f>AS46/AS29</f>
        <v>0</v>
      </c>
      <c r="AT47" s="631">
        <v>0</v>
      </c>
      <c r="AU47" s="631">
        <v>0</v>
      </c>
      <c r="AV47" s="631">
        <v>0</v>
      </c>
      <c r="AW47" s="631">
        <v>0</v>
      </c>
      <c r="AX47" s="749">
        <f>AX46/AX29</f>
        <v>0</v>
      </c>
      <c r="AY47" s="631">
        <v>0</v>
      </c>
      <c r="AZ47" s="631">
        <v>0</v>
      </c>
      <c r="BA47" s="631">
        <v>0</v>
      </c>
      <c r="BB47" s="631">
        <v>0</v>
      </c>
      <c r="BC47" s="749">
        <f>BC46/BC29</f>
        <v>0</v>
      </c>
      <c r="BD47" s="631"/>
      <c r="BE47" s="631"/>
      <c r="BF47" s="631"/>
      <c r="BG47" s="631"/>
      <c r="BH47" s="749">
        <f>BH46/BH29</f>
        <v>0</v>
      </c>
      <c r="BI47" s="631"/>
      <c r="BJ47" s="631"/>
      <c r="BK47" s="631"/>
      <c r="BL47" s="631"/>
      <c r="BM47" s="749">
        <f>BM46/BM29</f>
        <v>0</v>
      </c>
      <c r="BN47" s="12"/>
      <c r="BO47" s="12"/>
      <c r="BP47" s="12"/>
      <c r="BQ47" s="12"/>
      <c r="BR47" s="12"/>
    </row>
    <row r="48" spans="1:70">
      <c r="A48" s="15"/>
      <c r="B48" s="94" t="s">
        <v>503</v>
      </c>
      <c r="C48" s="188"/>
      <c r="D48" s="179"/>
      <c r="E48" s="179"/>
      <c r="F48" s="179"/>
      <c r="G48" s="179"/>
      <c r="H48" s="179"/>
      <c r="I48" s="179"/>
      <c r="J48" s="179"/>
      <c r="K48" s="179"/>
      <c r="L48" s="179"/>
      <c r="M48" s="179"/>
      <c r="N48" s="179"/>
      <c r="O48" s="179"/>
      <c r="P48" s="453"/>
      <c r="Q48" s="453"/>
      <c r="R48" s="453"/>
      <c r="S48" s="453"/>
      <c r="T48" s="179"/>
      <c r="U48" s="453"/>
      <c r="V48" s="453"/>
      <c r="W48" s="453"/>
      <c r="X48" s="453"/>
      <c r="Y48" s="179"/>
      <c r="Z48" s="453"/>
      <c r="AA48" s="453"/>
      <c r="AB48" s="453"/>
      <c r="AC48" s="453"/>
      <c r="AD48" s="179"/>
      <c r="AE48" s="479"/>
      <c r="AF48" s="479"/>
      <c r="AG48" s="479"/>
      <c r="AH48" s="479"/>
      <c r="AI48" s="179"/>
      <c r="AJ48" s="739"/>
      <c r="AK48" s="739"/>
      <c r="AL48" s="739"/>
      <c r="AM48" s="739"/>
      <c r="AN48" s="741"/>
      <c r="AO48" s="739">
        <v>0</v>
      </c>
      <c r="AP48" s="739">
        <v>0</v>
      </c>
      <c r="AQ48" s="739">
        <v>0</v>
      </c>
      <c r="AR48" s="739">
        <v>0</v>
      </c>
      <c r="AS48" s="741">
        <f>+IF(Linaclotide!L127&lt;0,-Linaclotide!L127,0)</f>
        <v>0</v>
      </c>
      <c r="AT48" s="739">
        <v>0</v>
      </c>
      <c r="AU48" s="739">
        <v>0</v>
      </c>
      <c r="AV48" s="739">
        <v>0</v>
      </c>
      <c r="AW48" s="739">
        <v>0</v>
      </c>
      <c r="AX48" s="741">
        <f>AW48+AV48+AU48+AT48</f>
        <v>0</v>
      </c>
      <c r="AY48" s="739">
        <v>0</v>
      </c>
      <c r="AZ48" s="739">
        <v>0</v>
      </c>
      <c r="BA48" s="739">
        <v>0</v>
      </c>
      <c r="BB48" s="739">
        <v>0</v>
      </c>
      <c r="BC48" s="1053">
        <f>'Zurampic-Duzallo P&amp;L'!E33</f>
        <v>30</v>
      </c>
      <c r="BD48" s="1074"/>
      <c r="BE48" s="1074"/>
      <c r="BF48" s="1074"/>
      <c r="BG48" s="1074"/>
      <c r="BH48" s="1053">
        <f>'Zurampic-Duzallo P&amp;L'!F33</f>
        <v>40</v>
      </c>
      <c r="BI48" s="1074"/>
      <c r="BJ48" s="1074"/>
      <c r="BK48" s="1074"/>
      <c r="BL48" s="1074"/>
      <c r="BM48" s="1053">
        <f>'Zurampic-Duzallo P&amp;L'!G33</f>
        <v>40</v>
      </c>
      <c r="BN48" s="12"/>
      <c r="BO48" s="12"/>
      <c r="BP48" s="12"/>
      <c r="BQ48" s="12"/>
      <c r="BR48" s="12"/>
    </row>
    <row r="49" spans="1:70">
      <c r="A49" s="15"/>
      <c r="B49" s="10" t="s">
        <v>505</v>
      </c>
      <c r="C49" s="188"/>
      <c r="D49" s="179"/>
      <c r="E49" s="179"/>
      <c r="F49" s="179"/>
      <c r="G49" s="179"/>
      <c r="H49" s="179"/>
      <c r="I49" s="179"/>
      <c r="J49" s="179"/>
      <c r="K49" s="179"/>
      <c r="L49" s="179"/>
      <c r="M49" s="179"/>
      <c r="N49" s="179"/>
      <c r="O49" s="179"/>
      <c r="P49" s="453"/>
      <c r="Q49" s="453"/>
      <c r="R49" s="453"/>
      <c r="S49" s="453"/>
      <c r="T49" s="179"/>
      <c r="U49" s="453"/>
      <c r="V49" s="453"/>
      <c r="W49" s="453"/>
      <c r="X49" s="453"/>
      <c r="Y49" s="179"/>
      <c r="Z49" s="453"/>
      <c r="AA49" s="453"/>
      <c r="AB49" s="453"/>
      <c r="AC49" s="453"/>
      <c r="AD49" s="179"/>
      <c r="AE49" s="479"/>
      <c r="AF49" s="479"/>
      <c r="AG49" s="479"/>
      <c r="AH49" s="479"/>
      <c r="AI49" s="179"/>
      <c r="AJ49" s="1033"/>
      <c r="AK49" s="1033"/>
      <c r="AL49" s="1033"/>
      <c r="AM49" s="1037"/>
      <c r="AN49" s="749"/>
      <c r="AO49" s="753"/>
      <c r="AP49" s="631"/>
      <c r="AQ49" s="631"/>
      <c r="AR49" s="631"/>
      <c r="AS49" s="749">
        <f t="shared" ref="AS49:AX49" si="54">AS48/AS29</f>
        <v>0</v>
      </c>
      <c r="AT49" s="631">
        <f t="shared" si="54"/>
        <v>0</v>
      </c>
      <c r="AU49" s="631">
        <f t="shared" si="54"/>
        <v>0</v>
      </c>
      <c r="AV49" s="631">
        <f t="shared" si="54"/>
        <v>0</v>
      </c>
      <c r="AW49" s="631">
        <f t="shared" si="54"/>
        <v>0</v>
      </c>
      <c r="AX49" s="749">
        <f t="shared" si="54"/>
        <v>0</v>
      </c>
      <c r="AY49" s="631">
        <f t="shared" ref="AY49:BB49" si="55">AY48/AY29</f>
        <v>0</v>
      </c>
      <c r="AZ49" s="631">
        <f t="shared" si="55"/>
        <v>0</v>
      </c>
      <c r="BA49" s="631">
        <f t="shared" si="55"/>
        <v>0</v>
      </c>
      <c r="BB49" s="631">
        <f t="shared" si="55"/>
        <v>0</v>
      </c>
      <c r="BC49" s="749">
        <f>BC48/BC29</f>
        <v>8.2167481489084149E-2</v>
      </c>
      <c r="BD49" s="631"/>
      <c r="BE49" s="631"/>
      <c r="BF49" s="631"/>
      <c r="BG49" s="631"/>
      <c r="BH49" s="749">
        <f>BH48/BH29</f>
        <v>8.8512382164009931E-2</v>
      </c>
      <c r="BI49" s="631"/>
      <c r="BJ49" s="631"/>
      <c r="BK49" s="631"/>
      <c r="BL49" s="631"/>
      <c r="BM49" s="749">
        <f>BM48/BM29</f>
        <v>7.2113634023584422E-2</v>
      </c>
      <c r="BN49" s="12"/>
      <c r="BO49" s="12"/>
      <c r="BP49" s="12"/>
      <c r="BQ49" s="12"/>
      <c r="BR49" s="12"/>
    </row>
    <row r="50" spans="1:70">
      <c r="A50" s="15"/>
      <c r="B50" s="769" t="s">
        <v>17</v>
      </c>
      <c r="C50" s="770"/>
      <c r="D50" s="766"/>
      <c r="E50" s="766">
        <f>SUM(E32,E36,E41)</f>
        <v>66.69</v>
      </c>
      <c r="F50" s="766">
        <f>SUM(F32,F36,F41,F46)</f>
        <v>22.783000000000001</v>
      </c>
      <c r="G50" s="766">
        <f>SUM(G32,G36,G41,G46)</f>
        <v>24.276</v>
      </c>
      <c r="H50" s="766">
        <f>SUM(H32,H36,H41,H46)</f>
        <v>22.286000000000001</v>
      </c>
      <c r="I50" s="766">
        <f>SUM(I32,I36,I41,I46)</f>
        <v>25.791999999999991</v>
      </c>
      <c r="J50" s="766">
        <f>SUM(J32,J36,J41)</f>
        <v>95.137</v>
      </c>
      <c r="K50" s="766">
        <f t="shared" ref="K50:AN50" si="56">SUM(K32,K36,K41,K46)</f>
        <v>23.672000000000001</v>
      </c>
      <c r="L50" s="766">
        <f t="shared" si="56"/>
        <v>26.588000000000001</v>
      </c>
      <c r="M50" s="766">
        <f t="shared" si="56"/>
        <v>23.341000000000001</v>
      </c>
      <c r="N50" s="766">
        <f t="shared" si="56"/>
        <v>23.840999999999994</v>
      </c>
      <c r="O50" s="766">
        <f t="shared" si="56"/>
        <v>104.62299999999999</v>
      </c>
      <c r="P50" s="771">
        <f t="shared" si="56"/>
        <v>26.081</v>
      </c>
      <c r="Q50" s="771">
        <f t="shared" si="56"/>
        <v>27.262999999999998</v>
      </c>
      <c r="R50" s="771">
        <f t="shared" si="56"/>
        <v>30.972000000000001</v>
      </c>
      <c r="S50" s="771">
        <f t="shared" si="56"/>
        <v>35.965000000000003</v>
      </c>
      <c r="T50" s="766">
        <f t="shared" si="56"/>
        <v>120.28100000000001</v>
      </c>
      <c r="U50" s="771">
        <f t="shared" si="56"/>
        <v>44.162999999999997</v>
      </c>
      <c r="V50" s="771">
        <f t="shared" si="56"/>
        <v>51.382000000000005</v>
      </c>
      <c r="W50" s="771">
        <f t="shared" si="56"/>
        <v>43.67</v>
      </c>
      <c r="X50" s="771">
        <f t="shared" si="56"/>
        <v>66.218999999999994</v>
      </c>
      <c r="Y50" s="766">
        <f t="shared" si="56"/>
        <v>205.43400000000003</v>
      </c>
      <c r="Z50" s="771">
        <f t="shared" si="56"/>
        <v>86.813000000000002</v>
      </c>
      <c r="AA50" s="771">
        <f t="shared" si="56"/>
        <v>64.725999999999999</v>
      </c>
      <c r="AB50" s="771">
        <f t="shared" si="56"/>
        <v>56.283999999999999</v>
      </c>
      <c r="AC50" s="771">
        <f t="shared" si="56"/>
        <v>47.230999999999995</v>
      </c>
      <c r="AD50" s="766">
        <f t="shared" si="56"/>
        <v>255.054</v>
      </c>
      <c r="AE50" s="771">
        <f t="shared" si="56"/>
        <v>52.917999999999992</v>
      </c>
      <c r="AF50" s="771">
        <f t="shared" si="56"/>
        <v>55.947000000000003</v>
      </c>
      <c r="AG50" s="771">
        <f t="shared" si="56"/>
        <v>48.120999999999995</v>
      </c>
      <c r="AH50" s="771">
        <f t="shared" si="56"/>
        <v>62.635999999999996</v>
      </c>
      <c r="AI50" s="766">
        <f t="shared" si="56"/>
        <v>219.62199999999996</v>
      </c>
      <c r="AJ50" s="772">
        <f t="shared" si="56"/>
        <v>51.573</v>
      </c>
      <c r="AK50" s="772">
        <f t="shared" si="56"/>
        <v>62.849999999999994</v>
      </c>
      <c r="AL50" s="772">
        <f t="shared" si="56"/>
        <v>59.116999999999997</v>
      </c>
      <c r="AM50" s="772">
        <f t="shared" si="56"/>
        <v>52.634</v>
      </c>
      <c r="AN50" s="767">
        <f t="shared" si="56"/>
        <v>226.17399999999998</v>
      </c>
      <c r="AO50" s="772">
        <f t="shared" ref="AO50:AX50" si="57">SUM(AO32,AO36,AO41,AO46,AO48)</f>
        <v>61.203999999999994</v>
      </c>
      <c r="AP50" s="772">
        <f t="shared" si="57"/>
        <v>60.703000000000003</v>
      </c>
      <c r="AQ50" s="772">
        <f t="shared" si="57"/>
        <v>75.580000000000013</v>
      </c>
      <c r="AR50" s="772">
        <f t="shared" si="57"/>
        <v>88.302999999999997</v>
      </c>
      <c r="AS50" s="767">
        <f t="shared" si="57"/>
        <v>285.78999999999996</v>
      </c>
      <c r="AT50" s="772">
        <f t="shared" si="57"/>
        <v>82.557999999999993</v>
      </c>
      <c r="AU50" s="772">
        <f t="shared" si="57"/>
        <v>91.455000000000013</v>
      </c>
      <c r="AV50" s="772">
        <f t="shared" si="57"/>
        <v>97.64</v>
      </c>
      <c r="AW50" s="772">
        <f t="shared" si="57"/>
        <v>99.917000000000002</v>
      </c>
      <c r="AX50" s="767">
        <f t="shared" si="57"/>
        <v>371.64099999999996</v>
      </c>
      <c r="AY50" s="772">
        <f t="shared" ref="AY50:BB50" si="58">SUM(AY32,AY36,AY41,AY46,AY48)</f>
        <v>93.122603195612157</v>
      </c>
      <c r="AZ50" s="772">
        <f t="shared" si="58"/>
        <v>95.062657428854095</v>
      </c>
      <c r="BA50" s="772">
        <f t="shared" si="58"/>
        <v>97.972738778716973</v>
      </c>
      <c r="BB50" s="772">
        <f t="shared" si="58"/>
        <v>101.85284724520079</v>
      </c>
      <c r="BC50" s="767">
        <f>SUM(BC32,BC36,BC41,BC46,BC48)</f>
        <v>418.01084664838402</v>
      </c>
      <c r="BD50" s="772"/>
      <c r="BE50" s="772"/>
      <c r="BF50" s="772"/>
      <c r="BG50" s="772"/>
      <c r="BH50" s="767">
        <f>SUM(BH32,BH36,BH41,BH46,BH48)</f>
        <v>430.3389069248318</v>
      </c>
      <c r="BI50" s="772"/>
      <c r="BJ50" s="772"/>
      <c r="BK50" s="772"/>
      <c r="BL50" s="772"/>
      <c r="BM50" s="768">
        <f>SUM(BM32,BM36,BM41,BM46,BM48)</f>
        <v>419.99071554887996</v>
      </c>
      <c r="BN50" s="12"/>
      <c r="BO50" s="12"/>
      <c r="BP50" s="12"/>
      <c r="BQ50" s="12"/>
      <c r="BR50" s="12"/>
    </row>
    <row r="51" spans="1:70">
      <c r="A51" s="15"/>
      <c r="B51" s="25" t="s">
        <v>18</v>
      </c>
      <c r="C51" s="185"/>
      <c r="D51" s="190"/>
      <c r="E51" s="190">
        <f t="shared" ref="E51:AW51" si="59">E29-E50</f>
        <v>-48.307000000000002</v>
      </c>
      <c r="F51" s="172">
        <f t="shared" si="59"/>
        <v>-17.552</v>
      </c>
      <c r="G51" s="172">
        <f t="shared" si="59"/>
        <v>-17.666</v>
      </c>
      <c r="H51" s="172">
        <f t="shared" si="59"/>
        <v>-7.0290000000000017</v>
      </c>
      <c r="I51" s="172">
        <f t="shared" si="59"/>
        <v>-18.568999999999996</v>
      </c>
      <c r="J51" s="172">
        <f t="shared" si="59"/>
        <v>-60.816000000000003</v>
      </c>
      <c r="K51" s="172">
        <f t="shared" si="59"/>
        <v>-14.620000000000001</v>
      </c>
      <c r="L51" s="172">
        <f t="shared" si="59"/>
        <v>-15.629000000000001</v>
      </c>
      <c r="M51" s="172">
        <f t="shared" si="59"/>
        <v>-14.282000000000002</v>
      </c>
      <c r="N51" s="172">
        <f t="shared" si="59"/>
        <v>-7.0689999999999955</v>
      </c>
      <c r="O51" s="234">
        <f t="shared" si="59"/>
        <v>-60.765999999999991</v>
      </c>
      <c r="P51" s="456">
        <f t="shared" si="59"/>
        <v>-15.843999999999999</v>
      </c>
      <c r="Q51" s="456">
        <f t="shared" si="59"/>
        <v>-16.000999999999998</v>
      </c>
      <c r="R51" s="456">
        <f t="shared" si="59"/>
        <v>-18.754000000000001</v>
      </c>
      <c r="S51" s="456">
        <f t="shared" si="59"/>
        <v>-3.8109999999999999</v>
      </c>
      <c r="T51" s="234">
        <f t="shared" si="59"/>
        <v>-54.41</v>
      </c>
      <c r="U51" s="456">
        <f t="shared" si="59"/>
        <v>-31.914999999999999</v>
      </c>
      <c r="V51" s="456">
        <f t="shared" si="59"/>
        <v>-36.778000000000006</v>
      </c>
      <c r="W51" s="456">
        <f t="shared" si="59"/>
        <v>52.742999999999995</v>
      </c>
      <c r="X51" s="456">
        <f t="shared" si="59"/>
        <v>-39.23899999999999</v>
      </c>
      <c r="Y51" s="234">
        <f t="shared" si="59"/>
        <v>-55.18900000000005</v>
      </c>
      <c r="Z51" s="456">
        <f t="shared" si="59"/>
        <v>-83.558000000000007</v>
      </c>
      <c r="AA51" s="456">
        <f t="shared" si="59"/>
        <v>-55.063000000000002</v>
      </c>
      <c r="AB51" s="456">
        <f t="shared" si="59"/>
        <v>-51.351999999999997</v>
      </c>
      <c r="AC51" s="456">
        <f t="shared" si="59"/>
        <v>-42.199999999999996</v>
      </c>
      <c r="AD51" s="234">
        <f t="shared" si="59"/>
        <v>-232.173</v>
      </c>
      <c r="AE51" s="481">
        <f t="shared" si="59"/>
        <v>-38.312999999999988</v>
      </c>
      <c r="AF51" s="481">
        <f t="shared" si="59"/>
        <v>-49.106999999999999</v>
      </c>
      <c r="AG51" s="481">
        <f t="shared" si="59"/>
        <v>-31.202999999999996</v>
      </c>
      <c r="AH51" s="481">
        <f t="shared" si="59"/>
        <v>-24.563000000000002</v>
      </c>
      <c r="AI51" s="234">
        <f t="shared" si="59"/>
        <v>-143.18599999999998</v>
      </c>
      <c r="AJ51" s="1038">
        <f t="shared" si="59"/>
        <v>-18.846000000000004</v>
      </c>
      <c r="AK51" s="1038">
        <f t="shared" si="59"/>
        <v>-31.636999999999993</v>
      </c>
      <c r="AL51" s="1038">
        <f t="shared" si="59"/>
        <v>-14.722999999999992</v>
      </c>
      <c r="AM51" s="1038">
        <f t="shared" si="59"/>
        <v>0.67300000000000182</v>
      </c>
      <c r="AN51" s="741">
        <f t="shared" si="59"/>
        <v>-64.532999999999959</v>
      </c>
      <c r="AO51" s="739">
        <f t="shared" si="59"/>
        <v>24.233000000000004</v>
      </c>
      <c r="AP51" s="739">
        <f t="shared" si="59"/>
        <v>-0.33600000000001273</v>
      </c>
      <c r="AQ51" s="739">
        <f t="shared" si="59"/>
        <v>-3.3515000000000157</v>
      </c>
      <c r="AR51" s="739">
        <f t="shared" si="59"/>
        <v>-0.84399999999999409</v>
      </c>
      <c r="AS51" s="741">
        <f t="shared" si="59"/>
        <v>-11.83299999999997</v>
      </c>
      <c r="AT51" s="739">
        <f t="shared" si="59"/>
        <v>-30.391999999999996</v>
      </c>
      <c r="AU51" s="739">
        <f t="shared" si="59"/>
        <v>-26.378000000000014</v>
      </c>
      <c r="AV51" s="739">
        <f t="shared" si="59"/>
        <v>-10.814999999999998</v>
      </c>
      <c r="AW51" s="739">
        <f t="shared" si="59"/>
        <v>-5.7090000000000032</v>
      </c>
      <c r="AX51" s="741">
        <f>AX29-AX50</f>
        <v>-73.364999999999952</v>
      </c>
      <c r="AY51" s="739">
        <f t="shared" ref="AY51:BB51" si="60">AY29-AY50</f>
        <v>-10.784291216319971</v>
      </c>
      <c r="AZ51" s="739">
        <f t="shared" si="60"/>
        <v>-7.7661332608062992</v>
      </c>
      <c r="BA51" s="739">
        <f t="shared" si="60"/>
        <v>-5.1874576450881023</v>
      </c>
      <c r="BB51" s="739">
        <f t="shared" si="60"/>
        <v>0.48177146713375407</v>
      </c>
      <c r="BC51" s="741">
        <f>BC29-BC50</f>
        <v>-52.90290544921919</v>
      </c>
      <c r="BD51" s="739"/>
      <c r="BE51" s="739"/>
      <c r="BF51" s="739"/>
      <c r="BG51" s="739"/>
      <c r="BH51" s="741">
        <f>BH29-BH50</f>
        <v>21.575266234371952</v>
      </c>
      <c r="BI51" s="739"/>
      <c r="BJ51" s="739"/>
      <c r="BK51" s="739"/>
      <c r="BL51" s="739"/>
      <c r="BM51" s="741">
        <f>BM29-BM50</f>
        <v>134.68941590751274</v>
      </c>
      <c r="BN51" s="12"/>
      <c r="BO51" s="12"/>
      <c r="BP51" s="12"/>
      <c r="BQ51" s="12"/>
      <c r="BR51" s="12"/>
    </row>
    <row r="52" spans="1:70">
      <c r="A52" s="15"/>
      <c r="B52" s="10" t="s">
        <v>19</v>
      </c>
      <c r="C52" s="14"/>
      <c r="D52" s="179"/>
      <c r="E52" s="179"/>
      <c r="F52" s="179"/>
      <c r="G52" s="179"/>
      <c r="H52" s="179"/>
      <c r="I52" s="179"/>
      <c r="J52" s="179"/>
      <c r="K52" s="179"/>
      <c r="L52" s="179"/>
      <c r="M52" s="179"/>
      <c r="N52" s="179"/>
      <c r="O52" s="179"/>
      <c r="P52" s="453"/>
      <c r="Q52" s="453"/>
      <c r="R52" s="453"/>
      <c r="S52" s="453"/>
      <c r="T52" s="179"/>
      <c r="U52" s="453"/>
      <c r="V52" s="453"/>
      <c r="W52" s="453"/>
      <c r="X52" s="453"/>
      <c r="Y52" s="179"/>
      <c r="Z52" s="453"/>
      <c r="AA52" s="453"/>
      <c r="AB52" s="453"/>
      <c r="AC52" s="453"/>
      <c r="AD52" s="179"/>
      <c r="AE52" s="479"/>
      <c r="AF52" s="479"/>
      <c r="AG52" s="479"/>
      <c r="AH52" s="479"/>
      <c r="AI52" s="179"/>
      <c r="AJ52" s="1033"/>
      <c r="AK52" s="1033"/>
      <c r="AL52" s="1033"/>
      <c r="AM52" s="1033"/>
      <c r="AN52" s="749"/>
      <c r="AO52" s="754"/>
      <c r="AP52" s="631"/>
      <c r="AQ52" s="631"/>
      <c r="AR52" s="631"/>
      <c r="AS52" s="749"/>
      <c r="AT52" s="631"/>
      <c r="AU52" s="631"/>
      <c r="AV52" s="631"/>
      <c r="AW52" s="631"/>
      <c r="AX52" s="749"/>
      <c r="AY52" s="631"/>
      <c r="AZ52" s="631"/>
      <c r="BA52" s="631"/>
      <c r="BB52" s="631"/>
      <c r="BC52" s="749">
        <f>+BC51/BC29</f>
        <v>-0.14489661680724955</v>
      </c>
      <c r="BD52" s="631"/>
      <c r="BE52" s="631"/>
      <c r="BF52" s="631"/>
      <c r="BG52" s="631"/>
      <c r="BH52" s="749">
        <f>+BH51/BH29</f>
        <v>4.7741955255674741E-2</v>
      </c>
      <c r="BI52" s="631"/>
      <c r="BJ52" s="631"/>
      <c r="BK52" s="631"/>
      <c r="BL52" s="631"/>
      <c r="BM52" s="749">
        <f>+BM51/BM29</f>
        <v>0.24282358114011809</v>
      </c>
      <c r="BN52" s="12"/>
      <c r="BO52" s="12"/>
      <c r="BP52" s="12"/>
      <c r="BQ52" s="12"/>
      <c r="BR52" s="12"/>
    </row>
    <row r="53" spans="1:70">
      <c r="A53" s="15"/>
      <c r="B53" s="14"/>
      <c r="C53" s="14"/>
      <c r="D53" s="179"/>
      <c r="E53" s="179"/>
      <c r="F53" s="179"/>
      <c r="G53" s="179"/>
      <c r="H53" s="179"/>
      <c r="I53" s="179"/>
      <c r="J53" s="179"/>
      <c r="K53" s="179"/>
      <c r="L53" s="179"/>
      <c r="M53" s="179"/>
      <c r="N53" s="179"/>
      <c r="O53" s="179"/>
      <c r="P53" s="453"/>
      <c r="Q53" s="453"/>
      <c r="R53" s="453"/>
      <c r="S53" s="453"/>
      <c r="T53" s="179"/>
      <c r="U53" s="453"/>
      <c r="V53" s="453"/>
      <c r="W53" s="453"/>
      <c r="X53" s="453"/>
      <c r="Y53" s="179"/>
      <c r="Z53" s="453"/>
      <c r="AA53" s="453"/>
      <c r="AB53" s="453"/>
      <c r="AC53" s="453"/>
      <c r="AD53" s="179"/>
      <c r="AE53" s="479"/>
      <c r="AF53" s="479"/>
      <c r="AG53" s="479"/>
      <c r="AH53" s="479"/>
      <c r="AI53" s="179"/>
      <c r="AJ53" s="453"/>
      <c r="AK53" s="453"/>
      <c r="AL53" s="525"/>
      <c r="AM53" s="527"/>
      <c r="AN53" s="741"/>
      <c r="AO53" s="739"/>
      <c r="AP53" s="739"/>
      <c r="AQ53" s="739"/>
      <c r="AR53" s="739"/>
      <c r="AS53" s="741"/>
      <c r="AT53" s="739"/>
      <c r="AU53" s="739"/>
      <c r="AV53" s="739"/>
      <c r="AW53" s="739"/>
      <c r="AX53" s="741"/>
      <c r="AY53" s="739"/>
      <c r="AZ53" s="739"/>
      <c r="BA53" s="739"/>
      <c r="BB53" s="739"/>
      <c r="BC53" s="741"/>
      <c r="BD53" s="739"/>
      <c r="BE53" s="739"/>
      <c r="BF53" s="739"/>
      <c r="BG53" s="739"/>
      <c r="BH53" s="741"/>
      <c r="BI53" s="739"/>
      <c r="BJ53" s="739"/>
      <c r="BK53" s="739"/>
      <c r="BL53" s="739"/>
      <c r="BM53" s="741"/>
      <c r="BN53" s="12"/>
      <c r="BO53" s="12"/>
      <c r="BP53" s="12"/>
      <c r="BQ53" s="12"/>
      <c r="BR53" s="12"/>
    </row>
    <row r="54" spans="1:70">
      <c r="B54" s="14" t="s">
        <v>535</v>
      </c>
      <c r="C54" s="14"/>
      <c r="D54" s="191"/>
      <c r="E54" s="191">
        <v>-0.29099999999999998</v>
      </c>
      <c r="F54" s="119">
        <v>-0.13400000000000001</v>
      </c>
      <c r="G54" s="119">
        <v>-0.122</v>
      </c>
      <c r="H54" s="119">
        <v>-7.1999999999999995E-2</v>
      </c>
      <c r="I54" s="119">
        <f>J54-SUM(F54:H54)</f>
        <v>1.0000000000000009E-2</v>
      </c>
      <c r="J54" s="97">
        <v>-0.318</v>
      </c>
      <c r="K54" s="119">
        <v>-9.2999999999999999E-2</v>
      </c>
      <c r="L54" s="119">
        <v>-7.9000000000000001E-2</v>
      </c>
      <c r="M54" s="119">
        <v>-8.1000000000000003E-2</v>
      </c>
      <c r="N54" s="119"/>
      <c r="O54" s="236">
        <v>-0.19600000000000001</v>
      </c>
      <c r="P54" s="457">
        <v>-1.6E-2</v>
      </c>
      <c r="Q54" s="457">
        <v>-1.7000000000000001E-2</v>
      </c>
      <c r="R54" s="458"/>
      <c r="S54" s="458"/>
      <c r="T54" s="236">
        <f>SUM(P54:S54)</f>
        <v>-3.3000000000000002E-2</v>
      </c>
      <c r="U54" s="457">
        <v>0</v>
      </c>
      <c r="V54" s="457">
        <v>0</v>
      </c>
      <c r="W54" s="457">
        <v>0</v>
      </c>
      <c r="X54" s="457">
        <v>0</v>
      </c>
      <c r="Y54" s="98">
        <f>SUM(U54:X54)</f>
        <v>0</v>
      </c>
      <c r="Z54" s="475">
        <v>-5.069</v>
      </c>
      <c r="AA54" s="475">
        <v>-5.2690000000000001</v>
      </c>
      <c r="AB54" s="475">
        <v>-5.2240000000000002</v>
      </c>
      <c r="AC54" s="475">
        <v>-5.2480000000000002</v>
      </c>
      <c r="AD54" s="236">
        <f>SUM(Z54:AC54)</f>
        <v>-20.810000000000002</v>
      </c>
      <c r="AE54" s="475">
        <v>-5.2389999999999999</v>
      </c>
      <c r="AF54" s="475">
        <v>-5.2380000000000004</v>
      </c>
      <c r="AG54" s="475">
        <v>-5.2489999999999997</v>
      </c>
      <c r="AH54" s="475">
        <f>-4.522</f>
        <v>-4.5220000000000002</v>
      </c>
      <c r="AI54" s="236">
        <f>SUM(AE54:AH54)</f>
        <v>-20.247999999999998</v>
      </c>
      <c r="AJ54" s="998">
        <v>-5.22</v>
      </c>
      <c r="AK54" s="998">
        <v>-5.8739999999999997</v>
      </c>
      <c r="AL54" s="998">
        <v>-10.021000000000001</v>
      </c>
      <c r="AM54" s="998">
        <f>-31.096-AL54-AK54-AJ54</f>
        <v>-9.9810000000000016</v>
      </c>
      <c r="AN54" s="741">
        <f>SUM(AJ54:AM54)</f>
        <v>-31.096000000000004</v>
      </c>
      <c r="AO54" s="739">
        <v>-9.907</v>
      </c>
      <c r="AP54" s="998">
        <f>-9.827</f>
        <v>-9.827</v>
      </c>
      <c r="AQ54" s="739">
        <v>-9.7650000000000006</v>
      </c>
      <c r="AR54" s="739">
        <v>-9.3079999999999998</v>
      </c>
      <c r="AS54" s="741">
        <f>AR54+AQ54+AP54+AO54</f>
        <v>-38.807000000000002</v>
      </c>
      <c r="AT54" s="739">
        <f>-8.588-2.009</f>
        <v>-10.597</v>
      </c>
      <c r="AU54" s="739">
        <f>-8.55</f>
        <v>-8.5500000000000007</v>
      </c>
      <c r="AV54" s="739">
        <v>-8.5340000000000007</v>
      </c>
      <c r="AW54" s="739">
        <v>-8.5340000000000007</v>
      </c>
      <c r="AX54" s="741">
        <f>AW54+AV54+AU54+AT54</f>
        <v>-36.215000000000003</v>
      </c>
      <c r="AY54" s="739">
        <f>$BC$54*0.25</f>
        <v>-9.0537500000000009</v>
      </c>
      <c r="AZ54" s="739">
        <f>$BC$54*0.25</f>
        <v>-9.0537500000000009</v>
      </c>
      <c r="BA54" s="739">
        <f>$BC$54*0.25</f>
        <v>-9.0537500000000009</v>
      </c>
      <c r="BB54" s="739">
        <f>$BC$54*0.25</f>
        <v>-9.0537500000000009</v>
      </c>
      <c r="BC54" s="741">
        <f>AX54</f>
        <v>-36.215000000000003</v>
      </c>
      <c r="BD54" s="739"/>
      <c r="BE54" s="739"/>
      <c r="BF54" s="739"/>
      <c r="BG54" s="739"/>
      <c r="BH54" s="741">
        <f>BC54</f>
        <v>-36.215000000000003</v>
      </c>
      <c r="BI54" s="739"/>
      <c r="BJ54" s="739"/>
      <c r="BK54" s="739"/>
      <c r="BL54" s="739"/>
      <c r="BM54" s="741">
        <f>BH54</f>
        <v>-36.215000000000003</v>
      </c>
    </row>
    <row r="55" spans="1:70">
      <c r="B55" s="20" t="s">
        <v>20</v>
      </c>
      <c r="C55" s="12"/>
      <c r="D55" s="189"/>
      <c r="E55" s="189">
        <v>2.0880000000000001</v>
      </c>
      <c r="F55" s="128">
        <v>0.105</v>
      </c>
      <c r="G55" s="128">
        <v>8.1000000000000003E-2</v>
      </c>
      <c r="H55" s="128">
        <v>2.8000000000000001E-2</v>
      </c>
      <c r="I55" s="128">
        <f>J55-SUM(F55:H55)</f>
        <v>2.5999999999999995E-2</v>
      </c>
      <c r="J55" s="169">
        <v>0.24</v>
      </c>
      <c r="K55" s="128">
        <v>6.8000000000000005E-2</v>
      </c>
      <c r="L55" s="128">
        <v>0.189</v>
      </c>
      <c r="M55" s="128">
        <v>0.188</v>
      </c>
      <c r="N55" s="128">
        <f>1.411-SUM(K54:M55)</f>
        <v>1.2190000000000001</v>
      </c>
      <c r="O55" s="236">
        <v>0.61399999999999999</v>
      </c>
      <c r="P55" s="454">
        <f>0.154+0.003</f>
        <v>0.157</v>
      </c>
      <c r="Q55" s="454">
        <v>0.125</v>
      </c>
      <c r="R55" s="454">
        <v>0.98599999999999999</v>
      </c>
      <c r="S55" s="454">
        <v>5.8000000000000003E-2</v>
      </c>
      <c r="T55" s="236">
        <f>SUM(P55:S55)</f>
        <v>1.3260000000000001</v>
      </c>
      <c r="U55" s="454">
        <v>3.5000000000000003E-2</v>
      </c>
      <c r="V55" s="454">
        <v>3.1E-2</v>
      </c>
      <c r="W55" s="454">
        <v>2.7E-2</v>
      </c>
      <c r="X55" s="454">
        <v>4.4999999999999998E-2</v>
      </c>
      <c r="Y55" s="98">
        <f>SUM(U55:X55)</f>
        <v>0.13800000000000001</v>
      </c>
      <c r="Z55" s="475">
        <v>0</v>
      </c>
      <c r="AA55" s="475">
        <v>0</v>
      </c>
      <c r="AB55" s="475">
        <v>0</v>
      </c>
      <c r="AC55" s="475">
        <v>0</v>
      </c>
      <c r="AD55" s="236">
        <f>SUM(Z55:AC55)</f>
        <v>0</v>
      </c>
      <c r="AE55" s="475">
        <v>0</v>
      </c>
      <c r="AF55" s="475">
        <v>0</v>
      </c>
      <c r="AG55" s="475">
        <v>0</v>
      </c>
      <c r="AH55" s="475">
        <v>0</v>
      </c>
      <c r="AI55" s="236">
        <f>SUM(AE55:AH55)</f>
        <v>0</v>
      </c>
      <c r="AJ55" s="998">
        <v>6.5000000000000002E-2</v>
      </c>
      <c r="AK55" s="998">
        <v>7.0999999999999994E-2</v>
      </c>
      <c r="AL55" s="998">
        <v>0.156</v>
      </c>
      <c r="AM55" s="998">
        <f>0.443-AL55-AK55-AJ55</f>
        <v>0.15100000000000002</v>
      </c>
      <c r="AN55" s="741">
        <f>SUM(AJ55:AM55)</f>
        <v>0.44300000000000006</v>
      </c>
      <c r="AO55" s="739">
        <v>0.221</v>
      </c>
      <c r="AP55" s="998">
        <v>0.29499999999999998</v>
      </c>
      <c r="AQ55" s="739">
        <v>0.307</v>
      </c>
      <c r="AR55" s="739">
        <v>0</v>
      </c>
      <c r="AS55" s="741">
        <f>AR55+AQ55+AP55+AO55</f>
        <v>0.82299999999999995</v>
      </c>
      <c r="AT55" s="739">
        <v>0</v>
      </c>
      <c r="AU55" s="739">
        <f>0.25*$AX$55</f>
        <v>0</v>
      </c>
      <c r="AV55" s="739">
        <f>0.25*$AX$55</f>
        <v>0</v>
      </c>
      <c r="AW55" s="739">
        <f>0.25*$AX$55</f>
        <v>0</v>
      </c>
      <c r="AX55" s="741">
        <v>0</v>
      </c>
      <c r="AY55" s="739">
        <v>0</v>
      </c>
      <c r="AZ55" s="739">
        <v>0</v>
      </c>
      <c r="BA55" s="739">
        <v>0</v>
      </c>
      <c r="BB55" s="739">
        <v>0</v>
      </c>
      <c r="BC55" s="741">
        <f>BB55+BA55+AZ55+AY55</f>
        <v>0</v>
      </c>
      <c r="BD55" s="739"/>
      <c r="BE55" s="739"/>
      <c r="BF55" s="739"/>
      <c r="BG55" s="739"/>
      <c r="BH55" s="741">
        <f>BH126</f>
        <v>0</v>
      </c>
      <c r="BI55" s="739"/>
      <c r="BJ55" s="739"/>
      <c r="BK55" s="739"/>
      <c r="BL55" s="739"/>
      <c r="BM55" s="741">
        <f>BM126</f>
        <v>0</v>
      </c>
    </row>
    <row r="56" spans="1:70" hidden="1">
      <c r="B56" s="20" t="s">
        <v>329</v>
      </c>
      <c r="C56" s="12"/>
      <c r="D56" s="189"/>
      <c r="E56" s="189">
        <v>-0.9</v>
      </c>
      <c r="F56" s="128">
        <v>0.2</v>
      </c>
      <c r="G56" s="128">
        <v>-0.3</v>
      </c>
      <c r="H56" s="128"/>
      <c r="I56" s="128"/>
      <c r="J56" s="169">
        <f>0.6</f>
        <v>0.6</v>
      </c>
      <c r="K56" s="236"/>
      <c r="L56" s="236"/>
      <c r="M56" s="236"/>
      <c r="N56" s="236"/>
      <c r="O56" s="236">
        <v>0.99299999999999999</v>
      </c>
      <c r="P56" s="459"/>
      <c r="Q56" s="459"/>
      <c r="R56" s="459"/>
      <c r="S56" s="459"/>
      <c r="T56" s="236"/>
      <c r="U56" s="459"/>
      <c r="V56" s="459"/>
      <c r="W56" s="459"/>
      <c r="X56" s="459"/>
      <c r="Y56" s="236"/>
      <c r="Z56" s="459"/>
      <c r="AA56" s="459"/>
      <c r="AB56" s="459"/>
      <c r="AC56" s="459"/>
      <c r="AD56" s="236"/>
      <c r="AE56" s="482"/>
      <c r="AF56" s="482"/>
      <c r="AG56" s="482"/>
      <c r="AH56" s="482"/>
      <c r="AI56" s="236"/>
      <c r="AJ56" s="998"/>
      <c r="AK56" s="998"/>
      <c r="AL56" s="998"/>
      <c r="AM56" s="998"/>
      <c r="AN56" s="741"/>
      <c r="AO56" s="739"/>
      <c r="AP56" s="739"/>
      <c r="AQ56" s="739"/>
      <c r="AR56" s="739"/>
      <c r="AS56" s="741"/>
      <c r="AT56" s="739"/>
      <c r="AU56" s="739"/>
      <c r="AV56" s="739"/>
      <c r="AW56" s="739"/>
      <c r="AX56" s="741"/>
      <c r="AY56" s="739"/>
      <c r="AZ56" s="739"/>
      <c r="BA56" s="739"/>
      <c r="BB56" s="739"/>
      <c r="BC56" s="741"/>
      <c r="BD56" s="739"/>
      <c r="BE56" s="739"/>
      <c r="BF56" s="739"/>
      <c r="BG56" s="739"/>
      <c r="BH56" s="741"/>
      <c r="BI56" s="739"/>
      <c r="BJ56" s="739"/>
      <c r="BK56" s="739"/>
      <c r="BL56" s="739"/>
      <c r="BM56" s="741"/>
    </row>
    <row r="57" spans="1:70">
      <c r="B57" s="769" t="s">
        <v>21</v>
      </c>
      <c r="C57" s="770"/>
      <c r="D57" s="766"/>
      <c r="E57" s="766">
        <f t="shared" ref="E57:AW57" si="61">SUM(E51,E54,E55,E56)</f>
        <v>-47.41</v>
      </c>
      <c r="F57" s="766">
        <f t="shared" si="61"/>
        <v>-17.381</v>
      </c>
      <c r="G57" s="766">
        <f t="shared" si="61"/>
        <v>-18.007000000000001</v>
      </c>
      <c r="H57" s="766">
        <f t="shared" si="61"/>
        <v>-7.0730000000000022</v>
      </c>
      <c r="I57" s="766">
        <f t="shared" si="61"/>
        <v>-18.532999999999994</v>
      </c>
      <c r="J57" s="766">
        <f t="shared" si="61"/>
        <v>-60.293999999999997</v>
      </c>
      <c r="K57" s="766">
        <f t="shared" si="61"/>
        <v>-14.645000000000001</v>
      </c>
      <c r="L57" s="766">
        <f t="shared" si="61"/>
        <v>-15.519000000000002</v>
      </c>
      <c r="M57" s="766">
        <f t="shared" si="61"/>
        <v>-14.175000000000001</v>
      </c>
      <c r="N57" s="766">
        <f t="shared" si="61"/>
        <v>-5.8499999999999952</v>
      </c>
      <c r="O57" s="766">
        <f t="shared" si="61"/>
        <v>-59.35499999999999</v>
      </c>
      <c r="P57" s="771">
        <f t="shared" si="61"/>
        <v>-15.702999999999999</v>
      </c>
      <c r="Q57" s="771">
        <f t="shared" si="61"/>
        <v>-15.892999999999997</v>
      </c>
      <c r="R57" s="771">
        <f t="shared" si="61"/>
        <v>-17.768000000000001</v>
      </c>
      <c r="S57" s="771">
        <f t="shared" si="61"/>
        <v>-3.7530000000000001</v>
      </c>
      <c r="T57" s="766">
        <f t="shared" si="61"/>
        <v>-53.116999999999997</v>
      </c>
      <c r="U57" s="771">
        <f t="shared" si="61"/>
        <v>-31.88</v>
      </c>
      <c r="V57" s="771">
        <f t="shared" si="61"/>
        <v>-36.747000000000007</v>
      </c>
      <c r="W57" s="771">
        <f t="shared" si="61"/>
        <v>52.769999999999996</v>
      </c>
      <c r="X57" s="771">
        <f t="shared" si="61"/>
        <v>-39.193999999999988</v>
      </c>
      <c r="Y57" s="766">
        <f t="shared" si="61"/>
        <v>-55.051000000000052</v>
      </c>
      <c r="Z57" s="771">
        <f t="shared" si="61"/>
        <v>-88.62700000000001</v>
      </c>
      <c r="AA57" s="771">
        <f t="shared" si="61"/>
        <v>-60.332000000000001</v>
      </c>
      <c r="AB57" s="771">
        <f t="shared" si="61"/>
        <v>-56.575999999999993</v>
      </c>
      <c r="AC57" s="771">
        <f t="shared" si="61"/>
        <v>-47.447999999999993</v>
      </c>
      <c r="AD57" s="766">
        <f t="shared" si="61"/>
        <v>-252.983</v>
      </c>
      <c r="AE57" s="771">
        <f t="shared" si="61"/>
        <v>-43.551999999999985</v>
      </c>
      <c r="AF57" s="771">
        <f t="shared" si="61"/>
        <v>-54.344999999999999</v>
      </c>
      <c r="AG57" s="771">
        <f t="shared" si="61"/>
        <v>-36.451999999999998</v>
      </c>
      <c r="AH57" s="771">
        <f t="shared" si="61"/>
        <v>-29.085000000000001</v>
      </c>
      <c r="AI57" s="766">
        <f t="shared" si="61"/>
        <v>-163.43399999999997</v>
      </c>
      <c r="AJ57" s="772">
        <f t="shared" si="61"/>
        <v>-24.001000000000001</v>
      </c>
      <c r="AK57" s="772">
        <f t="shared" si="61"/>
        <v>-37.44</v>
      </c>
      <c r="AL57" s="772">
        <f t="shared" si="61"/>
        <v>-24.587999999999994</v>
      </c>
      <c r="AM57" s="772">
        <f t="shared" si="61"/>
        <v>-9.157</v>
      </c>
      <c r="AN57" s="767">
        <f>SUM(AN51,AN54,AN55,AN56)</f>
        <v>-95.185999999999964</v>
      </c>
      <c r="AO57" s="772">
        <f t="shared" si="61"/>
        <v>14.547000000000004</v>
      </c>
      <c r="AP57" s="772">
        <f t="shared" si="61"/>
        <v>-9.8680000000000128</v>
      </c>
      <c r="AQ57" s="772">
        <f t="shared" si="61"/>
        <v>-12.809500000000016</v>
      </c>
      <c r="AR57" s="772">
        <f t="shared" si="61"/>
        <v>-10.151999999999994</v>
      </c>
      <c r="AS57" s="767">
        <f>SUM(AS51,AS54,AS55,AS56)</f>
        <v>-49.816999999999972</v>
      </c>
      <c r="AT57" s="772">
        <f t="shared" si="61"/>
        <v>-40.988999999999997</v>
      </c>
      <c r="AU57" s="772">
        <f t="shared" si="61"/>
        <v>-34.928000000000011</v>
      </c>
      <c r="AV57" s="772">
        <f t="shared" si="61"/>
        <v>-19.348999999999997</v>
      </c>
      <c r="AW57" s="772">
        <f t="shared" si="61"/>
        <v>-14.243000000000004</v>
      </c>
      <c r="AX57" s="767">
        <f>SUM(AX51,AX54,AX55,AX56)</f>
        <v>-109.57999999999996</v>
      </c>
      <c r="AY57" s="772">
        <f t="shared" ref="AY57:BB57" si="62">SUM(AY51,AY54,AY55,AY56)</f>
        <v>-19.838041216319972</v>
      </c>
      <c r="AZ57" s="772">
        <f t="shared" si="62"/>
        <v>-16.8198832608063</v>
      </c>
      <c r="BA57" s="772">
        <f t="shared" si="62"/>
        <v>-14.241207645088103</v>
      </c>
      <c r="BB57" s="772">
        <f t="shared" si="62"/>
        <v>-8.5719785328662468</v>
      </c>
      <c r="BC57" s="767">
        <f>SUM(BC51,BC54,BC55,BC56)</f>
        <v>-89.117905449219194</v>
      </c>
      <c r="BD57" s="772"/>
      <c r="BE57" s="772"/>
      <c r="BF57" s="772"/>
      <c r="BG57" s="772"/>
      <c r="BH57" s="767">
        <f>SUM(BH51,BH54,BH55,BH56)</f>
        <v>-14.639733765628051</v>
      </c>
      <c r="BI57" s="772"/>
      <c r="BJ57" s="772"/>
      <c r="BK57" s="772"/>
      <c r="BL57" s="772"/>
      <c r="BM57" s="768">
        <f>SUM(BM51,BM54,BM55,BM56)</f>
        <v>98.474415907512736</v>
      </c>
    </row>
    <row r="58" spans="1:70">
      <c r="B58" s="20" t="s">
        <v>22</v>
      </c>
      <c r="C58" s="12"/>
      <c r="D58" s="189"/>
      <c r="E58" s="189">
        <v>0</v>
      </c>
      <c r="F58" s="97"/>
      <c r="G58" s="97"/>
      <c r="H58" s="16">
        <v>0.153</v>
      </c>
      <c r="I58" s="16">
        <f>J58-SUM(F58:H58)</f>
        <v>0.14299999999999999</v>
      </c>
      <c r="J58" s="169">
        <v>0.29599999999999999</v>
      </c>
      <c r="K58" s="97"/>
      <c r="L58" s="97"/>
      <c r="M58" s="97"/>
      <c r="N58" s="97"/>
      <c r="O58" s="97">
        <v>2.944</v>
      </c>
      <c r="P58" s="452"/>
      <c r="Q58" s="452"/>
      <c r="R58" s="452">
        <f>-0.003</f>
        <v>-3.0000000000000001E-3</v>
      </c>
      <c r="S58" s="452"/>
      <c r="T58" s="97">
        <f>SUM(P58:S58)</f>
        <v>-3.0000000000000001E-3</v>
      </c>
      <c r="U58" s="457">
        <v>0</v>
      </c>
      <c r="V58" s="457">
        <v>0</v>
      </c>
      <c r="W58" s="457">
        <v>0</v>
      </c>
      <c r="X58" s="457">
        <v>0</v>
      </c>
      <c r="Y58" s="97">
        <f>SUM(U58:X58)</f>
        <v>0</v>
      </c>
      <c r="Z58" s="457">
        <v>0</v>
      </c>
      <c r="AA58" s="457">
        <v>0</v>
      </c>
      <c r="AB58" s="457">
        <v>0</v>
      </c>
      <c r="AC58" s="457">
        <v>0</v>
      </c>
      <c r="AD58" s="97">
        <f>SUM(Z58:AC58)</f>
        <v>0</v>
      </c>
      <c r="AE58" s="457">
        <v>0</v>
      </c>
      <c r="AF58" s="457">
        <v>0</v>
      </c>
      <c r="AG58" s="457">
        <v>0</v>
      </c>
      <c r="AH58" s="457">
        <v>0</v>
      </c>
      <c r="AI58" s="97">
        <f>SUM(AE58:AH58)</f>
        <v>0</v>
      </c>
      <c r="AJ58" s="739">
        <v>0</v>
      </c>
      <c r="AK58" s="739">
        <v>0</v>
      </c>
      <c r="AL58" s="739">
        <v>0</v>
      </c>
      <c r="AM58" s="739">
        <v>0</v>
      </c>
      <c r="AN58" s="741">
        <f>SUM(AJ58:AM58)</f>
        <v>0</v>
      </c>
      <c r="AO58" s="739">
        <v>0</v>
      </c>
      <c r="AP58" s="739">
        <v>0</v>
      </c>
      <c r="AQ58" s="739">
        <f>AS58/4</f>
        <v>0</v>
      </c>
      <c r="AR58" s="739">
        <v>0</v>
      </c>
      <c r="AS58" s="741">
        <f>-AS121</f>
        <v>0</v>
      </c>
      <c r="AT58" s="739">
        <v>0</v>
      </c>
      <c r="AU58" s="739">
        <v>0</v>
      </c>
      <c r="AV58" s="739">
        <v>0</v>
      </c>
      <c r="AW58" s="739">
        <v>0</v>
      </c>
      <c r="AX58" s="741">
        <f>-AX121</f>
        <v>0</v>
      </c>
      <c r="AY58" s="739">
        <v>0</v>
      </c>
      <c r="AZ58" s="739">
        <v>0</v>
      </c>
      <c r="BA58" s="739">
        <v>0</v>
      </c>
      <c r="BB58" s="739">
        <v>0</v>
      </c>
      <c r="BC58" s="741">
        <f>-BC57*BC59</f>
        <v>0</v>
      </c>
      <c r="BD58" s="739"/>
      <c r="BE58" s="739"/>
      <c r="BF58" s="739"/>
      <c r="BG58" s="739"/>
      <c r="BH58" s="741">
        <f>-BH57*BH59</f>
        <v>0</v>
      </c>
      <c r="BI58" s="739"/>
      <c r="BJ58" s="739"/>
      <c r="BK58" s="739"/>
      <c r="BL58" s="739"/>
      <c r="BM58" s="741">
        <f>-BM57*BM59</f>
        <v>0</v>
      </c>
    </row>
    <row r="59" spans="1:70">
      <c r="B59" s="9" t="s">
        <v>23</v>
      </c>
      <c r="C59" s="184"/>
      <c r="D59" s="187"/>
      <c r="E59" s="195">
        <f t="shared" ref="E59:AR59" si="63">-E58/E57</f>
        <v>0</v>
      </c>
      <c r="F59" s="195">
        <f t="shared" si="63"/>
        <v>0</v>
      </c>
      <c r="G59" s="195">
        <f t="shared" si="63"/>
        <v>0</v>
      </c>
      <c r="H59" s="195">
        <f t="shared" si="63"/>
        <v>2.1631556623780569E-2</v>
      </c>
      <c r="I59" s="195">
        <f t="shared" si="63"/>
        <v>7.715966114498464E-3</v>
      </c>
      <c r="J59" s="195">
        <f t="shared" si="63"/>
        <v>4.9092778717617011E-3</v>
      </c>
      <c r="K59" s="195">
        <f t="shared" si="63"/>
        <v>0</v>
      </c>
      <c r="L59" s="195">
        <f t="shared" si="63"/>
        <v>0</v>
      </c>
      <c r="M59" s="195">
        <f t="shared" si="63"/>
        <v>0</v>
      </c>
      <c r="N59" s="195">
        <f t="shared" si="63"/>
        <v>0</v>
      </c>
      <c r="O59" s="195">
        <f t="shared" si="63"/>
        <v>4.9599865217757569E-2</v>
      </c>
      <c r="P59" s="460">
        <f t="shared" si="63"/>
        <v>0</v>
      </c>
      <c r="Q59" s="460">
        <f t="shared" si="63"/>
        <v>0</v>
      </c>
      <c r="R59" s="460">
        <f t="shared" si="63"/>
        <v>-1.6884286357496622E-4</v>
      </c>
      <c r="S59" s="460">
        <f t="shared" si="63"/>
        <v>0</v>
      </c>
      <c r="T59" s="195">
        <f t="shared" si="63"/>
        <v>-5.6479093322288535E-5</v>
      </c>
      <c r="U59" s="460">
        <f t="shared" si="63"/>
        <v>0</v>
      </c>
      <c r="V59" s="460">
        <f t="shared" si="63"/>
        <v>0</v>
      </c>
      <c r="W59" s="460">
        <f t="shared" si="63"/>
        <v>0</v>
      </c>
      <c r="X59" s="460">
        <f t="shared" si="63"/>
        <v>0</v>
      </c>
      <c r="Y59" s="195">
        <f t="shared" si="63"/>
        <v>0</v>
      </c>
      <c r="Z59" s="460">
        <f t="shared" si="63"/>
        <v>0</v>
      </c>
      <c r="AA59" s="460">
        <f t="shared" si="63"/>
        <v>0</v>
      </c>
      <c r="AB59" s="460">
        <f t="shared" si="63"/>
        <v>0</v>
      </c>
      <c r="AC59" s="460">
        <f t="shared" si="63"/>
        <v>0</v>
      </c>
      <c r="AD59" s="195">
        <f t="shared" si="63"/>
        <v>0</v>
      </c>
      <c r="AE59" s="484">
        <f t="shared" si="63"/>
        <v>0</v>
      </c>
      <c r="AF59" s="484">
        <f t="shared" si="63"/>
        <v>0</v>
      </c>
      <c r="AG59" s="484">
        <f t="shared" si="63"/>
        <v>0</v>
      </c>
      <c r="AH59" s="484">
        <f t="shared" si="63"/>
        <v>0</v>
      </c>
      <c r="AI59" s="195">
        <f t="shared" si="63"/>
        <v>0</v>
      </c>
      <c r="AJ59" s="1039">
        <f t="shared" si="63"/>
        <v>0</v>
      </c>
      <c r="AK59" s="1039">
        <f t="shared" si="63"/>
        <v>0</v>
      </c>
      <c r="AL59" s="1039">
        <f t="shared" si="63"/>
        <v>0</v>
      </c>
      <c r="AM59" s="1039">
        <f t="shared" si="63"/>
        <v>0</v>
      </c>
      <c r="AN59" s="755">
        <f>-AN58/AN57</f>
        <v>0</v>
      </c>
      <c r="AO59" s="756">
        <f t="shared" si="63"/>
        <v>0</v>
      </c>
      <c r="AP59" s="756">
        <f t="shared" si="63"/>
        <v>0</v>
      </c>
      <c r="AQ59" s="756">
        <f t="shared" si="63"/>
        <v>0</v>
      </c>
      <c r="AR59" s="756">
        <f t="shared" si="63"/>
        <v>0</v>
      </c>
      <c r="AS59" s="755">
        <f>-AS58/AS57</f>
        <v>0</v>
      </c>
      <c r="AT59" s="756">
        <v>0</v>
      </c>
      <c r="AU59" s="756">
        <v>0</v>
      </c>
      <c r="AV59" s="756">
        <v>0</v>
      </c>
      <c r="AW59" s="756">
        <v>0</v>
      </c>
      <c r="AX59" s="755">
        <f>-AX58/AX57</f>
        <v>0</v>
      </c>
      <c r="AY59" s="756">
        <v>0</v>
      </c>
      <c r="AZ59" s="756">
        <v>0</v>
      </c>
      <c r="BA59" s="756">
        <v>0</v>
      </c>
      <c r="BB59" s="756">
        <v>0</v>
      </c>
      <c r="BC59" s="755">
        <f>+AX59</f>
        <v>0</v>
      </c>
      <c r="BD59" s="756"/>
      <c r="BE59" s="756"/>
      <c r="BF59" s="756"/>
      <c r="BG59" s="756"/>
      <c r="BH59" s="755">
        <f>+BC59</f>
        <v>0</v>
      </c>
      <c r="BI59" s="756"/>
      <c r="BJ59" s="756"/>
      <c r="BK59" s="756"/>
      <c r="BL59" s="756"/>
      <c r="BM59" s="755">
        <f>+BH59</f>
        <v>0</v>
      </c>
    </row>
    <row r="60" spans="1:70">
      <c r="B60" s="20" t="s">
        <v>176</v>
      </c>
      <c r="C60" s="12"/>
      <c r="D60" s="192"/>
      <c r="E60" s="192">
        <f t="shared" ref="E60:AW60" si="64">SUM(E57:E58)</f>
        <v>-47.41</v>
      </c>
      <c r="F60" s="130">
        <f t="shared" si="64"/>
        <v>-17.381</v>
      </c>
      <c r="G60" s="130">
        <f t="shared" si="64"/>
        <v>-18.007000000000001</v>
      </c>
      <c r="H60" s="130">
        <f t="shared" si="64"/>
        <v>-6.9200000000000026</v>
      </c>
      <c r="I60" s="130">
        <f t="shared" si="64"/>
        <v>-18.389999999999993</v>
      </c>
      <c r="J60" s="130">
        <f t="shared" si="64"/>
        <v>-59.997999999999998</v>
      </c>
      <c r="K60" s="130">
        <f t="shared" si="64"/>
        <v>-14.645000000000001</v>
      </c>
      <c r="L60" s="130">
        <f t="shared" si="64"/>
        <v>-15.519000000000002</v>
      </c>
      <c r="M60" s="130">
        <f t="shared" si="64"/>
        <v>-14.175000000000001</v>
      </c>
      <c r="N60" s="130">
        <f t="shared" si="64"/>
        <v>-5.8499999999999952</v>
      </c>
      <c r="O60" s="130">
        <f t="shared" si="64"/>
        <v>-56.410999999999987</v>
      </c>
      <c r="P60" s="461">
        <f t="shared" si="64"/>
        <v>-15.702999999999999</v>
      </c>
      <c r="Q60" s="461">
        <f t="shared" si="64"/>
        <v>-15.892999999999997</v>
      </c>
      <c r="R60" s="461">
        <f t="shared" si="64"/>
        <v>-17.771000000000001</v>
      </c>
      <c r="S60" s="461">
        <f t="shared" si="64"/>
        <v>-3.7530000000000001</v>
      </c>
      <c r="T60" s="130">
        <f t="shared" si="64"/>
        <v>-53.12</v>
      </c>
      <c r="U60" s="461">
        <f t="shared" si="64"/>
        <v>-31.88</v>
      </c>
      <c r="V60" s="461">
        <f t="shared" si="64"/>
        <v>-36.747000000000007</v>
      </c>
      <c r="W60" s="461">
        <f t="shared" si="64"/>
        <v>52.769999999999996</v>
      </c>
      <c r="X60" s="461">
        <f t="shared" si="64"/>
        <v>-39.193999999999988</v>
      </c>
      <c r="Y60" s="130">
        <f t="shared" si="64"/>
        <v>-55.051000000000052</v>
      </c>
      <c r="Z60" s="461">
        <f t="shared" si="64"/>
        <v>-88.62700000000001</v>
      </c>
      <c r="AA60" s="461">
        <f t="shared" si="64"/>
        <v>-60.332000000000001</v>
      </c>
      <c r="AB60" s="461">
        <f t="shared" si="64"/>
        <v>-56.575999999999993</v>
      </c>
      <c r="AC60" s="461">
        <f t="shared" si="64"/>
        <v>-47.447999999999993</v>
      </c>
      <c r="AD60" s="130">
        <f t="shared" si="64"/>
        <v>-252.983</v>
      </c>
      <c r="AE60" s="485">
        <f t="shared" si="64"/>
        <v>-43.551999999999985</v>
      </c>
      <c r="AF60" s="485">
        <f t="shared" si="64"/>
        <v>-54.344999999999999</v>
      </c>
      <c r="AG60" s="485">
        <f t="shared" si="64"/>
        <v>-36.451999999999998</v>
      </c>
      <c r="AH60" s="485">
        <f t="shared" si="64"/>
        <v>-29.085000000000001</v>
      </c>
      <c r="AI60" s="130">
        <f>SUM(AI57:AI58)</f>
        <v>-163.43399999999997</v>
      </c>
      <c r="AJ60" s="1040">
        <f>SUM(AJ57:AJ58)</f>
        <v>-24.001000000000001</v>
      </c>
      <c r="AK60" s="1040">
        <f t="shared" si="64"/>
        <v>-37.44</v>
      </c>
      <c r="AL60" s="1040">
        <f t="shared" si="64"/>
        <v>-24.587999999999994</v>
      </c>
      <c r="AM60" s="1040">
        <f t="shared" si="64"/>
        <v>-9.157</v>
      </c>
      <c r="AN60" s="1041">
        <f>SUM(AN57:AN58)</f>
        <v>-95.185999999999964</v>
      </c>
      <c r="AO60" s="1042">
        <f t="shared" si="64"/>
        <v>14.547000000000004</v>
      </c>
      <c r="AP60" s="739">
        <f t="shared" si="64"/>
        <v>-9.8680000000000128</v>
      </c>
      <c r="AQ60" s="739">
        <f>SUM(AQ57:AQ58)</f>
        <v>-12.809500000000016</v>
      </c>
      <c r="AR60" s="739">
        <f t="shared" si="64"/>
        <v>-10.151999999999994</v>
      </c>
      <c r="AS60" s="741">
        <f>SUM(AS57:AS58)</f>
        <v>-49.816999999999972</v>
      </c>
      <c r="AT60" s="739">
        <f t="shared" si="64"/>
        <v>-40.988999999999997</v>
      </c>
      <c r="AU60" s="739">
        <f t="shared" si="64"/>
        <v>-34.928000000000011</v>
      </c>
      <c r="AV60" s="739">
        <f t="shared" si="64"/>
        <v>-19.348999999999997</v>
      </c>
      <c r="AW60" s="739">
        <f t="shared" si="64"/>
        <v>-14.243000000000004</v>
      </c>
      <c r="AX60" s="741">
        <f>SUM(AX57:AX58)</f>
        <v>-109.57999999999996</v>
      </c>
      <c r="AY60" s="739">
        <f t="shared" ref="AY60:BB60" si="65">SUM(AY57:AY58)</f>
        <v>-19.838041216319972</v>
      </c>
      <c r="AZ60" s="739">
        <f t="shared" si="65"/>
        <v>-16.8198832608063</v>
      </c>
      <c r="BA60" s="739">
        <f t="shared" si="65"/>
        <v>-14.241207645088103</v>
      </c>
      <c r="BB60" s="739">
        <f t="shared" si="65"/>
        <v>-8.5719785328662468</v>
      </c>
      <c r="BC60" s="741">
        <f>SUM(BC57:BC58)</f>
        <v>-89.117905449219194</v>
      </c>
      <c r="BD60" s="739"/>
      <c r="BE60" s="739"/>
      <c r="BF60" s="739"/>
      <c r="BG60" s="739"/>
      <c r="BH60" s="741">
        <f>SUM(BH57:BH58)</f>
        <v>-14.639733765628051</v>
      </c>
      <c r="BI60" s="739"/>
      <c r="BJ60" s="739"/>
      <c r="BK60" s="739"/>
      <c r="BL60" s="739"/>
      <c r="BM60" s="741">
        <f>SUM(BM57:BM58)</f>
        <v>98.474415907512736</v>
      </c>
    </row>
    <row r="61" spans="1:70">
      <c r="B61" s="20" t="s">
        <v>330</v>
      </c>
      <c r="C61" s="12"/>
      <c r="D61" s="189"/>
      <c r="E61" s="189">
        <v>-7.6210000000000004</v>
      </c>
      <c r="F61" s="97"/>
      <c r="G61" s="97"/>
      <c r="H61" s="97"/>
      <c r="I61" s="97"/>
      <c r="J61" s="169">
        <v>-13.314</v>
      </c>
      <c r="K61" s="97"/>
      <c r="L61" s="97"/>
      <c r="M61" s="97"/>
      <c r="N61" s="97"/>
      <c r="O61" s="97">
        <f>4.551</f>
        <v>4.5510000000000002</v>
      </c>
      <c r="P61" s="462"/>
      <c r="Q61" s="462"/>
      <c r="R61" s="462"/>
      <c r="S61" s="462"/>
      <c r="T61" s="97"/>
      <c r="U61" s="462"/>
      <c r="V61" s="462"/>
      <c r="W61" s="462"/>
      <c r="X61" s="462"/>
      <c r="Y61" s="97"/>
      <c r="Z61" s="462"/>
      <c r="AA61" s="462"/>
      <c r="AB61" s="462"/>
      <c r="AC61" s="462"/>
      <c r="AD61" s="97"/>
      <c r="AE61" s="483"/>
      <c r="AF61" s="483"/>
      <c r="AG61" s="483"/>
      <c r="AH61" s="483"/>
      <c r="AI61" s="97"/>
      <c r="AJ61" s="462"/>
      <c r="AK61" s="462"/>
      <c r="AL61" s="462"/>
      <c r="AM61" s="462"/>
      <c r="AN61" s="757"/>
      <c r="AO61" s="742"/>
      <c r="AP61" s="742"/>
      <c r="AQ61" s="742"/>
      <c r="AR61" s="742"/>
      <c r="AS61" s="757"/>
      <c r="AT61" s="742"/>
      <c r="AU61" s="742"/>
      <c r="AV61" s="742"/>
      <c r="AW61" s="742"/>
      <c r="AX61" s="757"/>
      <c r="AY61" s="742"/>
      <c r="AZ61" s="742"/>
      <c r="BA61" s="742"/>
      <c r="BB61" s="742"/>
      <c r="BC61" s="757"/>
      <c r="BD61" s="742"/>
      <c r="BE61" s="742"/>
      <c r="BF61" s="742"/>
      <c r="BG61" s="742"/>
      <c r="BH61" s="757"/>
      <c r="BI61" s="742"/>
      <c r="BJ61" s="742"/>
      <c r="BK61" s="742"/>
      <c r="BL61" s="742"/>
      <c r="BM61" s="757"/>
    </row>
    <row r="62" spans="1:70">
      <c r="B62" s="769" t="s">
        <v>24</v>
      </c>
      <c r="C62" s="770"/>
      <c r="D62" s="766"/>
      <c r="E62" s="766">
        <f t="shared" ref="E62:AR62" si="66">SUM(E60:E61)</f>
        <v>-55.030999999999999</v>
      </c>
      <c r="F62" s="766">
        <f t="shared" si="66"/>
        <v>-17.381</v>
      </c>
      <c r="G62" s="766">
        <f t="shared" si="66"/>
        <v>-18.007000000000001</v>
      </c>
      <c r="H62" s="766">
        <f t="shared" si="66"/>
        <v>-6.9200000000000026</v>
      </c>
      <c r="I62" s="766">
        <f t="shared" si="66"/>
        <v>-18.389999999999993</v>
      </c>
      <c r="J62" s="766">
        <f t="shared" si="66"/>
        <v>-73.311999999999998</v>
      </c>
      <c r="K62" s="766">
        <f t="shared" si="66"/>
        <v>-14.645000000000001</v>
      </c>
      <c r="L62" s="766">
        <f t="shared" si="66"/>
        <v>-15.519000000000002</v>
      </c>
      <c r="M62" s="766">
        <f t="shared" si="66"/>
        <v>-14.175000000000001</v>
      </c>
      <c r="N62" s="766">
        <f t="shared" si="66"/>
        <v>-5.8499999999999952</v>
      </c>
      <c r="O62" s="766">
        <f t="shared" si="66"/>
        <v>-51.859999999999985</v>
      </c>
      <c r="P62" s="771">
        <f t="shared" si="66"/>
        <v>-15.702999999999999</v>
      </c>
      <c r="Q62" s="771">
        <f t="shared" si="66"/>
        <v>-15.892999999999997</v>
      </c>
      <c r="R62" s="771">
        <f t="shared" si="66"/>
        <v>-17.771000000000001</v>
      </c>
      <c r="S62" s="771">
        <f t="shared" si="66"/>
        <v>-3.7530000000000001</v>
      </c>
      <c r="T62" s="766">
        <f t="shared" si="66"/>
        <v>-53.12</v>
      </c>
      <c r="U62" s="771">
        <f t="shared" si="66"/>
        <v>-31.88</v>
      </c>
      <c r="V62" s="771">
        <f t="shared" si="66"/>
        <v>-36.747000000000007</v>
      </c>
      <c r="W62" s="771">
        <f t="shared" si="66"/>
        <v>52.769999999999996</v>
      </c>
      <c r="X62" s="771">
        <f t="shared" si="66"/>
        <v>-39.193999999999988</v>
      </c>
      <c r="Y62" s="766">
        <f t="shared" si="66"/>
        <v>-55.051000000000052</v>
      </c>
      <c r="Z62" s="771">
        <f>SUM(Z60:Z61)</f>
        <v>-88.62700000000001</v>
      </c>
      <c r="AA62" s="771">
        <f t="shared" si="66"/>
        <v>-60.332000000000001</v>
      </c>
      <c r="AB62" s="771">
        <f t="shared" si="66"/>
        <v>-56.575999999999993</v>
      </c>
      <c r="AC62" s="771">
        <f t="shared" si="66"/>
        <v>-47.447999999999993</v>
      </c>
      <c r="AD62" s="766">
        <f t="shared" si="66"/>
        <v>-252.983</v>
      </c>
      <c r="AE62" s="771">
        <f t="shared" si="66"/>
        <v>-43.551999999999985</v>
      </c>
      <c r="AF62" s="771">
        <f t="shared" si="66"/>
        <v>-54.344999999999999</v>
      </c>
      <c r="AG62" s="771">
        <f t="shared" si="66"/>
        <v>-36.451999999999998</v>
      </c>
      <c r="AH62" s="771">
        <f>SUM(AH60:AH61)</f>
        <v>-29.085000000000001</v>
      </c>
      <c r="AI62" s="766">
        <f>SUM(AI60:AI61)</f>
        <v>-163.43399999999997</v>
      </c>
      <c r="AJ62" s="772">
        <f>SUM(AJ60:AJ61)</f>
        <v>-24.001000000000001</v>
      </c>
      <c r="AK62" s="772">
        <f t="shared" si="66"/>
        <v>-37.44</v>
      </c>
      <c r="AL62" s="772">
        <f t="shared" si="66"/>
        <v>-24.587999999999994</v>
      </c>
      <c r="AM62" s="772">
        <f t="shared" si="66"/>
        <v>-9.157</v>
      </c>
      <c r="AN62" s="767">
        <f>SUM(AN60:AN61)</f>
        <v>-95.185999999999964</v>
      </c>
      <c r="AO62" s="772">
        <f t="shared" si="66"/>
        <v>14.547000000000004</v>
      </c>
      <c r="AP62" s="772">
        <f t="shared" si="66"/>
        <v>-9.8680000000000128</v>
      </c>
      <c r="AQ62" s="772">
        <f t="shared" si="66"/>
        <v>-12.809500000000016</v>
      </c>
      <c r="AR62" s="772">
        <f t="shared" si="66"/>
        <v>-10.151999999999994</v>
      </c>
      <c r="AS62" s="767">
        <f>SUM(AS60:AS61)</f>
        <v>-49.816999999999972</v>
      </c>
      <c r="AT62" s="772">
        <f t="shared" ref="AT62:AW62" si="67">SUM(AT60:AT61)</f>
        <v>-40.988999999999997</v>
      </c>
      <c r="AU62" s="772">
        <f t="shared" si="67"/>
        <v>-34.928000000000011</v>
      </c>
      <c r="AV62" s="772">
        <f t="shared" si="67"/>
        <v>-19.348999999999997</v>
      </c>
      <c r="AW62" s="772">
        <f t="shared" si="67"/>
        <v>-14.243000000000004</v>
      </c>
      <c r="AX62" s="767">
        <f>SUM(AX60:AX61)</f>
        <v>-109.57999999999996</v>
      </c>
      <c r="AY62" s="772">
        <f t="shared" ref="AY62:BB62" si="68">SUM(AY60:AY61)</f>
        <v>-19.838041216319972</v>
      </c>
      <c r="AZ62" s="772">
        <f t="shared" si="68"/>
        <v>-16.8198832608063</v>
      </c>
      <c r="BA62" s="772">
        <f t="shared" si="68"/>
        <v>-14.241207645088103</v>
      </c>
      <c r="BB62" s="772">
        <f t="shared" si="68"/>
        <v>-8.5719785328662468</v>
      </c>
      <c r="BC62" s="767">
        <f>SUM(BC60:BC61)</f>
        <v>-89.117905449219194</v>
      </c>
      <c r="BD62" s="772"/>
      <c r="BE62" s="772"/>
      <c r="BF62" s="772"/>
      <c r="BG62" s="772"/>
      <c r="BH62" s="767">
        <f>SUM(BH60:BH61)</f>
        <v>-14.639733765628051</v>
      </c>
      <c r="BI62" s="772"/>
      <c r="BJ62" s="772"/>
      <c r="BK62" s="772"/>
      <c r="BL62" s="772"/>
      <c r="BM62" s="768">
        <f>SUM(BM60:BM61)</f>
        <v>98.474415907512736</v>
      </c>
    </row>
    <row r="63" spans="1:70" hidden="1" outlineLevel="1">
      <c r="B63" s="20" t="s">
        <v>166</v>
      </c>
      <c r="C63" s="12"/>
      <c r="D63" s="189"/>
      <c r="E63" s="189">
        <v>1.157</v>
      </c>
      <c r="F63" s="128">
        <v>0.432</v>
      </c>
      <c r="G63" s="128">
        <v>0.53200000000000003</v>
      </c>
      <c r="H63" s="234"/>
      <c r="I63" s="234"/>
      <c r="J63" s="169">
        <v>2.1269999999999998</v>
      </c>
      <c r="K63" s="128">
        <v>0.32900000000000001</v>
      </c>
      <c r="L63" s="128">
        <v>7.2999999999999995E-2</v>
      </c>
      <c r="M63" s="128"/>
      <c r="N63" s="234"/>
      <c r="O63" s="234">
        <f>-1.121</f>
        <v>-1.121</v>
      </c>
      <c r="P63" s="463"/>
      <c r="Q63" s="463"/>
      <c r="R63" s="463"/>
      <c r="S63" s="463"/>
      <c r="T63" s="234"/>
      <c r="U63" s="463"/>
      <c r="V63" s="463"/>
      <c r="W63" s="463"/>
      <c r="X63" s="463"/>
      <c r="Y63" s="234"/>
      <c r="Z63" s="463"/>
      <c r="AA63" s="463"/>
      <c r="AB63" s="463"/>
      <c r="AC63" s="463"/>
      <c r="AD63" s="234"/>
      <c r="AE63" s="486"/>
      <c r="AF63" s="486"/>
      <c r="AG63" s="486"/>
      <c r="AH63" s="486"/>
      <c r="AI63" s="234"/>
      <c r="AJ63" s="759"/>
      <c r="AK63" s="759"/>
      <c r="AL63" s="759"/>
      <c r="AM63" s="759"/>
      <c r="AN63" s="758"/>
      <c r="AO63" s="759"/>
      <c r="AP63" s="759"/>
      <c r="AQ63" s="759"/>
      <c r="AR63" s="759"/>
      <c r="AS63" s="758"/>
      <c r="AT63" s="759"/>
      <c r="AU63" s="759"/>
      <c r="AV63" s="759"/>
      <c r="AW63" s="759"/>
      <c r="AX63" s="758"/>
      <c r="AY63" s="759"/>
      <c r="AZ63" s="759"/>
      <c r="BA63" s="759"/>
      <c r="BB63" s="759"/>
      <c r="BC63" s="758"/>
      <c r="BD63" s="759"/>
      <c r="BE63" s="759"/>
      <c r="BF63" s="759"/>
      <c r="BG63" s="759"/>
      <c r="BH63" s="758"/>
      <c r="BI63" s="759"/>
      <c r="BJ63" s="759"/>
      <c r="BK63" s="759"/>
      <c r="BL63" s="759"/>
      <c r="BM63" s="758"/>
    </row>
    <row r="64" spans="1:70" hidden="1" outlineLevel="1">
      <c r="B64" s="769" t="s">
        <v>331</v>
      </c>
      <c r="C64" s="770"/>
      <c r="D64" s="766"/>
      <c r="E64" s="766">
        <f t="shared" ref="E64:AR64" si="69">+E62+E63</f>
        <v>-53.873999999999995</v>
      </c>
      <c r="F64" s="766">
        <f t="shared" si="69"/>
        <v>-16.949000000000002</v>
      </c>
      <c r="G64" s="766">
        <f t="shared" si="69"/>
        <v>-17.475000000000001</v>
      </c>
      <c r="H64" s="766">
        <f t="shared" si="69"/>
        <v>-6.9200000000000026</v>
      </c>
      <c r="I64" s="766">
        <f t="shared" si="69"/>
        <v>-18.389999999999993</v>
      </c>
      <c r="J64" s="766">
        <f t="shared" si="69"/>
        <v>-71.185000000000002</v>
      </c>
      <c r="K64" s="766">
        <f t="shared" si="69"/>
        <v>-14.316000000000001</v>
      </c>
      <c r="L64" s="766">
        <f t="shared" si="69"/>
        <v>-15.446000000000002</v>
      </c>
      <c r="M64" s="766">
        <f t="shared" si="69"/>
        <v>-14.175000000000001</v>
      </c>
      <c r="N64" s="766">
        <f t="shared" si="69"/>
        <v>-5.8499999999999952</v>
      </c>
      <c r="O64" s="766">
        <f t="shared" si="69"/>
        <v>-52.980999999999987</v>
      </c>
      <c r="P64" s="771">
        <f t="shared" si="69"/>
        <v>-15.702999999999999</v>
      </c>
      <c r="Q64" s="771">
        <f t="shared" si="69"/>
        <v>-15.892999999999997</v>
      </c>
      <c r="R64" s="771">
        <f t="shared" si="69"/>
        <v>-17.771000000000001</v>
      </c>
      <c r="S64" s="771">
        <f t="shared" si="69"/>
        <v>-3.7530000000000001</v>
      </c>
      <c r="T64" s="766">
        <f t="shared" si="69"/>
        <v>-53.12</v>
      </c>
      <c r="U64" s="771">
        <f t="shared" si="69"/>
        <v>-31.88</v>
      </c>
      <c r="V64" s="771">
        <f t="shared" si="69"/>
        <v>-36.747000000000007</v>
      </c>
      <c r="W64" s="771">
        <f t="shared" si="69"/>
        <v>52.769999999999996</v>
      </c>
      <c r="X64" s="771">
        <f t="shared" si="69"/>
        <v>-39.193999999999988</v>
      </c>
      <c r="Y64" s="766">
        <f t="shared" si="69"/>
        <v>-55.051000000000052</v>
      </c>
      <c r="Z64" s="771">
        <f t="shared" si="69"/>
        <v>-88.62700000000001</v>
      </c>
      <c r="AA64" s="771">
        <f t="shared" si="69"/>
        <v>-60.332000000000001</v>
      </c>
      <c r="AB64" s="771">
        <f>+AB62+AB63</f>
        <v>-56.575999999999993</v>
      </c>
      <c r="AC64" s="771">
        <f t="shared" si="69"/>
        <v>-47.447999999999993</v>
      </c>
      <c r="AD64" s="766">
        <f t="shared" si="69"/>
        <v>-252.983</v>
      </c>
      <c r="AE64" s="771">
        <f t="shared" si="69"/>
        <v>-43.551999999999985</v>
      </c>
      <c r="AF64" s="771">
        <f t="shared" si="69"/>
        <v>-54.344999999999999</v>
      </c>
      <c r="AG64" s="771">
        <f t="shared" si="69"/>
        <v>-36.451999999999998</v>
      </c>
      <c r="AH64" s="771">
        <f>+AH62+AH63</f>
        <v>-29.085000000000001</v>
      </c>
      <c r="AI64" s="766">
        <f>+AI62+AI63</f>
        <v>-163.43399999999997</v>
      </c>
      <c r="AJ64" s="772">
        <f>+AJ62+AJ63</f>
        <v>-24.001000000000001</v>
      </c>
      <c r="AK64" s="772">
        <f t="shared" si="69"/>
        <v>-37.44</v>
      </c>
      <c r="AL64" s="772">
        <f t="shared" si="69"/>
        <v>-24.587999999999994</v>
      </c>
      <c r="AM64" s="772">
        <f t="shared" si="69"/>
        <v>-9.157</v>
      </c>
      <c r="AN64" s="767">
        <f>+AN62+AN63</f>
        <v>-95.185999999999964</v>
      </c>
      <c r="AO64" s="772">
        <f t="shared" si="69"/>
        <v>14.547000000000004</v>
      </c>
      <c r="AP64" s="772">
        <f t="shared" si="69"/>
        <v>-9.8680000000000128</v>
      </c>
      <c r="AQ64" s="772">
        <f>+AQ62+AQ63</f>
        <v>-12.809500000000016</v>
      </c>
      <c r="AR64" s="772">
        <f t="shared" si="69"/>
        <v>-10.151999999999994</v>
      </c>
      <c r="AS64" s="767">
        <f>+AS62+AS63</f>
        <v>-49.816999999999972</v>
      </c>
      <c r="AT64" s="772">
        <f t="shared" ref="AT64:AW64" si="70">+AT62+AT63</f>
        <v>-40.988999999999997</v>
      </c>
      <c r="AU64" s="772">
        <f t="shared" si="70"/>
        <v>-34.928000000000011</v>
      </c>
      <c r="AV64" s="772">
        <f t="shared" si="70"/>
        <v>-19.348999999999997</v>
      </c>
      <c r="AW64" s="772">
        <f t="shared" si="70"/>
        <v>-14.243000000000004</v>
      </c>
      <c r="AX64" s="767">
        <f>+AX62+AX63</f>
        <v>-109.57999999999996</v>
      </c>
      <c r="AY64" s="772">
        <f t="shared" ref="AY64:BB64" si="71">+AY62+AY63</f>
        <v>-19.838041216319972</v>
      </c>
      <c r="AZ64" s="772">
        <f t="shared" si="71"/>
        <v>-16.8198832608063</v>
      </c>
      <c r="BA64" s="772">
        <f t="shared" si="71"/>
        <v>-14.241207645088103</v>
      </c>
      <c r="BB64" s="772">
        <f t="shared" si="71"/>
        <v>-8.5719785328662468</v>
      </c>
      <c r="BC64" s="767">
        <f>+BC62+BC63</f>
        <v>-89.117905449219194</v>
      </c>
      <c r="BD64" s="772"/>
      <c r="BE64" s="772"/>
      <c r="BF64" s="772"/>
      <c r="BG64" s="772"/>
      <c r="BH64" s="767">
        <f>+BH62+BH63</f>
        <v>-14.639733765628051</v>
      </c>
      <c r="BI64" s="772"/>
      <c r="BJ64" s="772"/>
      <c r="BK64" s="772"/>
      <c r="BL64" s="772"/>
      <c r="BM64" s="768">
        <f>+BM62+BM63</f>
        <v>98.474415907512736</v>
      </c>
    </row>
    <row r="65" spans="1:79" collapsed="1">
      <c r="B65" s="12" t="s">
        <v>25</v>
      </c>
      <c r="C65" s="12"/>
      <c r="D65" s="192"/>
      <c r="E65" s="192">
        <f t="shared" ref="E65:AD65" si="72">E64/E78</f>
        <v>-7.8193658844639842</v>
      </c>
      <c r="F65" s="192">
        <f t="shared" si="72"/>
        <v>-2.4187163464639565</v>
      </c>
      <c r="G65" s="192">
        <f t="shared" si="72"/>
        <v>-2.4837010229437126</v>
      </c>
      <c r="H65" s="192">
        <f t="shared" si="72"/>
        <v>-0.97213607938362112</v>
      </c>
      <c r="I65" s="192">
        <f t="shared" si="72"/>
        <v>-2.5082191059914671</v>
      </c>
      <c r="J65" s="130">
        <f t="shared" si="72"/>
        <v>-10.002425256162413</v>
      </c>
      <c r="K65" s="192">
        <f t="shared" si="72"/>
        <v>-0.22383451030947421</v>
      </c>
      <c r="L65" s="192">
        <f t="shared" si="72"/>
        <v>-0.15818958847049228</v>
      </c>
      <c r="M65" s="192">
        <f t="shared" si="72"/>
        <v>-0.14475266681131382</v>
      </c>
      <c r="N65" s="192">
        <f t="shared" si="72"/>
        <v>-5.9321150655097112E-2</v>
      </c>
      <c r="O65" s="130">
        <f t="shared" si="72"/>
        <v>-0.59095384307051757</v>
      </c>
      <c r="P65" s="464">
        <f t="shared" si="72"/>
        <v>-0.1584957896672958</v>
      </c>
      <c r="Q65" s="464">
        <f t="shared" si="72"/>
        <v>-0.15944825626181028</v>
      </c>
      <c r="R65" s="464">
        <f t="shared" si="72"/>
        <v>-0.17740114460723883</v>
      </c>
      <c r="S65" s="464">
        <f t="shared" si="72"/>
        <v>-3.7382414228625385E-2</v>
      </c>
      <c r="T65" s="130">
        <f t="shared" si="72"/>
        <v>-0.53186594935518761</v>
      </c>
      <c r="U65" s="464">
        <f t="shared" si="72"/>
        <v>-0.30727396905631615</v>
      </c>
      <c r="V65" s="464">
        <f t="shared" si="72"/>
        <v>-0.34317925739284821</v>
      </c>
      <c r="W65" s="464">
        <f t="shared" si="72"/>
        <v>0.49195080570252364</v>
      </c>
      <c r="X65" s="464">
        <f t="shared" si="72"/>
        <v>-0.36461900328305941</v>
      </c>
      <c r="Y65" s="130">
        <f t="shared" si="72"/>
        <v>-0.51738378406197294</v>
      </c>
      <c r="Z65" s="464">
        <f t="shared" si="72"/>
        <v>-0.82006877540692713</v>
      </c>
      <c r="AA65" s="464">
        <f t="shared" si="72"/>
        <v>-0.53183409924865965</v>
      </c>
      <c r="AB65" s="464">
        <f t="shared" si="72"/>
        <v>-0.46846500447760164</v>
      </c>
      <c r="AC65" s="464">
        <f t="shared" si="72"/>
        <v>-0.39236158134121218</v>
      </c>
      <c r="AD65" s="130">
        <f t="shared" si="72"/>
        <v>-2.1845970472478795</v>
      </c>
      <c r="AE65" s="485">
        <f t="shared" ref="AE65:AN65" si="73">AE64/AE78</f>
        <v>-0.33567382172723409</v>
      </c>
      <c r="AF65" s="485">
        <f t="shared" si="73"/>
        <v>-0.39290749376423384</v>
      </c>
      <c r="AG65" s="485">
        <f t="shared" si="73"/>
        <v>-0.26180386974445896</v>
      </c>
      <c r="AH65" s="485">
        <f t="shared" si="73"/>
        <v>-0.20802489003325825</v>
      </c>
      <c r="AI65" s="130">
        <f t="shared" si="73"/>
        <v>-1.1945969256857998</v>
      </c>
      <c r="AJ65" s="743">
        <f>AJ64/AJ78</f>
        <v>-0.16988490777049506</v>
      </c>
      <c r="AK65" s="743">
        <f t="shared" si="73"/>
        <v>-0.26348013342904186</v>
      </c>
      <c r="AL65" s="743">
        <f t="shared" si="73"/>
        <v>-0.17258006780232038</v>
      </c>
      <c r="AM65" s="743">
        <f t="shared" si="73"/>
        <v>-6.4146660969100044E-2</v>
      </c>
      <c r="AN65" s="760">
        <f t="shared" si="73"/>
        <v>-0.66959304983996315</v>
      </c>
      <c r="AO65" s="743">
        <f t="shared" ref="AO65:AX65" si="74">AO64/AO78</f>
        <v>0.10130716678389619</v>
      </c>
      <c r="AP65" s="743">
        <f t="shared" si="74"/>
        <v>-6.8223614164627244E-2</v>
      </c>
      <c r="AQ65" s="743">
        <f t="shared" si="74"/>
        <v>-8.8231850117096125E-2</v>
      </c>
      <c r="AR65" s="743">
        <f t="shared" si="74"/>
        <v>-6.9403995241806432E-2</v>
      </c>
      <c r="AS65" s="760">
        <f t="shared" si="74"/>
        <v>-0.34373620004415967</v>
      </c>
      <c r="AT65" s="743">
        <f t="shared" si="74"/>
        <v>-0.27735374122041329</v>
      </c>
      <c r="AU65" s="743">
        <f t="shared" si="74"/>
        <v>-0.2357523564858037</v>
      </c>
      <c r="AV65" s="743">
        <f t="shared" si="74"/>
        <v>-0.12942301775227083</v>
      </c>
      <c r="AW65" s="743">
        <f t="shared" si="74"/>
        <v>-9.5032048379005696E-2</v>
      </c>
      <c r="AX65" s="760">
        <f t="shared" si="74"/>
        <v>-0.7362772530676901</v>
      </c>
      <c r="AY65" s="743">
        <f t="shared" ref="AY65:BB65" si="75">AY64/AY78</f>
        <v>-0.13203316168008877</v>
      </c>
      <c r="AZ65" s="743">
        <f t="shared" si="75"/>
        <v>-0.11166648114196999</v>
      </c>
      <c r="BA65" s="743">
        <f t="shared" si="75"/>
        <v>-9.4310987231812707E-2</v>
      </c>
      <c r="BB65" s="743">
        <f t="shared" si="75"/>
        <v>-5.6625515108333559E-2</v>
      </c>
      <c r="BC65" s="760">
        <f>BC64/BC78</f>
        <v>-0.59090945806703221</v>
      </c>
      <c r="BD65" s="743"/>
      <c r="BE65" s="743"/>
      <c r="BF65" s="743"/>
      <c r="BG65" s="743"/>
      <c r="BH65" s="760">
        <f>BH64/BH78</f>
        <v>-9.6109822618362525E-2</v>
      </c>
      <c r="BI65" s="743"/>
      <c r="BJ65" s="743"/>
      <c r="BK65" s="743"/>
      <c r="BL65" s="743"/>
      <c r="BM65" s="760">
        <f>BM64/BM78</f>
        <v>0.64008350657838142</v>
      </c>
    </row>
    <row r="66" spans="1:79">
      <c r="B66" s="12" t="s">
        <v>26</v>
      </c>
      <c r="C66" s="12"/>
      <c r="D66" s="192"/>
      <c r="E66" s="192">
        <f t="shared" ref="E66:AD66" si="76">E64/E79</f>
        <v>-7.8193658844639842</v>
      </c>
      <c r="F66" s="192">
        <f t="shared" si="76"/>
        <v>-2.4187163464639565</v>
      </c>
      <c r="G66" s="192">
        <f t="shared" si="76"/>
        <v>-2.4837010229437126</v>
      </c>
      <c r="H66" s="192">
        <f t="shared" si="76"/>
        <v>-0.97213607938362112</v>
      </c>
      <c r="I66" s="192">
        <f t="shared" si="76"/>
        <v>-2.5082191059914671</v>
      </c>
      <c r="J66" s="130">
        <f t="shared" si="76"/>
        <v>-10.002425256162413</v>
      </c>
      <c r="K66" s="192">
        <f t="shared" si="76"/>
        <v>-0.22383451030947421</v>
      </c>
      <c r="L66" s="192">
        <f t="shared" si="76"/>
        <v>-0.15818958847049228</v>
      </c>
      <c r="M66" s="192">
        <f t="shared" si="76"/>
        <v>-0.14475266681131382</v>
      </c>
      <c r="N66" s="192">
        <f t="shared" si="76"/>
        <v>-5.9321150655097112E-2</v>
      </c>
      <c r="O66" s="130">
        <f t="shared" si="76"/>
        <v>-0.59095384307051757</v>
      </c>
      <c r="P66" s="464">
        <f t="shared" si="76"/>
        <v>-0.1584957896672958</v>
      </c>
      <c r="Q66" s="464">
        <f t="shared" si="76"/>
        <v>-0.15944825626181028</v>
      </c>
      <c r="R66" s="464">
        <f t="shared" si="76"/>
        <v>-0.17740114460723883</v>
      </c>
      <c r="S66" s="464">
        <f t="shared" si="76"/>
        <v>-3.7382414228625385E-2</v>
      </c>
      <c r="T66" s="130">
        <f t="shared" si="76"/>
        <v>-0.53186594935518761</v>
      </c>
      <c r="U66" s="464">
        <f t="shared" si="76"/>
        <v>-0.30727396905631615</v>
      </c>
      <c r="V66" s="464">
        <f t="shared" si="76"/>
        <v>-0.34317925739284821</v>
      </c>
      <c r="W66" s="464">
        <f t="shared" si="76"/>
        <v>0.46152906828056245</v>
      </c>
      <c r="X66" s="464">
        <f t="shared" si="76"/>
        <v>-0.36461900328305941</v>
      </c>
      <c r="Y66" s="130">
        <f t="shared" si="76"/>
        <v>-0.51738378406197294</v>
      </c>
      <c r="Z66" s="464">
        <f t="shared" si="76"/>
        <v>-0.82006877540692713</v>
      </c>
      <c r="AA66" s="464">
        <f t="shared" si="76"/>
        <v>-0.53183409924865965</v>
      </c>
      <c r="AB66" s="464">
        <f t="shared" si="76"/>
        <v>-0.46846500447760164</v>
      </c>
      <c r="AC66" s="464">
        <f t="shared" si="76"/>
        <v>-0.39236158134121218</v>
      </c>
      <c r="AD66" s="130">
        <f t="shared" si="76"/>
        <v>-2.1845970472478795</v>
      </c>
      <c r="AE66" s="485">
        <f t="shared" ref="AE66:AN66" si="77">AE64/AE79</f>
        <v>-0.33567382172723409</v>
      </c>
      <c r="AF66" s="485">
        <f t="shared" si="77"/>
        <v>-0.39290749376423384</v>
      </c>
      <c r="AG66" s="485">
        <f t="shared" si="77"/>
        <v>-0.26180386974445896</v>
      </c>
      <c r="AH66" s="485">
        <f t="shared" si="77"/>
        <v>-0.20802489003325825</v>
      </c>
      <c r="AI66" s="130">
        <f t="shared" si="77"/>
        <v>-1.1945969256857998</v>
      </c>
      <c r="AJ66" s="743">
        <f t="shared" si="77"/>
        <v>-0.16988490777049506</v>
      </c>
      <c r="AK66" s="743">
        <f t="shared" si="77"/>
        <v>-0.26348013342904186</v>
      </c>
      <c r="AL66" s="743">
        <f t="shared" si="77"/>
        <v>-0.17258006780232038</v>
      </c>
      <c r="AM66" s="743">
        <f t="shared" si="77"/>
        <v>-6.4146660969100044E-2</v>
      </c>
      <c r="AN66" s="760">
        <f t="shared" si="77"/>
        <v>-0.66959304983996315</v>
      </c>
      <c r="AO66" s="743">
        <f t="shared" ref="AO66:AX66" si="78">AO64/AO79</f>
        <v>0.10130716678389619</v>
      </c>
      <c r="AP66" s="743">
        <f t="shared" si="78"/>
        <v>-6.8223614164627244E-2</v>
      </c>
      <c r="AQ66" s="743">
        <f t="shared" si="78"/>
        <v>-8.8231850117096125E-2</v>
      </c>
      <c r="AR66" s="743">
        <f t="shared" si="78"/>
        <v>-6.9403995241806432E-2</v>
      </c>
      <c r="AS66" s="760">
        <f t="shared" si="78"/>
        <v>-0.34373620004415967</v>
      </c>
      <c r="AT66" s="743">
        <f t="shared" si="78"/>
        <v>-0.27735374122041329</v>
      </c>
      <c r="AU66" s="743">
        <f t="shared" si="78"/>
        <v>-0.2357523564858037</v>
      </c>
      <c r="AV66" s="743">
        <f t="shared" si="78"/>
        <v>-0.12942301775227083</v>
      </c>
      <c r="AW66" s="743">
        <f t="shared" si="78"/>
        <v>-9.5032048379005696E-2</v>
      </c>
      <c r="AX66" s="760">
        <f t="shared" si="78"/>
        <v>-0.7362772530676901</v>
      </c>
      <c r="AY66" s="743">
        <f t="shared" ref="AY66:BB66" si="79">AY64/AY79</f>
        <v>-0.13203316168008877</v>
      </c>
      <c r="AZ66" s="743">
        <f t="shared" si="79"/>
        <v>-0.11166648114196999</v>
      </c>
      <c r="BA66" s="743">
        <f t="shared" si="79"/>
        <v>-9.4310987231812707E-2</v>
      </c>
      <c r="BB66" s="743">
        <f t="shared" si="79"/>
        <v>-5.6625515108333559E-2</v>
      </c>
      <c r="BC66" s="760">
        <f>BC64/BC79</f>
        <v>-0.59090945806703221</v>
      </c>
      <c r="BD66" s="743"/>
      <c r="BE66" s="743"/>
      <c r="BF66" s="743"/>
      <c r="BG66" s="743"/>
      <c r="BH66" s="760">
        <f>BH64/BH79</f>
        <v>-9.5636375216301653E-2</v>
      </c>
      <c r="BI66" s="743"/>
      <c r="BJ66" s="743"/>
      <c r="BK66" s="743"/>
      <c r="BL66" s="743"/>
      <c r="BM66" s="760">
        <f>BM64/BM79</f>
        <v>0.63379279774865394</v>
      </c>
    </row>
    <row r="67" spans="1:79" ht="8.25" customHeight="1">
      <c r="B67" s="14"/>
      <c r="C67" s="14"/>
      <c r="D67" s="187"/>
      <c r="E67" s="187"/>
      <c r="F67" s="16"/>
      <c r="G67" s="16"/>
      <c r="H67" s="16"/>
      <c r="I67" s="16"/>
      <c r="J67" s="16"/>
      <c r="K67" s="16"/>
      <c r="L67" s="16"/>
      <c r="M67" s="16"/>
      <c r="N67" s="16"/>
      <c r="O67" s="16"/>
      <c r="P67" s="452"/>
      <c r="Q67" s="452"/>
      <c r="R67" s="452"/>
      <c r="S67" s="452"/>
      <c r="T67" s="16"/>
      <c r="U67" s="452"/>
      <c r="V67" s="452"/>
      <c r="W67" s="452"/>
      <c r="X67" s="452"/>
      <c r="Y67" s="16"/>
      <c r="Z67" s="452"/>
      <c r="AA67" s="452"/>
      <c r="AB67" s="452"/>
      <c r="AC67" s="452"/>
      <c r="AD67" s="16"/>
      <c r="AE67" s="478"/>
      <c r="AF67" s="478"/>
      <c r="AG67" s="478"/>
      <c r="AH67" s="478"/>
      <c r="AI67" s="254"/>
      <c r="AJ67" s="452"/>
      <c r="AK67" s="452"/>
      <c r="AL67" s="452"/>
      <c r="AM67" s="452"/>
      <c r="AN67" s="625"/>
      <c r="AO67" s="761"/>
      <c r="AP67" s="761"/>
      <c r="AQ67" s="761"/>
      <c r="AR67" s="761"/>
      <c r="AS67" s="625"/>
      <c r="AT67" s="761"/>
      <c r="AU67" s="761"/>
      <c r="AV67" s="761"/>
      <c r="AW67" s="761"/>
      <c r="AX67" s="625"/>
      <c r="AY67" s="761"/>
      <c r="AZ67" s="761"/>
      <c r="BA67" s="761"/>
      <c r="BB67" s="761"/>
      <c r="BC67" s="625"/>
      <c r="BD67" s="761"/>
      <c r="BE67" s="761"/>
      <c r="BF67" s="761"/>
      <c r="BG67" s="761"/>
      <c r="BH67" s="625"/>
      <c r="BI67" s="761"/>
      <c r="BJ67" s="761"/>
      <c r="BK67" s="761"/>
      <c r="BL67" s="761"/>
      <c r="BM67" s="625"/>
    </row>
    <row r="68" spans="1:79">
      <c r="B68" s="14" t="s">
        <v>27</v>
      </c>
      <c r="C68" s="14"/>
      <c r="D68" s="189"/>
      <c r="E68" s="189"/>
      <c r="F68" s="128">
        <f>0.729+0.289</f>
        <v>1.018</v>
      </c>
      <c r="G68" s="128">
        <f>0.558+0.352</f>
        <v>0.91</v>
      </c>
      <c r="H68" s="128">
        <f>0.622+0.636</f>
        <v>1.258</v>
      </c>
      <c r="I68" s="415">
        <f>J68-SUM(F68:H68)</f>
        <v>-3.1859999999999999</v>
      </c>
      <c r="J68" s="169">
        <v>0</v>
      </c>
      <c r="K68" s="128">
        <f>0.729+0.879</f>
        <v>1.6080000000000001</v>
      </c>
      <c r="L68" s="128">
        <f>1.04+0.65</f>
        <v>1.69</v>
      </c>
      <c r="M68" s="128">
        <f>1.093+0.79</f>
        <v>1.883</v>
      </c>
      <c r="N68" s="128">
        <v>2</v>
      </c>
      <c r="O68" s="97"/>
      <c r="P68" s="454">
        <f>1.338+1.36</f>
        <v>2.6980000000000004</v>
      </c>
      <c r="Q68" s="454">
        <f>1.465+1.486</f>
        <v>2.9510000000000001</v>
      </c>
      <c r="R68" s="454">
        <f>1.653+1.209</f>
        <v>2.8620000000000001</v>
      </c>
      <c r="S68" s="454">
        <f>1.615+1.606</f>
        <v>3.2210000000000001</v>
      </c>
      <c r="T68" s="97">
        <f>SUM(P68:S68)</f>
        <v>11.732000000000001</v>
      </c>
      <c r="U68" s="454">
        <f>1.951+1.77</f>
        <v>3.7210000000000001</v>
      </c>
      <c r="V68" s="454">
        <f>2.077+1.979</f>
        <v>4.056</v>
      </c>
      <c r="W68" s="454">
        <f>2.648+2.487</f>
        <v>5.1349999999999998</v>
      </c>
      <c r="X68" s="454">
        <f>2.404+2.257</f>
        <v>4.6609999999999996</v>
      </c>
      <c r="Y68" s="98">
        <f>SUM(U68:X68)</f>
        <v>17.573</v>
      </c>
      <c r="Z68" s="476">
        <f>2.224+3.051</f>
        <v>5.2750000000000004</v>
      </c>
      <c r="AA68" s="476">
        <f>2.701+2.116</f>
        <v>4.8170000000000002</v>
      </c>
      <c r="AB68" s="476">
        <f>2.349+2.85</f>
        <v>5.1989999999999998</v>
      </c>
      <c r="AC68" s="476">
        <f>1.904+2.634</f>
        <v>4.5380000000000003</v>
      </c>
      <c r="AD68" s="97">
        <f>SUM(Z68:AC68)</f>
        <v>19.829000000000001</v>
      </c>
      <c r="AE68" s="476">
        <f>2.69+3.384</f>
        <v>6.0739999999999998</v>
      </c>
      <c r="AF68" s="476">
        <f>2.271+3.741</f>
        <v>6.0120000000000005</v>
      </c>
      <c r="AG68" s="475">
        <f>2.151+3.385</f>
        <v>5.5359999999999996</v>
      </c>
      <c r="AH68" s="475">
        <f>2.37+6.192</f>
        <v>8.5620000000000012</v>
      </c>
      <c r="AI68" s="97">
        <f>SUM(AE68:AH68)</f>
        <v>26.184000000000001</v>
      </c>
      <c r="AJ68" s="739">
        <f>AJ82+AJ83</f>
        <v>5.4260000000000002</v>
      </c>
      <c r="AK68" s="739">
        <f>AK82+AK83</f>
        <v>6.9029999999999996</v>
      </c>
      <c r="AL68" s="739">
        <f>AL82+AL83</f>
        <v>6.6400000000000006</v>
      </c>
      <c r="AM68" s="739">
        <f>AM82+AM83</f>
        <v>6.5</v>
      </c>
      <c r="AN68" s="741">
        <f>SUM(AJ68:AM68)</f>
        <v>25.469000000000001</v>
      </c>
      <c r="AO68" s="739">
        <f>AO82+AO83</f>
        <v>6.8060000000000009</v>
      </c>
      <c r="AP68" s="739">
        <f>AP82+AP83</f>
        <v>7.8970000000000002</v>
      </c>
      <c r="AQ68" s="739">
        <f>AQ82+AQ83</f>
        <v>6.9329999999999998</v>
      </c>
      <c r="AR68" s="739">
        <f>AS68-AQ68-AP68-AO68</f>
        <v>7.5639999999999983</v>
      </c>
      <c r="AS68" s="741">
        <v>29.2</v>
      </c>
      <c r="AT68" s="739">
        <f>AT82+AT83</f>
        <v>7.2789999999999999</v>
      </c>
      <c r="AU68" s="739">
        <f>AU82+AU83</f>
        <v>7.2789999999999999</v>
      </c>
      <c r="AV68" s="739">
        <f>AV82+AV83</f>
        <v>7.2789999999999999</v>
      </c>
      <c r="AW68" s="739">
        <f>AW82+AW83</f>
        <v>7.2789999999999999</v>
      </c>
      <c r="AX68" s="741">
        <f>AW68+AV68+AU68+AT68</f>
        <v>29.116</v>
      </c>
      <c r="AY68" s="739">
        <f>AY82+AY83</f>
        <v>7.2789999999999999</v>
      </c>
      <c r="AZ68" s="739">
        <f>AZ82+AZ83</f>
        <v>7.2789999999999999</v>
      </c>
      <c r="BA68" s="739">
        <f>BA82+BA83</f>
        <v>7.2789999999999999</v>
      </c>
      <c r="BB68" s="739">
        <f>BB82+BB83</f>
        <v>7.2789999999999999</v>
      </c>
      <c r="BC68" s="741">
        <f>BB68+BA68+AZ68+AY68</f>
        <v>29.116</v>
      </c>
      <c r="BD68" s="739"/>
      <c r="BE68" s="739"/>
      <c r="BF68" s="739"/>
      <c r="BG68" s="739"/>
      <c r="BH68" s="741">
        <f>BC68</f>
        <v>29.116</v>
      </c>
      <c r="BI68" s="739"/>
      <c r="BJ68" s="739"/>
      <c r="BK68" s="739"/>
      <c r="BL68" s="739"/>
      <c r="BM68" s="741">
        <f>BH68</f>
        <v>29.116</v>
      </c>
    </row>
    <row r="69" spans="1:79">
      <c r="B69" s="14" t="s">
        <v>28</v>
      </c>
      <c r="C69" s="14"/>
      <c r="D69" s="19"/>
      <c r="E69" s="381">
        <f t="shared" ref="E69:AW69" si="80">E68/E50</f>
        <v>0</v>
      </c>
      <c r="F69" s="381">
        <f t="shared" si="80"/>
        <v>4.4682438660404687E-2</v>
      </c>
      <c r="G69" s="381">
        <f t="shared" si="80"/>
        <v>3.7485582468281431E-2</v>
      </c>
      <c r="H69" s="381">
        <f t="shared" si="80"/>
        <v>5.6447994256483891E-2</v>
      </c>
      <c r="I69" s="381">
        <f t="shared" si="80"/>
        <v>-0.12352667493796531</v>
      </c>
      <c r="J69" s="381">
        <f t="shared" si="80"/>
        <v>0</v>
      </c>
      <c r="K69" s="381">
        <f t="shared" si="80"/>
        <v>6.7928354173707337E-2</v>
      </c>
      <c r="L69" s="381">
        <f t="shared" si="80"/>
        <v>6.3562509402738068E-2</v>
      </c>
      <c r="M69" s="381">
        <f t="shared" si="80"/>
        <v>8.0673492995158733E-2</v>
      </c>
      <c r="N69" s="381">
        <f t="shared" si="80"/>
        <v>8.3889098611635446E-2</v>
      </c>
      <c r="O69" s="381">
        <f t="shared" si="80"/>
        <v>0</v>
      </c>
      <c r="P69" s="465">
        <f t="shared" si="80"/>
        <v>0.10344695372109967</v>
      </c>
      <c r="Q69" s="465">
        <f t="shared" si="80"/>
        <v>0.10824193962513297</v>
      </c>
      <c r="R69" s="465">
        <f t="shared" si="80"/>
        <v>9.2406044168926768E-2</v>
      </c>
      <c r="S69" s="465">
        <f t="shared" si="80"/>
        <v>8.9559293757820096E-2</v>
      </c>
      <c r="T69" s="381">
        <f t="shared" si="80"/>
        <v>9.7538264563813079E-2</v>
      </c>
      <c r="U69" s="465">
        <f t="shared" si="80"/>
        <v>8.4256051445780411E-2</v>
      </c>
      <c r="V69" s="465">
        <f t="shared" si="80"/>
        <v>7.8938149546533803E-2</v>
      </c>
      <c r="W69" s="465">
        <f t="shared" si="80"/>
        <v>0.11758644378291733</v>
      </c>
      <c r="X69" s="465">
        <f t="shared" si="80"/>
        <v>7.0387653090502725E-2</v>
      </c>
      <c r="Y69" s="381">
        <f t="shared" si="80"/>
        <v>8.5540854970452787E-2</v>
      </c>
      <c r="Z69" s="465">
        <f t="shared" si="80"/>
        <v>6.0762788983216805E-2</v>
      </c>
      <c r="AA69" s="465">
        <f t="shared" si="80"/>
        <v>7.4421407162500383E-2</v>
      </c>
      <c r="AB69" s="465">
        <f t="shared" si="80"/>
        <v>9.2370833629450644E-2</v>
      </c>
      <c r="AC69" s="465">
        <f t="shared" si="80"/>
        <v>9.6080963773792646E-2</v>
      </c>
      <c r="AD69" s="381">
        <f t="shared" si="80"/>
        <v>7.7744320810495038E-2</v>
      </c>
      <c r="AE69" s="465">
        <f t="shared" si="80"/>
        <v>0.11478135983975209</v>
      </c>
      <c r="AF69" s="465">
        <f t="shared" si="80"/>
        <v>0.10745884497828302</v>
      </c>
      <c r="AG69" s="465">
        <f t="shared" si="80"/>
        <v>0.11504332827663598</v>
      </c>
      <c r="AH69" s="465">
        <f t="shared" si="80"/>
        <v>0.13669455265342617</v>
      </c>
      <c r="AI69" s="381">
        <f t="shared" si="80"/>
        <v>0.11922302865833116</v>
      </c>
      <c r="AJ69" s="634">
        <f t="shared" si="80"/>
        <v>0.10521009055125745</v>
      </c>
      <c r="AK69" s="634">
        <f t="shared" si="80"/>
        <v>0.10983293556085919</v>
      </c>
      <c r="AL69" s="634">
        <f t="shared" si="80"/>
        <v>0.11231963732936381</v>
      </c>
      <c r="AM69" s="634">
        <f t="shared" si="80"/>
        <v>0.12349431926131398</v>
      </c>
      <c r="AN69" s="633">
        <f>AN68/AN50</f>
        <v>0.11260799207689656</v>
      </c>
      <c r="AO69" s="634">
        <f t="shared" si="80"/>
        <v>0.11120188222991964</v>
      </c>
      <c r="AP69" s="634">
        <f t="shared" si="80"/>
        <v>0.13009241717872264</v>
      </c>
      <c r="AQ69" s="634">
        <f t="shared" si="80"/>
        <v>9.1730616565228879E-2</v>
      </c>
      <c r="AR69" s="634">
        <f t="shared" si="80"/>
        <v>8.565960386396837E-2</v>
      </c>
      <c r="AS69" s="633">
        <f>AS68/AS50</f>
        <v>0.1021729241750936</v>
      </c>
      <c r="AT69" s="634">
        <f t="shared" si="80"/>
        <v>8.8168318030960063E-2</v>
      </c>
      <c r="AU69" s="634">
        <f t="shared" si="80"/>
        <v>7.9591055710458686E-2</v>
      </c>
      <c r="AV69" s="634">
        <f t="shared" si="80"/>
        <v>7.4549365014338384E-2</v>
      </c>
      <c r="AW69" s="634">
        <f t="shared" si="80"/>
        <v>7.285046588668595E-2</v>
      </c>
      <c r="AX69" s="633">
        <f>AX68/AX50</f>
        <v>7.8344423785319708E-2</v>
      </c>
      <c r="AY69" s="634">
        <f t="shared" ref="AY69:BB69" si="81">AY68/AY50</f>
        <v>7.8165770180520247E-2</v>
      </c>
      <c r="AZ69" s="634">
        <f t="shared" si="81"/>
        <v>7.6570550380917771E-2</v>
      </c>
      <c r="BA69" s="634">
        <f t="shared" si="81"/>
        <v>7.4296177597326166E-2</v>
      </c>
      <c r="BB69" s="634">
        <f t="shared" si="81"/>
        <v>7.1465847022189943E-2</v>
      </c>
      <c r="BC69" s="633">
        <f>BC68/BC50</f>
        <v>6.965369495421575E-2</v>
      </c>
      <c r="BD69" s="634"/>
      <c r="BE69" s="634"/>
      <c r="BF69" s="634"/>
      <c r="BG69" s="634"/>
      <c r="BH69" s="633">
        <f>BH68/BH50</f>
        <v>6.7658302634220693E-2</v>
      </c>
      <c r="BI69" s="634"/>
      <c r="BJ69" s="634"/>
      <c r="BK69" s="634"/>
      <c r="BL69" s="634"/>
      <c r="BM69" s="633">
        <f>BM68/BM50</f>
        <v>6.9325342018450836E-2</v>
      </c>
    </row>
    <row r="70" spans="1:79">
      <c r="B70" s="94" t="s">
        <v>29</v>
      </c>
      <c r="C70" s="94"/>
      <c r="D70" s="16"/>
      <c r="E70" s="16"/>
      <c r="F70" s="76"/>
      <c r="G70" s="76"/>
      <c r="H70" s="76"/>
      <c r="I70" s="76"/>
      <c r="J70" s="16"/>
      <c r="K70" s="76"/>
      <c r="L70" s="76"/>
      <c r="M70" s="76"/>
      <c r="N70" s="76"/>
      <c r="O70" s="76"/>
      <c r="P70" s="466">
        <v>0</v>
      </c>
      <c r="Q70" s="466">
        <v>0</v>
      </c>
      <c r="R70" s="466">
        <v>0</v>
      </c>
      <c r="S70" s="466">
        <v>0</v>
      </c>
      <c r="T70" s="97">
        <f>SUM(P70:S70)</f>
        <v>0</v>
      </c>
      <c r="U70" s="466">
        <v>0</v>
      </c>
      <c r="V70" s="466">
        <v>0</v>
      </c>
      <c r="W70" s="466">
        <v>0</v>
      </c>
      <c r="X70" s="466">
        <v>0</v>
      </c>
      <c r="Y70" s="97">
        <f>BS!I140</f>
        <v>0</v>
      </c>
      <c r="Z70" s="473"/>
      <c r="AA70" s="473"/>
      <c r="AB70" s="473"/>
      <c r="AC70" s="473"/>
      <c r="AD70" s="76">
        <f>BS!J140</f>
        <v>0</v>
      </c>
      <c r="AE70" s="487"/>
      <c r="AF70" s="487"/>
      <c r="AG70" s="487"/>
      <c r="AH70" s="487"/>
      <c r="AI70" s="501"/>
      <c r="AJ70" s="739"/>
      <c r="AK70" s="739">
        <f>$AN$70/4</f>
        <v>0</v>
      </c>
      <c r="AL70" s="739">
        <f>$AN$70/4</f>
        <v>0</v>
      </c>
      <c r="AM70" s="739">
        <f>$AN$70/4</f>
        <v>0</v>
      </c>
      <c r="AN70" s="741">
        <f>BS!L140</f>
        <v>0</v>
      </c>
      <c r="AO70" s="739">
        <f>AS70/4</f>
        <v>0</v>
      </c>
      <c r="AP70" s="739">
        <f>AS70/4</f>
        <v>0</v>
      </c>
      <c r="AQ70" s="739">
        <f>AS70/4</f>
        <v>0</v>
      </c>
      <c r="AR70" s="739">
        <v>0</v>
      </c>
      <c r="AS70" s="741">
        <f>BS!M140</f>
        <v>0</v>
      </c>
      <c r="AT70" s="739">
        <v>0</v>
      </c>
      <c r="AU70" s="739">
        <v>0</v>
      </c>
      <c r="AV70" s="739">
        <v>0</v>
      </c>
      <c r="AW70" s="739">
        <v>0</v>
      </c>
      <c r="AX70" s="741">
        <f>AW70+AV70+AU70+AT70</f>
        <v>0</v>
      </c>
      <c r="AY70" s="739">
        <v>0</v>
      </c>
      <c r="AZ70" s="739">
        <v>0</v>
      </c>
      <c r="BA70" s="739">
        <v>0</v>
      </c>
      <c r="BB70" s="739">
        <v>0</v>
      </c>
      <c r="BC70" s="741">
        <f>BS!O140</f>
        <v>0</v>
      </c>
      <c r="BD70" s="739"/>
      <c r="BE70" s="739"/>
      <c r="BF70" s="739"/>
      <c r="BG70" s="739"/>
      <c r="BH70" s="741">
        <f>BS!P140</f>
        <v>0</v>
      </c>
      <c r="BI70" s="739"/>
      <c r="BJ70" s="739"/>
      <c r="BK70" s="739"/>
      <c r="BL70" s="739"/>
      <c r="BM70" s="741">
        <f>BS!Q140</f>
        <v>0</v>
      </c>
    </row>
    <row r="71" spans="1:79">
      <c r="B71" s="94" t="s">
        <v>316</v>
      </c>
      <c r="C71" s="25"/>
      <c r="D71" s="171"/>
      <c r="E71" s="380">
        <f>SUM(E64,-E68,E70)</f>
        <v>-53.873999999999995</v>
      </c>
      <c r="F71" s="38">
        <f t="shared" ref="F71:AW71" si="82">F64-F68+F70</f>
        <v>-17.967000000000002</v>
      </c>
      <c r="G71" s="38">
        <f t="shared" si="82"/>
        <v>-18.385000000000002</v>
      </c>
      <c r="H71" s="38">
        <f t="shared" si="82"/>
        <v>-8.1780000000000026</v>
      </c>
      <c r="I71" s="38">
        <f t="shared" si="82"/>
        <v>-15.203999999999994</v>
      </c>
      <c r="J71" s="38">
        <f t="shared" si="82"/>
        <v>-71.185000000000002</v>
      </c>
      <c r="K71" s="38">
        <f t="shared" si="82"/>
        <v>-15.924000000000001</v>
      </c>
      <c r="L71" s="38">
        <f t="shared" si="82"/>
        <v>-17.136000000000003</v>
      </c>
      <c r="M71" s="38">
        <f t="shared" si="82"/>
        <v>-16.058</v>
      </c>
      <c r="N71" s="38">
        <f t="shared" si="82"/>
        <v>-7.8499999999999952</v>
      </c>
      <c r="O71" s="38">
        <f t="shared" si="82"/>
        <v>-52.980999999999987</v>
      </c>
      <c r="P71" s="467">
        <f t="shared" si="82"/>
        <v>-18.401</v>
      </c>
      <c r="Q71" s="467">
        <f t="shared" si="82"/>
        <v>-18.843999999999998</v>
      </c>
      <c r="R71" s="467">
        <f t="shared" si="82"/>
        <v>-20.633000000000003</v>
      </c>
      <c r="S71" s="467">
        <f t="shared" si="82"/>
        <v>-6.9740000000000002</v>
      </c>
      <c r="T71" s="38">
        <f t="shared" si="82"/>
        <v>-64.852000000000004</v>
      </c>
      <c r="U71" s="467">
        <f t="shared" si="82"/>
        <v>-35.600999999999999</v>
      </c>
      <c r="V71" s="467">
        <f t="shared" si="82"/>
        <v>-40.803000000000004</v>
      </c>
      <c r="W71" s="467">
        <f t="shared" si="82"/>
        <v>47.634999999999998</v>
      </c>
      <c r="X71" s="467">
        <f t="shared" si="82"/>
        <v>-43.85499999999999</v>
      </c>
      <c r="Y71" s="38">
        <f t="shared" si="82"/>
        <v>-72.624000000000052</v>
      </c>
      <c r="Z71" s="467">
        <f t="shared" si="82"/>
        <v>-93.902000000000015</v>
      </c>
      <c r="AA71" s="467">
        <f t="shared" si="82"/>
        <v>-65.149000000000001</v>
      </c>
      <c r="AB71" s="467">
        <f t="shared" si="82"/>
        <v>-61.774999999999991</v>
      </c>
      <c r="AC71" s="467">
        <f t="shared" si="82"/>
        <v>-51.98599999999999</v>
      </c>
      <c r="AD71" s="38">
        <f t="shared" si="82"/>
        <v>-272.81200000000001</v>
      </c>
      <c r="AE71" s="488">
        <f t="shared" si="82"/>
        <v>-49.625999999999983</v>
      </c>
      <c r="AF71" s="488">
        <f t="shared" si="82"/>
        <v>-60.356999999999999</v>
      </c>
      <c r="AG71" s="488">
        <f t="shared" si="82"/>
        <v>-41.988</v>
      </c>
      <c r="AH71" s="488">
        <f>AH64-AH68+AH70</f>
        <v>-37.647000000000006</v>
      </c>
      <c r="AI71" s="38">
        <f>AI64-AI68+AI70</f>
        <v>-189.61799999999997</v>
      </c>
      <c r="AJ71" s="739">
        <f>AJ64-AJ68+AJ70</f>
        <v>-29.427</v>
      </c>
      <c r="AK71" s="739">
        <f t="shared" si="82"/>
        <v>-44.342999999999996</v>
      </c>
      <c r="AL71" s="739">
        <f t="shared" si="82"/>
        <v>-31.227999999999994</v>
      </c>
      <c r="AM71" s="739">
        <f t="shared" si="82"/>
        <v>-15.657</v>
      </c>
      <c r="AN71" s="741">
        <f>AN64-AN68+AN70</f>
        <v>-120.65499999999997</v>
      </c>
      <c r="AO71" s="739">
        <f t="shared" si="82"/>
        <v>7.7410000000000032</v>
      </c>
      <c r="AP71" s="739">
        <f t="shared" si="82"/>
        <v>-17.765000000000015</v>
      </c>
      <c r="AQ71" s="739">
        <f t="shared" si="82"/>
        <v>-19.742500000000014</v>
      </c>
      <c r="AR71" s="739">
        <f t="shared" si="82"/>
        <v>-17.715999999999994</v>
      </c>
      <c r="AS71" s="741">
        <f>AS64-AS68+AS70</f>
        <v>-79.016999999999967</v>
      </c>
      <c r="AT71" s="739">
        <f>AT64-AT68+AT70</f>
        <v>-48.268000000000001</v>
      </c>
      <c r="AU71" s="739">
        <f t="shared" si="82"/>
        <v>-42.207000000000008</v>
      </c>
      <c r="AV71" s="987">
        <f t="shared" si="82"/>
        <v>-26.627999999999997</v>
      </c>
      <c r="AW71" s="739">
        <f t="shared" si="82"/>
        <v>-21.522000000000006</v>
      </c>
      <c r="AX71" s="741">
        <f>AX64-AX68+AX70</f>
        <v>-138.69599999999997</v>
      </c>
      <c r="AY71" s="739">
        <f t="shared" ref="AY71:BB71" si="83">AY64-AY68+AY70</f>
        <v>-27.117041216319972</v>
      </c>
      <c r="AZ71" s="739">
        <f t="shared" si="83"/>
        <v>-24.0988832608063</v>
      </c>
      <c r="BA71" s="739">
        <f t="shared" si="83"/>
        <v>-21.520207645088103</v>
      </c>
      <c r="BB71" s="739">
        <f t="shared" si="83"/>
        <v>-15.850978532866247</v>
      </c>
      <c r="BC71" s="741">
        <f>BC64-BC68+BC70</f>
        <v>-118.23390544921919</v>
      </c>
      <c r="BD71" s="739"/>
      <c r="BE71" s="739"/>
      <c r="BF71" s="739"/>
      <c r="BG71" s="739"/>
      <c r="BH71" s="741">
        <f>BH64-BH68+BH70</f>
        <v>-43.755733765628051</v>
      </c>
      <c r="BI71" s="739"/>
      <c r="BJ71" s="739"/>
      <c r="BK71" s="739"/>
      <c r="BL71" s="739"/>
      <c r="BM71" s="741">
        <f>BM64-BM68+BM70</f>
        <v>69.358415907512736</v>
      </c>
    </row>
    <row r="72" spans="1:79">
      <c r="B72" s="78" t="s">
        <v>319</v>
      </c>
      <c r="C72" s="170"/>
      <c r="D72" s="173"/>
      <c r="E72" s="180"/>
      <c r="F72" s="173"/>
      <c r="G72" s="173"/>
      <c r="H72" s="173"/>
      <c r="I72" s="173"/>
      <c r="J72" s="180">
        <f>J71/J79</f>
        <v>-10.002425256162413</v>
      </c>
      <c r="K72" s="173">
        <f t="shared" ref="K72:AW72" si="84">K71/K79</f>
        <v>-0.24897602278346379</v>
      </c>
      <c r="L72" s="173">
        <f t="shared" si="84"/>
        <v>-0.17549765557622399</v>
      </c>
      <c r="M72" s="173">
        <f t="shared" si="84"/>
        <v>-0.16398153958773032</v>
      </c>
      <c r="N72" s="173">
        <f t="shared" si="84"/>
        <v>-7.9601885921796997E-2</v>
      </c>
      <c r="O72" s="173">
        <f t="shared" si="84"/>
        <v>-0.59095384307051757</v>
      </c>
      <c r="P72" s="468">
        <f t="shared" si="84"/>
        <v>-0.185727633297326</v>
      </c>
      <c r="Q72" s="468">
        <f t="shared" si="84"/>
        <v>-0.18905448568536798</v>
      </c>
      <c r="R72" s="468">
        <f t="shared" si="84"/>
        <v>-0.20597140378600859</v>
      </c>
      <c r="S72" s="468">
        <f t="shared" si="84"/>
        <v>-6.9465749222071257E-2</v>
      </c>
      <c r="T72" s="173">
        <f t="shared" si="84"/>
        <v>-0.64933302988672115</v>
      </c>
      <c r="U72" s="468">
        <f t="shared" si="84"/>
        <v>-0.34313866287245642</v>
      </c>
      <c r="V72" s="468">
        <f t="shared" si="84"/>
        <v>-0.38105813370888464</v>
      </c>
      <c r="W72" s="468">
        <f>W71/W79</f>
        <v>0.41661810057882492</v>
      </c>
      <c r="X72" s="468">
        <f>X71/X79</f>
        <v>-0.40797995583453006</v>
      </c>
      <c r="Y72" s="173">
        <f t="shared" si="84"/>
        <v>-0.68253946220262507</v>
      </c>
      <c r="Z72" s="468">
        <f t="shared" si="84"/>
        <v>-0.86887853755922317</v>
      </c>
      <c r="AA72" s="468">
        <f t="shared" si="84"/>
        <v>-0.57429655459707829</v>
      </c>
      <c r="AB72" s="468">
        <f t="shared" si="84"/>
        <v>-0.51151416946415162</v>
      </c>
      <c r="AC72" s="468">
        <f t="shared" si="84"/>
        <v>-0.4298876489547348</v>
      </c>
      <c r="AD72" s="173">
        <f t="shared" si="84"/>
        <v>-2.3558274257708565</v>
      </c>
      <c r="AE72" s="468">
        <f t="shared" si="84"/>
        <v>-0.3824887278893212</v>
      </c>
      <c r="AF72" s="468">
        <f t="shared" si="84"/>
        <v>-0.4363734952825073</v>
      </c>
      <c r="AG72" s="468">
        <f t="shared" si="84"/>
        <v>-0.30156427309421546</v>
      </c>
      <c r="AH72" s="468">
        <f>AH71/AH79</f>
        <v>-0.26926295461860322</v>
      </c>
      <c r="AI72" s="173">
        <f>AI71/AI79</f>
        <v>-1.3859850450621658</v>
      </c>
      <c r="AJ72" s="636">
        <f>AJ71/AJ79</f>
        <v>-0.2082914537295262</v>
      </c>
      <c r="AK72" s="636">
        <f t="shared" si="84"/>
        <v>-0.31205928303002151</v>
      </c>
      <c r="AL72" s="636">
        <f t="shared" si="84"/>
        <v>-0.21918538951239877</v>
      </c>
      <c r="AM72" s="636">
        <f t="shared" si="84"/>
        <v>-0.10968049260600626</v>
      </c>
      <c r="AN72" s="635">
        <f>AN71/AN79</f>
        <v>-0.84875663888009545</v>
      </c>
      <c r="AO72" s="636">
        <f t="shared" si="84"/>
        <v>5.3909313128077299E-2</v>
      </c>
      <c r="AP72" s="636">
        <f t="shared" si="84"/>
        <v>-0.12282048091149193</v>
      </c>
      <c r="AQ72" s="636">
        <f>AQ71/AQ79</f>
        <v>-0.13598636175781798</v>
      </c>
      <c r="AR72" s="636">
        <f t="shared" si="84"/>
        <v>-0.12111516742551645</v>
      </c>
      <c r="AS72" s="635">
        <f>AS71/AS79</f>
        <v>-0.54521555531022281</v>
      </c>
      <c r="AT72" s="636">
        <f t="shared" si="84"/>
        <v>-0.32660739176917974</v>
      </c>
      <c r="AU72" s="636">
        <f t="shared" si="84"/>
        <v>-0.28488317997584506</v>
      </c>
      <c r="AV72" s="636">
        <f t="shared" si="84"/>
        <v>-0.1781113296143195</v>
      </c>
      <c r="AW72" s="636">
        <f t="shared" si="84"/>
        <v>-0.14359894300449066</v>
      </c>
      <c r="AX72" s="635">
        <f>AX71/AX79</f>
        <v>-0.93191011034382509</v>
      </c>
      <c r="AY72" s="636">
        <f t="shared" ref="AY72:BB72" si="85">AY71/AY79</f>
        <v>-0.1804789418551361</v>
      </c>
      <c r="AZ72" s="636">
        <f t="shared" si="85"/>
        <v>-0.1599914488976282</v>
      </c>
      <c r="BA72" s="636">
        <f t="shared" si="85"/>
        <v>-0.14251544384593559</v>
      </c>
      <c r="BB72" s="636">
        <f t="shared" si="85"/>
        <v>-0.10470976110745864</v>
      </c>
      <c r="BC72" s="635">
        <f>BC71/BC79</f>
        <v>-0.78396740410329036</v>
      </c>
      <c r="BD72" s="636"/>
      <c r="BE72" s="636"/>
      <c r="BF72" s="636"/>
      <c r="BG72" s="636"/>
      <c r="BH72" s="635">
        <f>BH71/BH79</f>
        <v>-0.28584124815842787</v>
      </c>
      <c r="BI72" s="636"/>
      <c r="BJ72" s="636"/>
      <c r="BK72" s="636"/>
      <c r="BL72" s="636"/>
      <c r="BM72" s="637">
        <f>BM71/BM79</f>
        <v>0.44639883425887439</v>
      </c>
      <c r="BN72" s="408"/>
    </row>
    <row r="73" spans="1:79">
      <c r="B73" s="14" t="s">
        <v>348</v>
      </c>
      <c r="C73" s="14"/>
      <c r="D73" s="128"/>
      <c r="E73" s="128"/>
      <c r="F73" s="14"/>
      <c r="G73" s="14"/>
      <c r="H73" s="128">
        <f>-3.243+0.519</f>
        <v>-2.7239999999999998</v>
      </c>
      <c r="I73" s="416">
        <f>J73-H73</f>
        <v>2.7239999999999998</v>
      </c>
      <c r="J73" s="169">
        <v>0</v>
      </c>
      <c r="K73" s="14"/>
      <c r="L73" s="14"/>
      <c r="M73" s="128">
        <f>9.311-1.523</f>
        <v>7.7880000000000003</v>
      </c>
      <c r="N73" s="128">
        <f>-1.121+4.551+2.944-SUM(K73:M73)</f>
        <v>-1.4139999999999997</v>
      </c>
      <c r="O73" s="97"/>
      <c r="P73" s="469"/>
      <c r="Q73" s="469"/>
      <c r="R73" s="469"/>
      <c r="S73" s="469"/>
      <c r="T73" s="97">
        <v>0</v>
      </c>
      <c r="U73" s="469"/>
      <c r="V73" s="469"/>
      <c r="W73" s="469"/>
      <c r="X73" s="469"/>
      <c r="Y73" s="97"/>
      <c r="Z73" s="469"/>
      <c r="AA73" s="469"/>
      <c r="AB73" s="469"/>
      <c r="AC73" s="469"/>
      <c r="AD73" s="14"/>
      <c r="AE73" s="489"/>
      <c r="AF73" s="489"/>
      <c r="AG73" s="489"/>
      <c r="AH73" s="489"/>
      <c r="AI73" s="169"/>
      <c r="AJ73" s="469"/>
      <c r="AK73" s="739">
        <v>-0.20799999999999999</v>
      </c>
      <c r="AL73" s="739">
        <f>-11.34</f>
        <v>-11.34</v>
      </c>
      <c r="AM73" s="739">
        <v>1.62</v>
      </c>
      <c r="AN73" s="741">
        <f>SUM(AJ73:AM73)</f>
        <v>-9.9280000000000008</v>
      </c>
      <c r="AO73" s="739">
        <v>-1.643</v>
      </c>
      <c r="AP73" s="739">
        <f>3.145-1.065</f>
        <v>2.08</v>
      </c>
      <c r="AQ73" s="739">
        <f>-3.213-8.667+4.541</f>
        <v>-7.3389999999999986</v>
      </c>
      <c r="AR73" s="739">
        <f>2.103+3.297-1.164</f>
        <v>4.2360000000000007</v>
      </c>
      <c r="AS73" s="741">
        <f>SUM(AO73:AR73)</f>
        <v>-2.6659999999999977</v>
      </c>
      <c r="AT73" s="739">
        <f>-2.199-0.42-1.614</f>
        <v>-4.2329999999999997</v>
      </c>
      <c r="AU73" s="739">
        <f>5.337-0.421-6.933</f>
        <v>-2.0170000000000003</v>
      </c>
      <c r="AV73" s="739">
        <f>-1.897+0.628-4.329-0.071</f>
        <v>-5.6689999999999996</v>
      </c>
      <c r="AW73" s="739">
        <f>-2.093-3.476+39.229</f>
        <v>33.659999999999997</v>
      </c>
      <c r="AX73" s="741">
        <f>AW73+AV73+AU73+AT73</f>
        <v>21.740999999999996</v>
      </c>
      <c r="AY73" s="739"/>
      <c r="AZ73" s="739"/>
      <c r="BA73" s="739"/>
      <c r="BB73" s="739"/>
      <c r="BC73" s="741"/>
      <c r="BD73" s="739"/>
      <c r="BE73" s="739"/>
      <c r="BF73" s="739"/>
      <c r="BG73" s="739"/>
      <c r="BH73" s="741"/>
      <c r="BI73" s="739"/>
      <c r="BJ73" s="739"/>
      <c r="BK73" s="739"/>
      <c r="BL73" s="739"/>
      <c r="BM73" s="741"/>
    </row>
    <row r="74" spans="1:79">
      <c r="B74" s="14" t="s">
        <v>32</v>
      </c>
      <c r="C74" s="14"/>
      <c r="D74" s="129"/>
      <c r="E74" s="378">
        <f t="shared" ref="E74:AR74" si="86">SUM(E71,E73)</f>
        <v>-53.873999999999995</v>
      </c>
      <c r="F74" s="378">
        <f t="shared" si="86"/>
        <v>-17.967000000000002</v>
      </c>
      <c r="G74" s="378">
        <f t="shared" si="86"/>
        <v>-18.385000000000002</v>
      </c>
      <c r="H74" s="378">
        <f t="shared" si="86"/>
        <v>-10.902000000000003</v>
      </c>
      <c r="I74" s="378">
        <f t="shared" si="86"/>
        <v>-12.479999999999993</v>
      </c>
      <c r="J74" s="379">
        <f t="shared" si="86"/>
        <v>-71.185000000000002</v>
      </c>
      <c r="K74" s="378">
        <f t="shared" si="86"/>
        <v>-15.924000000000001</v>
      </c>
      <c r="L74" s="378">
        <f t="shared" si="86"/>
        <v>-17.136000000000003</v>
      </c>
      <c r="M74" s="378">
        <f t="shared" si="86"/>
        <v>-8.27</v>
      </c>
      <c r="N74" s="378">
        <f t="shared" si="86"/>
        <v>-9.2639999999999958</v>
      </c>
      <c r="O74" s="379">
        <f t="shared" si="86"/>
        <v>-52.980999999999987</v>
      </c>
      <c r="P74" s="470">
        <f t="shared" si="86"/>
        <v>-18.401</v>
      </c>
      <c r="Q74" s="470">
        <f t="shared" si="86"/>
        <v>-18.843999999999998</v>
      </c>
      <c r="R74" s="470">
        <f t="shared" si="86"/>
        <v>-20.633000000000003</v>
      </c>
      <c r="S74" s="470">
        <f t="shared" si="86"/>
        <v>-6.9740000000000002</v>
      </c>
      <c r="T74" s="379">
        <f t="shared" si="86"/>
        <v>-64.852000000000004</v>
      </c>
      <c r="U74" s="470">
        <f t="shared" si="86"/>
        <v>-35.600999999999999</v>
      </c>
      <c r="V74" s="470">
        <f t="shared" si="86"/>
        <v>-40.803000000000004</v>
      </c>
      <c r="W74" s="470">
        <f t="shared" si="86"/>
        <v>47.634999999999998</v>
      </c>
      <c r="X74" s="470">
        <f t="shared" si="86"/>
        <v>-43.85499999999999</v>
      </c>
      <c r="Y74" s="379">
        <f t="shared" si="86"/>
        <v>-72.624000000000052</v>
      </c>
      <c r="Z74" s="470">
        <f t="shared" si="86"/>
        <v>-93.902000000000015</v>
      </c>
      <c r="AA74" s="470">
        <f t="shared" si="86"/>
        <v>-65.149000000000001</v>
      </c>
      <c r="AB74" s="470">
        <f t="shared" si="86"/>
        <v>-61.774999999999991</v>
      </c>
      <c r="AC74" s="470">
        <f t="shared" si="86"/>
        <v>-51.98599999999999</v>
      </c>
      <c r="AD74" s="379">
        <f t="shared" si="86"/>
        <v>-272.81200000000001</v>
      </c>
      <c r="AE74" s="490">
        <f>SUM(AE71,AE73)</f>
        <v>-49.625999999999983</v>
      </c>
      <c r="AF74" s="490">
        <f t="shared" si="86"/>
        <v>-60.356999999999999</v>
      </c>
      <c r="AG74" s="490">
        <f t="shared" si="86"/>
        <v>-41.988</v>
      </c>
      <c r="AH74" s="490">
        <f>SUM(AH71,AH73)</f>
        <v>-37.647000000000006</v>
      </c>
      <c r="AI74" s="379">
        <f>SUM(AI71,AI73)</f>
        <v>-189.61799999999997</v>
      </c>
      <c r="AJ74" s="739">
        <f>SUM(AJ71,AJ73)</f>
        <v>-29.427</v>
      </c>
      <c r="AK74" s="739">
        <f t="shared" si="86"/>
        <v>-44.550999999999995</v>
      </c>
      <c r="AL74" s="739">
        <f t="shared" si="86"/>
        <v>-42.567999999999998</v>
      </c>
      <c r="AM74" s="739">
        <f t="shared" si="86"/>
        <v>-14.036999999999999</v>
      </c>
      <c r="AN74" s="741">
        <f>SUM(AN71,AN73)</f>
        <v>-130.58299999999997</v>
      </c>
      <c r="AO74" s="739">
        <f t="shared" si="86"/>
        <v>6.0980000000000034</v>
      </c>
      <c r="AP74" s="739">
        <f t="shared" si="86"/>
        <v>-15.685000000000015</v>
      </c>
      <c r="AQ74" s="739">
        <f t="shared" si="86"/>
        <v>-27.081500000000013</v>
      </c>
      <c r="AR74" s="739">
        <f t="shared" si="86"/>
        <v>-13.479999999999993</v>
      </c>
      <c r="AS74" s="741">
        <f>SUM(AS71,AS73)</f>
        <v>-81.682999999999964</v>
      </c>
      <c r="AT74" s="739">
        <f t="shared" ref="AT74:AV74" si="87">SUM(AT71,AT73)</f>
        <v>-52.500999999999998</v>
      </c>
      <c r="AU74" s="739">
        <f t="shared" si="87"/>
        <v>-44.224000000000011</v>
      </c>
      <c r="AV74" s="739">
        <f t="shared" si="87"/>
        <v>-32.296999999999997</v>
      </c>
      <c r="AW74" s="739">
        <f>SUM(AW71,AW73)</f>
        <v>12.137999999999991</v>
      </c>
      <c r="AX74" s="741">
        <f>SUM(AX71,AX73)</f>
        <v>-116.95499999999997</v>
      </c>
      <c r="AY74" s="739">
        <f t="shared" ref="AY74:BB74" si="88">SUM(AY71,AY73)</f>
        <v>-27.117041216319972</v>
      </c>
      <c r="AZ74" s="739">
        <f t="shared" si="88"/>
        <v>-24.0988832608063</v>
      </c>
      <c r="BA74" s="739">
        <f t="shared" si="88"/>
        <v>-21.520207645088103</v>
      </c>
      <c r="BB74" s="739">
        <f t="shared" si="88"/>
        <v>-15.850978532866247</v>
      </c>
      <c r="BC74" s="741">
        <f>SUM(BC71,BC73)</f>
        <v>-118.23390544921919</v>
      </c>
      <c r="BD74" s="739"/>
      <c r="BE74" s="739"/>
      <c r="BF74" s="739"/>
      <c r="BG74" s="739"/>
      <c r="BH74" s="741">
        <f>SUM(BH71,BH73)</f>
        <v>-43.755733765628051</v>
      </c>
      <c r="BI74" s="739"/>
      <c r="BJ74" s="739"/>
      <c r="BK74" s="739"/>
      <c r="BL74" s="739"/>
      <c r="BM74" s="741">
        <f>SUM(BM71,BM73)</f>
        <v>69.358415907512736</v>
      </c>
    </row>
    <row r="75" spans="1:79">
      <c r="A75" s="15"/>
      <c r="B75" s="78" t="s">
        <v>33</v>
      </c>
      <c r="C75" s="170"/>
      <c r="D75" s="173"/>
      <c r="E75" s="173">
        <f t="shared" ref="E75:AR75" si="89">E74/E79</f>
        <v>-7.8193658844639842</v>
      </c>
      <c r="F75" s="173">
        <f t="shared" si="89"/>
        <v>-2.5639905951335127</v>
      </c>
      <c r="G75" s="173">
        <f t="shared" si="89"/>
        <v>-2.6130382435948585</v>
      </c>
      <c r="H75" s="173">
        <f>H74/H79</f>
        <v>-1.5315357713063926</v>
      </c>
      <c r="I75" s="173">
        <f t="shared" si="89"/>
        <v>-1.7021519544738173</v>
      </c>
      <c r="J75" s="180">
        <f t="shared" si="89"/>
        <v>-10.002425256162413</v>
      </c>
      <c r="K75" s="173">
        <f t="shared" si="89"/>
        <v>-0.24897602278346379</v>
      </c>
      <c r="L75" s="173">
        <f t="shared" si="89"/>
        <v>-0.17549765557622399</v>
      </c>
      <c r="M75" s="173">
        <f>M74/M79</f>
        <v>-8.4451820425366142E-2</v>
      </c>
      <c r="N75" s="173">
        <f t="shared" si="89"/>
        <v>-9.3940365755353819E-2</v>
      </c>
      <c r="O75" s="173">
        <f t="shared" si="89"/>
        <v>-0.59095384307051757</v>
      </c>
      <c r="P75" s="468">
        <f t="shared" si="89"/>
        <v>-0.185727633297326</v>
      </c>
      <c r="Q75" s="468">
        <f t="shared" si="89"/>
        <v>-0.18905448568536798</v>
      </c>
      <c r="R75" s="468">
        <f t="shared" si="89"/>
        <v>-0.20597140378600859</v>
      </c>
      <c r="S75" s="468">
        <f t="shared" si="89"/>
        <v>-6.9465749222071257E-2</v>
      </c>
      <c r="T75" s="173">
        <f t="shared" si="89"/>
        <v>-0.64933302988672115</v>
      </c>
      <c r="U75" s="468">
        <f t="shared" si="89"/>
        <v>-0.34313866287245642</v>
      </c>
      <c r="V75" s="468">
        <f>V74/V79</f>
        <v>-0.38105813370888464</v>
      </c>
      <c r="W75" s="468">
        <f>W74/W78</f>
        <v>0.44407952680765045</v>
      </c>
      <c r="X75" s="468">
        <f>X74/X79</f>
        <v>-0.40797995583453006</v>
      </c>
      <c r="Y75" s="173">
        <f t="shared" si="89"/>
        <v>-0.68253946220262507</v>
      </c>
      <c r="Z75" s="468">
        <f t="shared" si="89"/>
        <v>-0.86887853755922317</v>
      </c>
      <c r="AA75" s="468">
        <f t="shared" si="89"/>
        <v>-0.57429655459707829</v>
      </c>
      <c r="AB75" s="468">
        <f t="shared" si="89"/>
        <v>-0.51151416946415162</v>
      </c>
      <c r="AC75" s="468">
        <f t="shared" si="89"/>
        <v>-0.4298876489547348</v>
      </c>
      <c r="AD75" s="173">
        <f t="shared" si="89"/>
        <v>-2.3558274257708565</v>
      </c>
      <c r="AE75" s="468">
        <f t="shared" si="89"/>
        <v>-0.3824887278893212</v>
      </c>
      <c r="AF75" s="468">
        <f t="shared" si="89"/>
        <v>-0.4363734952825073</v>
      </c>
      <c r="AG75" s="468">
        <f t="shared" si="89"/>
        <v>-0.30156427309421546</v>
      </c>
      <c r="AH75" s="468">
        <f>AH74/AH79</f>
        <v>-0.26926295461860322</v>
      </c>
      <c r="AI75" s="173">
        <f>AI74/AI79</f>
        <v>-1.3859850450621658</v>
      </c>
      <c r="AJ75" s="636">
        <f>AJ74/AJ79</f>
        <v>-0.2082914537295262</v>
      </c>
      <c r="AK75" s="636">
        <f t="shared" si="89"/>
        <v>-0.31352306154907172</v>
      </c>
      <c r="AL75" s="636">
        <f t="shared" si="89"/>
        <v>-0.29877941785461098</v>
      </c>
      <c r="AM75" s="636">
        <f t="shared" si="89"/>
        <v>-9.8332060721115777E-2</v>
      </c>
      <c r="AN75" s="635">
        <f>AN74/AN79</f>
        <v>-0.91859589884281223</v>
      </c>
      <c r="AO75" s="636">
        <f t="shared" si="89"/>
        <v>4.2467251189124845E-2</v>
      </c>
      <c r="AP75" s="636">
        <f t="shared" si="89"/>
        <v>-0.10844014878112869</v>
      </c>
      <c r="AQ75" s="636">
        <f t="shared" si="89"/>
        <v>-0.18653740184598439</v>
      </c>
      <c r="AR75" s="636">
        <f t="shared" si="89"/>
        <v>-9.215581716504638E-2</v>
      </c>
      <c r="AS75" s="635">
        <f>AS74/AS79</f>
        <v>-0.56361089644513118</v>
      </c>
      <c r="AT75" s="636">
        <f t="shared" ref="AT75:AW75" si="90">AT74/AT79</f>
        <v>-0.35525015901370899</v>
      </c>
      <c r="AU75" s="636">
        <f t="shared" si="90"/>
        <v>-0.2984972575935691</v>
      </c>
      <c r="AV75" s="636">
        <f t="shared" si="90"/>
        <v>-0.21603055477518693</v>
      </c>
      <c r="AW75" s="636">
        <f t="shared" si="90"/>
        <v>8.0987081599688968E-2</v>
      </c>
      <c r="AX75" s="635">
        <f>AX74/AX79</f>
        <v>-0.7858304994755585</v>
      </c>
      <c r="AY75" s="636">
        <f t="shared" ref="AY75:BB75" si="91">AY74/AY79</f>
        <v>-0.1804789418551361</v>
      </c>
      <c r="AZ75" s="636">
        <f t="shared" si="91"/>
        <v>-0.1599914488976282</v>
      </c>
      <c r="BA75" s="636">
        <f t="shared" si="91"/>
        <v>-0.14251544384593559</v>
      </c>
      <c r="BB75" s="636">
        <f t="shared" si="91"/>
        <v>-0.10470976110745864</v>
      </c>
      <c r="BC75" s="635">
        <f>BC74/BC79</f>
        <v>-0.78396740410329036</v>
      </c>
      <c r="BD75" s="636"/>
      <c r="BE75" s="636"/>
      <c r="BF75" s="636"/>
      <c r="BG75" s="636"/>
      <c r="BH75" s="635">
        <f>BH74/BH79</f>
        <v>-0.28584124815842787</v>
      </c>
      <c r="BI75" s="636"/>
      <c r="BJ75" s="636"/>
      <c r="BK75" s="636"/>
      <c r="BL75" s="636"/>
      <c r="BM75" s="637">
        <f>BM74/BM79</f>
        <v>0.44639883425887439</v>
      </c>
      <c r="BN75" s="25"/>
      <c r="BO75" s="25"/>
      <c r="BP75" s="25"/>
      <c r="BQ75" s="25"/>
      <c r="BR75" s="25"/>
    </row>
    <row r="76" spans="1:79" hidden="1" outlineLevel="1">
      <c r="B76" s="12" t="s">
        <v>186</v>
      </c>
      <c r="C76" s="12"/>
      <c r="D76" s="129"/>
      <c r="E76" s="129">
        <f>E74-E63</f>
        <v>-55.030999999999992</v>
      </c>
      <c r="F76" s="129">
        <f t="shared" ref="F76:X76" si="92">F74-F63</f>
        <v>-18.399000000000001</v>
      </c>
      <c r="G76" s="129">
        <f t="shared" si="92"/>
        <v>-18.917000000000002</v>
      </c>
      <c r="H76" s="129">
        <f t="shared" si="92"/>
        <v>-10.902000000000003</v>
      </c>
      <c r="I76" s="129">
        <f t="shared" si="92"/>
        <v>-12.479999999999993</v>
      </c>
      <c r="J76" s="130">
        <f>J74-J63</f>
        <v>-73.311999999999998</v>
      </c>
      <c r="K76" s="129">
        <f t="shared" si="92"/>
        <v>-16.253</v>
      </c>
      <c r="L76" s="129">
        <f t="shared" si="92"/>
        <v>-17.209000000000003</v>
      </c>
      <c r="M76" s="129">
        <f t="shared" si="92"/>
        <v>-8.27</v>
      </c>
      <c r="N76" s="129">
        <f t="shared" si="92"/>
        <v>-9.2639999999999958</v>
      </c>
      <c r="O76" s="130">
        <f>O74-O63</f>
        <v>-51.859999999999985</v>
      </c>
      <c r="P76" s="471">
        <f t="shared" si="92"/>
        <v>-18.401</v>
      </c>
      <c r="Q76" s="471">
        <f t="shared" si="92"/>
        <v>-18.843999999999998</v>
      </c>
      <c r="R76" s="471">
        <f t="shared" si="92"/>
        <v>-20.633000000000003</v>
      </c>
      <c r="S76" s="471">
        <f t="shared" si="92"/>
        <v>-6.9740000000000002</v>
      </c>
      <c r="T76" s="130">
        <f>T74-T63</f>
        <v>-64.852000000000004</v>
      </c>
      <c r="U76" s="471">
        <f t="shared" si="92"/>
        <v>-35.600999999999999</v>
      </c>
      <c r="V76" s="471">
        <f t="shared" si="92"/>
        <v>-40.803000000000004</v>
      </c>
      <c r="W76" s="471">
        <f t="shared" si="92"/>
        <v>47.634999999999998</v>
      </c>
      <c r="X76" s="471">
        <f t="shared" si="92"/>
        <v>-43.85499999999999</v>
      </c>
      <c r="Y76" s="130">
        <f t="shared" ref="Y76:AR76" si="93">Y74-Y63</f>
        <v>-72.624000000000052</v>
      </c>
      <c r="Z76" s="471">
        <f t="shared" si="93"/>
        <v>-93.902000000000015</v>
      </c>
      <c r="AA76" s="471">
        <f t="shared" si="93"/>
        <v>-65.149000000000001</v>
      </c>
      <c r="AB76" s="471">
        <f t="shared" si="93"/>
        <v>-61.774999999999991</v>
      </c>
      <c r="AC76" s="471">
        <f t="shared" si="93"/>
        <v>-51.98599999999999</v>
      </c>
      <c r="AD76" s="130">
        <f t="shared" si="93"/>
        <v>-272.81200000000001</v>
      </c>
      <c r="AE76" s="485">
        <f>AE74-AE63</f>
        <v>-49.625999999999983</v>
      </c>
      <c r="AF76" s="485">
        <f t="shared" si="93"/>
        <v>-60.356999999999999</v>
      </c>
      <c r="AG76" s="485">
        <f t="shared" si="93"/>
        <v>-41.988</v>
      </c>
      <c r="AH76" s="485">
        <f>AH74-AH63</f>
        <v>-37.647000000000006</v>
      </c>
      <c r="AI76" s="130">
        <f>AI74-AI63</f>
        <v>-189.61799999999997</v>
      </c>
      <c r="AJ76" s="1043">
        <f>AJ74-AJ63</f>
        <v>-29.427</v>
      </c>
      <c r="AK76" s="1043">
        <f t="shared" si="93"/>
        <v>-44.550999999999995</v>
      </c>
      <c r="AL76" s="1043">
        <f t="shared" si="93"/>
        <v>-42.567999999999998</v>
      </c>
      <c r="AM76" s="1043">
        <f t="shared" si="93"/>
        <v>-14.036999999999999</v>
      </c>
      <c r="AN76" s="762">
        <f>AN74-AN63</f>
        <v>-130.58299999999997</v>
      </c>
      <c r="AO76" s="763">
        <f t="shared" si="93"/>
        <v>6.0980000000000034</v>
      </c>
      <c r="AP76" s="763">
        <f t="shared" si="93"/>
        <v>-15.685000000000015</v>
      </c>
      <c r="AQ76" s="763">
        <f t="shared" si="93"/>
        <v>-27.081500000000013</v>
      </c>
      <c r="AR76" s="763">
        <f t="shared" si="93"/>
        <v>-13.479999999999993</v>
      </c>
      <c r="AS76" s="646">
        <f>AS74-AS63</f>
        <v>-81.682999999999964</v>
      </c>
      <c r="AT76" s="763"/>
      <c r="AU76" s="763"/>
      <c r="AV76" s="763"/>
      <c r="AW76" s="763"/>
      <c r="AX76" s="646">
        <f>AX74-AX63</f>
        <v>-116.95499999999997</v>
      </c>
      <c r="AY76" s="763"/>
      <c r="AZ76" s="763"/>
      <c r="BA76" s="763"/>
      <c r="BB76" s="763"/>
      <c r="BC76" s="646">
        <f>BC74-BC63</f>
        <v>-118.23390544921919</v>
      </c>
      <c r="BD76" s="763"/>
      <c r="BE76" s="763"/>
      <c r="BF76" s="763"/>
      <c r="BG76" s="763"/>
      <c r="BH76" s="646">
        <f>BH74-BH63</f>
        <v>-43.755733765628051</v>
      </c>
      <c r="BI76" s="763"/>
      <c r="BJ76" s="763"/>
      <c r="BK76" s="763"/>
      <c r="BL76" s="763"/>
      <c r="BM76" s="646">
        <f>BM74-BM63</f>
        <v>69.358415907512736</v>
      </c>
      <c r="BN76" s="8"/>
      <c r="BO76" s="8"/>
      <c r="BP76" s="8"/>
      <c r="BQ76" s="8"/>
      <c r="BR76" s="8"/>
    </row>
    <row r="77" spans="1:79" ht="4.5" hidden="1" customHeight="1" outlineLevel="1">
      <c r="B77" s="14"/>
      <c r="C77" s="14"/>
      <c r="D77" s="73"/>
      <c r="E77" s="73"/>
      <c r="F77" s="16"/>
      <c r="G77" s="16"/>
      <c r="H77" s="16"/>
      <c r="I77" s="16"/>
      <c r="J77" s="16"/>
      <c r="K77" s="16"/>
      <c r="L77" s="16"/>
      <c r="M77" s="16"/>
      <c r="N77" s="16"/>
      <c r="O77" s="16"/>
      <c r="P77" s="452"/>
      <c r="Q77" s="452"/>
      <c r="R77" s="452"/>
      <c r="S77" s="452"/>
      <c r="T77" s="16"/>
      <c r="U77" s="452"/>
      <c r="V77" s="452"/>
      <c r="W77" s="452"/>
      <c r="X77" s="452"/>
      <c r="Y77" s="16"/>
      <c r="Z77" s="452"/>
      <c r="AA77" s="452"/>
      <c r="AB77" s="452"/>
      <c r="AC77" s="452"/>
      <c r="AD77" s="16"/>
      <c r="AE77" s="478"/>
      <c r="AF77" s="478"/>
      <c r="AG77" s="478"/>
      <c r="AH77" s="478"/>
      <c r="AI77" s="16"/>
      <c r="AJ77" s="452"/>
      <c r="AK77" s="452"/>
      <c r="AL77" s="452"/>
      <c r="AM77" s="452"/>
      <c r="AN77" s="625"/>
      <c r="AO77" s="761"/>
      <c r="AP77" s="761"/>
      <c r="AQ77" s="761"/>
      <c r="AR77" s="761"/>
      <c r="AS77" s="625"/>
      <c r="AT77" s="761"/>
      <c r="AU77" s="761"/>
      <c r="AV77" s="761"/>
      <c r="AW77" s="761"/>
      <c r="AX77" s="625"/>
      <c r="AY77" s="761"/>
      <c r="AZ77" s="761"/>
      <c r="BA77" s="761"/>
      <c r="BB77" s="761"/>
      <c r="BC77" s="625"/>
      <c r="BD77" s="761"/>
      <c r="BE77" s="761"/>
      <c r="BF77" s="761"/>
      <c r="BG77" s="761"/>
      <c r="BH77" s="625"/>
      <c r="BI77" s="761"/>
      <c r="BJ77" s="761"/>
      <c r="BK77" s="761"/>
      <c r="BL77" s="761"/>
      <c r="BM77" s="625"/>
    </row>
    <row r="78" spans="1:79" collapsed="1">
      <c r="B78" s="14" t="s">
        <v>30</v>
      </c>
      <c r="C78" s="14"/>
      <c r="D78" s="174"/>
      <c r="E78" s="133">
        <v>6.8898169999999999</v>
      </c>
      <c r="F78" s="407">
        <v>7.0074360000000002</v>
      </c>
      <c r="G78" s="407">
        <v>7.0358710000000002</v>
      </c>
      <c r="H78" s="407">
        <v>7.1183449999999997</v>
      </c>
      <c r="I78" s="407">
        <f>H78*1.03</f>
        <v>7.3318953499999999</v>
      </c>
      <c r="J78" s="133">
        <v>7.1167740000000004</v>
      </c>
      <c r="K78" s="407">
        <v>63.957965999999999</v>
      </c>
      <c r="L78" s="407">
        <v>97.642330000000001</v>
      </c>
      <c r="M78" s="407">
        <v>97.925657000000001</v>
      </c>
      <c r="N78" s="407">
        <v>98.615753999999995</v>
      </c>
      <c r="O78" s="407">
        <v>89.653363999999996</v>
      </c>
      <c r="P78" s="454">
        <v>99.075187</v>
      </c>
      <c r="Q78" s="454">
        <v>99.674969000000004</v>
      </c>
      <c r="R78" s="454">
        <v>100.1741</v>
      </c>
      <c r="S78" s="454">
        <v>100.3948</v>
      </c>
      <c r="T78" s="491">
        <v>99.874790000000004</v>
      </c>
      <c r="U78" s="454">
        <v>103.75106</v>
      </c>
      <c r="V78" s="454">
        <v>107.07814999999999</v>
      </c>
      <c r="W78" s="454">
        <v>107.266823</v>
      </c>
      <c r="X78" s="454">
        <f>107.493026</f>
        <v>107.493026</v>
      </c>
      <c r="Y78" s="491">
        <f>106.402639</f>
        <v>106.40263899999999</v>
      </c>
      <c r="Z78" s="476">
        <f>108.072643</f>
        <v>108.072643</v>
      </c>
      <c r="AA78" s="476">
        <v>113.441391</v>
      </c>
      <c r="AB78" s="476">
        <v>120.76889300000001</v>
      </c>
      <c r="AC78" s="476">
        <f>120.929271</f>
        <v>120.929271</v>
      </c>
      <c r="AD78" s="418">
        <f>AVERAGE(Z78,AA78,AB78,AC78)</f>
        <v>115.80304949999999</v>
      </c>
      <c r="AE78" s="476">
        <f>129.745</f>
        <v>129.745</v>
      </c>
      <c r="AF78" s="476">
        <f>138.315</f>
        <v>138.315</v>
      </c>
      <c r="AG78" s="476">
        <v>139.23400000000001</v>
      </c>
      <c r="AH78" s="476">
        <v>139.815</v>
      </c>
      <c r="AI78" s="502">
        <v>136.81100000000001</v>
      </c>
      <c r="AJ78" s="739">
        <v>141.27799999999999</v>
      </c>
      <c r="AK78" s="739">
        <v>142.09800000000001</v>
      </c>
      <c r="AL78" s="739">
        <v>142.47300000000001</v>
      </c>
      <c r="AM78" s="739">
        <v>142.751</v>
      </c>
      <c r="AN78" s="741">
        <v>142.155</v>
      </c>
      <c r="AO78" s="739">
        <v>143.59299999999999</v>
      </c>
      <c r="AP78" s="739">
        <v>144.642</v>
      </c>
      <c r="AQ78" s="739">
        <v>145.18</v>
      </c>
      <c r="AR78" s="739">
        <v>146.274</v>
      </c>
      <c r="AS78" s="741">
        <v>144.928</v>
      </c>
      <c r="AT78" s="739">
        <v>147.786</v>
      </c>
      <c r="AU78" s="739">
        <f t="shared" ref="AU78:AW79" si="94">AT78*1.0025</f>
        <v>148.15546499999999</v>
      </c>
      <c r="AV78" s="739">
        <v>149.50200000000001</v>
      </c>
      <c r="AW78" s="739">
        <f t="shared" si="94"/>
        <v>149.875755</v>
      </c>
      <c r="AX78" s="741">
        <f>(AW78+AV78+AU78+AT78)/4</f>
        <v>148.82980499999999</v>
      </c>
      <c r="AY78" s="739">
        <f>AW78*1.0025</f>
        <v>150.25044438749998</v>
      </c>
      <c r="AZ78" s="739">
        <f>AY78*1.0025</f>
        <v>150.62607049846872</v>
      </c>
      <c r="BA78" s="739">
        <f>AZ78*1.0025</f>
        <v>151.0026356747149</v>
      </c>
      <c r="BB78" s="739">
        <f>BA78*1.0025</f>
        <v>151.38014226390166</v>
      </c>
      <c r="BC78" s="741">
        <f>(BB78+BA78+AZ78+AY78)/4</f>
        <v>150.81482320614631</v>
      </c>
      <c r="BD78" s="739"/>
      <c r="BE78" s="739"/>
      <c r="BF78" s="739"/>
      <c r="BG78" s="739"/>
      <c r="BH78" s="741">
        <f>BC78*1.01</f>
        <v>152.32297143820779</v>
      </c>
      <c r="BI78" s="739"/>
      <c r="BJ78" s="739"/>
      <c r="BK78" s="739"/>
      <c r="BL78" s="739"/>
      <c r="BM78" s="741">
        <f>BH78*1.01</f>
        <v>153.84620115258986</v>
      </c>
    </row>
    <row r="79" spans="1:79">
      <c r="A79" s="20"/>
      <c r="B79" s="14" t="s">
        <v>31</v>
      </c>
      <c r="C79" s="14"/>
      <c r="D79" s="133"/>
      <c r="E79" s="133">
        <f>E78</f>
        <v>6.8898169999999999</v>
      </c>
      <c r="F79" s="419">
        <f>F78</f>
        <v>7.0074360000000002</v>
      </c>
      <c r="G79" s="419">
        <f>G78</f>
        <v>7.0358710000000002</v>
      </c>
      <c r="H79" s="419">
        <f>H78</f>
        <v>7.1183449999999997</v>
      </c>
      <c r="I79" s="407">
        <f>H79*1.03</f>
        <v>7.3318953499999999</v>
      </c>
      <c r="J79" s="133">
        <f t="shared" ref="J79:O79" si="95">J78</f>
        <v>7.1167740000000004</v>
      </c>
      <c r="K79" s="419">
        <f t="shared" si="95"/>
        <v>63.957965999999999</v>
      </c>
      <c r="L79" s="419">
        <f t="shared" si="95"/>
        <v>97.642330000000001</v>
      </c>
      <c r="M79" s="419">
        <f t="shared" si="95"/>
        <v>97.925657000000001</v>
      </c>
      <c r="N79" s="419">
        <f t="shared" si="95"/>
        <v>98.615753999999995</v>
      </c>
      <c r="O79" s="419">
        <f t="shared" si="95"/>
        <v>89.653363999999996</v>
      </c>
      <c r="P79" s="455">
        <f t="shared" ref="P79:V79" si="96">P78</f>
        <v>99.075187</v>
      </c>
      <c r="Q79" s="455">
        <f t="shared" si="96"/>
        <v>99.674969000000004</v>
      </c>
      <c r="R79" s="455">
        <f t="shared" si="96"/>
        <v>100.1741</v>
      </c>
      <c r="S79" s="455">
        <f t="shared" si="96"/>
        <v>100.3948</v>
      </c>
      <c r="T79" s="417">
        <f t="shared" si="96"/>
        <v>99.874790000000004</v>
      </c>
      <c r="U79" s="455">
        <f t="shared" si="96"/>
        <v>103.75106</v>
      </c>
      <c r="V79" s="455">
        <f t="shared" si="96"/>
        <v>107.07814999999999</v>
      </c>
      <c r="W79" s="454">
        <v>114.337327</v>
      </c>
      <c r="X79" s="455">
        <f t="shared" ref="X79:AF79" si="97">X78</f>
        <v>107.493026</v>
      </c>
      <c r="Y79" s="417">
        <f t="shared" si="97"/>
        <v>106.40263899999999</v>
      </c>
      <c r="Z79" s="472">
        <f t="shared" si="97"/>
        <v>108.072643</v>
      </c>
      <c r="AA79" s="472">
        <f t="shared" si="97"/>
        <v>113.441391</v>
      </c>
      <c r="AB79" s="472">
        <f t="shared" si="97"/>
        <v>120.76889300000001</v>
      </c>
      <c r="AC79" s="472">
        <f t="shared" si="97"/>
        <v>120.929271</v>
      </c>
      <c r="AD79" s="418">
        <f t="shared" si="97"/>
        <v>115.80304949999999</v>
      </c>
      <c r="AE79" s="480">
        <f t="shared" si="97"/>
        <v>129.745</v>
      </c>
      <c r="AF79" s="480">
        <f t="shared" si="97"/>
        <v>138.315</v>
      </c>
      <c r="AG79" s="480">
        <f t="shared" ref="AG79:AQ79" si="98">AG78</f>
        <v>139.23400000000001</v>
      </c>
      <c r="AH79" s="480">
        <f t="shared" si="98"/>
        <v>139.815</v>
      </c>
      <c r="AI79" s="418">
        <f>AI78</f>
        <v>136.81100000000001</v>
      </c>
      <c r="AJ79" s="739">
        <f>AJ78</f>
        <v>141.27799999999999</v>
      </c>
      <c r="AK79" s="739">
        <f t="shared" si="98"/>
        <v>142.09800000000001</v>
      </c>
      <c r="AL79" s="739">
        <f t="shared" si="98"/>
        <v>142.47300000000001</v>
      </c>
      <c r="AM79" s="739">
        <f t="shared" si="98"/>
        <v>142.751</v>
      </c>
      <c r="AN79" s="741">
        <f>IF(AN71&gt;0,BS!L158,IS!AN78)</f>
        <v>142.155</v>
      </c>
      <c r="AO79" s="739">
        <f t="shared" si="98"/>
        <v>143.59299999999999</v>
      </c>
      <c r="AP79" s="739">
        <f t="shared" si="98"/>
        <v>144.642</v>
      </c>
      <c r="AQ79" s="739">
        <f t="shared" si="98"/>
        <v>145.18</v>
      </c>
      <c r="AR79" s="739">
        <f>AR78</f>
        <v>146.274</v>
      </c>
      <c r="AS79" s="741">
        <f>AS78</f>
        <v>144.928</v>
      </c>
      <c r="AT79" s="739">
        <f>AT78</f>
        <v>147.786</v>
      </c>
      <c r="AU79" s="739">
        <f t="shared" si="94"/>
        <v>148.15546499999999</v>
      </c>
      <c r="AV79" s="739">
        <f>AV78</f>
        <v>149.50200000000001</v>
      </c>
      <c r="AW79" s="739">
        <f t="shared" si="94"/>
        <v>149.875755</v>
      </c>
      <c r="AX79" s="741">
        <f>IF(AX71&gt;0,BS!N158,IS!AX78)</f>
        <v>148.82980499999999</v>
      </c>
      <c r="AY79" s="739">
        <f>AY78</f>
        <v>150.25044438749998</v>
      </c>
      <c r="AZ79" s="739">
        <f>AZ78</f>
        <v>150.62607049846872</v>
      </c>
      <c r="BA79" s="739">
        <f>BA78</f>
        <v>151.0026356747149</v>
      </c>
      <c r="BB79" s="739">
        <f>BB78</f>
        <v>151.38014226390166</v>
      </c>
      <c r="BC79" s="741">
        <f>IF(BC71&gt;0,BS!S158,IS!BC78)</f>
        <v>150.81482320614631</v>
      </c>
      <c r="BD79" s="739"/>
      <c r="BE79" s="739"/>
      <c r="BF79" s="739"/>
      <c r="BG79" s="739"/>
      <c r="BH79" s="741">
        <f>BC79*1.015</f>
        <v>153.07704555423848</v>
      </c>
      <c r="BI79" s="739"/>
      <c r="BJ79" s="739"/>
      <c r="BK79" s="739"/>
      <c r="BL79" s="739"/>
      <c r="BM79" s="741">
        <f>BH79*1.015</f>
        <v>155.37320123755205</v>
      </c>
    </row>
    <row r="80" spans="1:79" s="965" customFormat="1">
      <c r="A80" s="808"/>
      <c r="B80" s="1045"/>
      <c r="C80" s="1045"/>
      <c r="D80" s="1046"/>
      <c r="E80" s="1046"/>
      <c r="F80" s="1047"/>
      <c r="G80" s="1047"/>
      <c r="H80" s="1047"/>
      <c r="I80" s="1048"/>
      <c r="J80" s="1046"/>
      <c r="K80" s="1047"/>
      <c r="L80" s="1047"/>
      <c r="M80" s="1047"/>
      <c r="N80" s="1047"/>
      <c r="O80" s="1047"/>
      <c r="P80" s="1049"/>
      <c r="Q80" s="1049"/>
      <c r="R80" s="1049"/>
      <c r="S80" s="1049"/>
      <c r="T80" s="1050"/>
      <c r="U80" s="1049"/>
      <c r="V80" s="1049"/>
      <c r="W80" s="1051"/>
      <c r="X80" s="1049"/>
      <c r="Y80" s="1050"/>
      <c r="Z80" s="1046"/>
      <c r="AA80" s="1046"/>
      <c r="AB80" s="1046"/>
      <c r="AC80" s="1046"/>
      <c r="AD80" s="1052"/>
      <c r="AE80" s="1052"/>
      <c r="AF80" s="1052"/>
      <c r="AG80" s="1052"/>
      <c r="AH80" s="1052"/>
      <c r="AI80" s="1052"/>
      <c r="AJ80" s="1046"/>
      <c r="AK80" s="1046"/>
      <c r="AL80" s="1046"/>
      <c r="AM80" s="1046"/>
      <c r="AN80" s="1053"/>
      <c r="AO80" s="1053"/>
      <c r="AP80" s="1053"/>
      <c r="AQ80" s="1053"/>
      <c r="AR80" s="1053"/>
      <c r="AS80" s="1053"/>
      <c r="AT80" s="1053"/>
      <c r="AU80" s="1053"/>
      <c r="AV80" s="1053"/>
      <c r="AW80" s="1053"/>
      <c r="AX80" s="1053"/>
      <c r="AY80" s="1053"/>
      <c r="AZ80" s="1053"/>
      <c r="BA80" s="1053"/>
      <c r="BB80" s="1053"/>
      <c r="BC80" s="1053"/>
      <c r="BD80" s="1053"/>
      <c r="BE80" s="1053"/>
      <c r="BF80" s="1053"/>
      <c r="BG80" s="1053"/>
      <c r="BH80" s="1053"/>
      <c r="BI80" s="1053"/>
      <c r="BJ80" s="1053"/>
      <c r="BK80" s="1053"/>
      <c r="BL80" s="1053"/>
      <c r="BM80" s="1053"/>
      <c r="BN80" s="1054"/>
      <c r="BO80" s="1054"/>
      <c r="BP80" s="1054"/>
      <c r="BQ80" s="1054"/>
      <c r="BR80" s="1054"/>
      <c r="BS80"/>
      <c r="BT80"/>
      <c r="BU80"/>
      <c r="BV80"/>
      <c r="BW80"/>
      <c r="BX80"/>
      <c r="BY80" s="1054"/>
      <c r="BZ80" s="1054"/>
      <c r="CA80" s="1054"/>
    </row>
    <row r="81" spans="1:79" s="965" customFormat="1">
      <c r="A81" s="808"/>
      <c r="B81" s="1045" t="s">
        <v>528</v>
      </c>
      <c r="C81" s="1045"/>
      <c r="D81" s="1046"/>
      <c r="E81" s="1046"/>
      <c r="F81" s="1047"/>
      <c r="G81" s="1047"/>
      <c r="H81" s="1047"/>
      <c r="I81" s="1048"/>
      <c r="J81" s="1046"/>
      <c r="K81" s="1047"/>
      <c r="L81" s="1047"/>
      <c r="M81" s="1047"/>
      <c r="N81" s="1047"/>
      <c r="O81" s="1047"/>
      <c r="P81" s="1049"/>
      <c r="Q81" s="1049"/>
      <c r="R81" s="1049"/>
      <c r="S81" s="1049"/>
      <c r="T81" s="1050"/>
      <c r="U81" s="1049"/>
      <c r="V81" s="1049"/>
      <c r="W81" s="1051"/>
      <c r="X81" s="1049"/>
      <c r="Y81" s="1050"/>
      <c r="Z81" s="1046"/>
      <c r="AA81" s="1046"/>
      <c r="AB81" s="1046"/>
      <c r="AC81" s="1046"/>
      <c r="AD81" s="1052"/>
      <c r="AE81" s="1052"/>
      <c r="AF81" s="1052"/>
      <c r="AG81" s="1052"/>
      <c r="AH81" s="1052"/>
      <c r="AI81" s="1052"/>
      <c r="AJ81" s="1046"/>
      <c r="AK81" s="1046"/>
      <c r="AL81" s="1046"/>
      <c r="AM81" s="1046"/>
      <c r="AN81" s="1053"/>
      <c r="AO81" s="1053"/>
      <c r="AP81" s="1053"/>
      <c r="AQ81" s="1053"/>
      <c r="AR81" s="1053"/>
      <c r="AS81" s="1053"/>
      <c r="AT81" s="1053"/>
      <c r="AU81" s="1053"/>
      <c r="AV81" s="1053"/>
      <c r="AW81" s="1053"/>
      <c r="AX81" s="1053"/>
      <c r="AY81" s="1053"/>
      <c r="AZ81" s="1053"/>
      <c r="BA81" s="1053"/>
      <c r="BB81" s="1053"/>
      <c r="BC81" s="1053"/>
      <c r="BD81" s="1053"/>
      <c r="BE81" s="1053"/>
      <c r="BF81" s="1053"/>
      <c r="BG81" s="1053"/>
      <c r="BH81" s="1053"/>
      <c r="BI81" s="1053"/>
      <c r="BJ81" s="1053"/>
      <c r="BK81" s="1053"/>
      <c r="BL81" s="1053"/>
      <c r="BM81" s="1053"/>
      <c r="BN81" s="1054"/>
      <c r="BO81" s="1054"/>
      <c r="BP81" s="1054"/>
      <c r="BQ81" s="1054"/>
      <c r="BR81" s="1054"/>
      <c r="BS81"/>
      <c r="BT81"/>
      <c r="BU81"/>
      <c r="BV81"/>
      <c r="BW81"/>
      <c r="BX81"/>
      <c r="BY81" s="1054"/>
      <c r="BZ81" s="1054"/>
      <c r="CA81" s="1054"/>
    </row>
    <row r="82" spans="1:79" s="965" customFormat="1">
      <c r="A82" s="967"/>
      <c r="B82" s="1055" t="s">
        <v>13</v>
      </c>
      <c r="C82" s="1056"/>
      <c r="D82" s="1056"/>
      <c r="E82" s="1056"/>
      <c r="F82" s="1057"/>
      <c r="G82" s="1057"/>
      <c r="H82" s="1057"/>
      <c r="I82" s="1057"/>
      <c r="J82" s="1056"/>
      <c r="K82" s="1057"/>
      <c r="L82" s="1057"/>
      <c r="M82" s="1057"/>
      <c r="N82" s="1057"/>
      <c r="O82" s="1058"/>
      <c r="P82" s="1057"/>
      <c r="Q82" s="1057"/>
      <c r="R82" s="1057"/>
      <c r="S82" s="1057"/>
      <c r="T82" s="1058"/>
      <c r="U82" s="1059"/>
      <c r="V82" s="1059"/>
      <c r="W82" s="1059"/>
      <c r="X82" s="1059"/>
      <c r="Y82" s="1058"/>
      <c r="Z82" s="1059"/>
      <c r="AA82" s="1059"/>
      <c r="AB82" s="1059"/>
      <c r="AC82" s="1060"/>
      <c r="AD82" s="1058"/>
      <c r="AE82" s="1061"/>
      <c r="AF82" s="1060"/>
      <c r="AG82" s="1059"/>
      <c r="AH82" s="1059"/>
      <c r="AI82" s="1057"/>
      <c r="AJ82" s="1062">
        <v>2.0539999999999998</v>
      </c>
      <c r="AK82" s="1062">
        <v>2.6909999999999998</v>
      </c>
      <c r="AL82" s="1062">
        <v>2.6619999999999999</v>
      </c>
      <c r="AM82" s="1062">
        <f>10.065-AL82-AK82-AJ82</f>
        <v>2.6579999999999999</v>
      </c>
      <c r="AN82" s="1062"/>
      <c r="AO82" s="1053">
        <v>2.4990000000000001</v>
      </c>
      <c r="AP82" s="1053">
        <v>3.2650000000000001</v>
      </c>
      <c r="AQ82" s="1053">
        <v>2.6339999999999999</v>
      </c>
      <c r="AR82" s="1073">
        <f>AS82-AQ82-AP82-AO82</f>
        <v>2.9459999999999984</v>
      </c>
      <c r="AS82" s="1063">
        <v>11.343999999999999</v>
      </c>
      <c r="AT82" s="1053">
        <v>2.625</v>
      </c>
      <c r="AU82" s="1053">
        <v>2.625</v>
      </c>
      <c r="AV82" s="1053">
        <f t="shared" ref="AV82:AW83" si="99">AU82</f>
        <v>2.625</v>
      </c>
      <c r="AW82" s="1053">
        <f t="shared" si="99"/>
        <v>2.625</v>
      </c>
      <c r="AX82" s="1063">
        <f t="shared" ref="AX82:AX83" si="100">AW82+AV82+AU82+AT82</f>
        <v>10.5</v>
      </c>
      <c r="AY82" s="1053">
        <f>$BC$82*0.25</f>
        <v>2.625</v>
      </c>
      <c r="AZ82" s="1053">
        <f>$BC$82*0.25</f>
        <v>2.625</v>
      </c>
      <c r="BA82" s="1053">
        <f>$BC$82*0.25</f>
        <v>2.625</v>
      </c>
      <c r="BB82" s="1053">
        <f>$BC$82*0.25</f>
        <v>2.625</v>
      </c>
      <c r="BC82" s="1053">
        <f>AX82</f>
        <v>10.5</v>
      </c>
      <c r="BD82" s="1053"/>
      <c r="BE82" s="1053"/>
      <c r="BF82" s="1053"/>
      <c r="BG82" s="1053"/>
      <c r="BH82" s="1053">
        <f>BC82</f>
        <v>10.5</v>
      </c>
      <c r="BI82" s="1053"/>
      <c r="BJ82" s="1053"/>
      <c r="BK82" s="1053"/>
      <c r="BL82" s="1053"/>
      <c r="BM82" s="1053">
        <f>BH82</f>
        <v>10.5</v>
      </c>
      <c r="BN82" s="1045"/>
      <c r="BO82" s="1045"/>
      <c r="BP82" s="1045"/>
      <c r="BQ82" s="1045"/>
      <c r="BR82" s="1045"/>
      <c r="BS82"/>
      <c r="BT82"/>
      <c r="BU82"/>
      <c r="BV82"/>
      <c r="BW82"/>
      <c r="BX82"/>
      <c r="BY82" s="1054"/>
      <c r="BZ82" s="1054"/>
      <c r="CA82" s="1054"/>
    </row>
    <row r="83" spans="1:79" s="965" customFormat="1">
      <c r="A83" s="967"/>
      <c r="B83" s="1055" t="s">
        <v>15</v>
      </c>
      <c r="C83" s="1056"/>
      <c r="D83" s="1056"/>
      <c r="E83" s="1056"/>
      <c r="F83" s="1057"/>
      <c r="G83" s="1057"/>
      <c r="H83" s="1057"/>
      <c r="I83" s="1057"/>
      <c r="J83" s="1056"/>
      <c r="K83" s="1057"/>
      <c r="L83" s="1057"/>
      <c r="M83" s="1057"/>
      <c r="N83" s="1057"/>
      <c r="O83" s="1058"/>
      <c r="P83" s="1057"/>
      <c r="Q83" s="1057"/>
      <c r="R83" s="1057"/>
      <c r="S83" s="1057"/>
      <c r="T83" s="1058"/>
      <c r="U83" s="1059"/>
      <c r="V83" s="1059"/>
      <c r="W83" s="1059"/>
      <c r="X83" s="1059"/>
      <c r="Y83" s="1058"/>
      <c r="Z83" s="1059"/>
      <c r="AA83" s="1059"/>
      <c r="AB83" s="1059"/>
      <c r="AC83" s="1060"/>
      <c r="AD83" s="1058"/>
      <c r="AE83" s="1061"/>
      <c r="AF83" s="1060"/>
      <c r="AG83" s="1059"/>
      <c r="AH83" s="1059"/>
      <c r="AI83" s="1057"/>
      <c r="AJ83" s="1062">
        <v>3.3719999999999999</v>
      </c>
      <c r="AK83" s="1062">
        <v>4.2119999999999997</v>
      </c>
      <c r="AL83" s="1062">
        <v>3.9780000000000002</v>
      </c>
      <c r="AM83" s="1062">
        <f>15.404-AL83-AK83-AJ83</f>
        <v>3.8420000000000005</v>
      </c>
      <c r="AN83" s="1062"/>
      <c r="AO83" s="1053">
        <v>4.3070000000000004</v>
      </c>
      <c r="AP83" s="1053">
        <v>4.6319999999999997</v>
      </c>
      <c r="AQ83" s="1053">
        <v>4.2990000000000004</v>
      </c>
      <c r="AR83" s="1073">
        <f>AS83-AQ83-AP83-AO83</f>
        <v>4.6370000000000005</v>
      </c>
      <c r="AS83" s="1063">
        <v>17.875</v>
      </c>
      <c r="AT83" s="1053">
        <v>4.6539999999999999</v>
      </c>
      <c r="AU83" s="1053">
        <v>4.6539999999999999</v>
      </c>
      <c r="AV83" s="1053">
        <f t="shared" si="99"/>
        <v>4.6539999999999999</v>
      </c>
      <c r="AW83" s="1053">
        <f t="shared" si="99"/>
        <v>4.6539999999999999</v>
      </c>
      <c r="AX83" s="1063">
        <f t="shared" si="100"/>
        <v>18.616</v>
      </c>
      <c r="AY83" s="1053">
        <f>$BC$83*0.25</f>
        <v>4.6539999999999999</v>
      </c>
      <c r="AZ83" s="1053">
        <f>$BC$83*0.25</f>
        <v>4.6539999999999999</v>
      </c>
      <c r="BA83" s="1053">
        <f>$BC$83*0.25</f>
        <v>4.6539999999999999</v>
      </c>
      <c r="BB83" s="1053">
        <f>$BC$83*0.25</f>
        <v>4.6539999999999999</v>
      </c>
      <c r="BC83" s="1053">
        <f>AX83</f>
        <v>18.616</v>
      </c>
      <c r="BD83" s="1053"/>
      <c r="BE83" s="1053"/>
      <c r="BF83" s="1053"/>
      <c r="BG83" s="1053"/>
      <c r="BH83" s="1053">
        <f>BC83</f>
        <v>18.616</v>
      </c>
      <c r="BI83" s="1053"/>
      <c r="BJ83" s="1053"/>
      <c r="BK83" s="1053"/>
      <c r="BL83" s="1053"/>
      <c r="BM83" s="1053">
        <f>BH83</f>
        <v>18.616</v>
      </c>
      <c r="BN83" s="1045"/>
      <c r="BO83" s="1045"/>
      <c r="BP83" s="1045"/>
      <c r="BQ83" s="1045"/>
      <c r="BR83" s="1045"/>
      <c r="BS83"/>
      <c r="BT83"/>
      <c r="BU83"/>
      <c r="BV83"/>
      <c r="BW83"/>
      <c r="BX83"/>
      <c r="BY83" s="1054"/>
      <c r="BZ83" s="1054"/>
      <c r="CA83" s="1054"/>
    </row>
    <row r="85" spans="1:79" hidden="1" outlineLevel="1">
      <c r="B85" s="15" t="s">
        <v>13</v>
      </c>
      <c r="C85" s="12"/>
      <c r="D85" s="130"/>
      <c r="E85" s="130"/>
      <c r="F85" s="130"/>
      <c r="G85" s="130"/>
      <c r="H85" s="130"/>
      <c r="I85" s="130"/>
      <c r="J85" s="130"/>
      <c r="K85" s="130"/>
      <c r="L85" s="130"/>
      <c r="M85" s="130"/>
      <c r="N85" s="130"/>
      <c r="O85" s="130"/>
      <c r="P85" s="130"/>
      <c r="Q85" s="130"/>
      <c r="R85" s="130"/>
      <c r="S85" s="130"/>
      <c r="T85" s="130"/>
      <c r="U85" s="130"/>
      <c r="V85" s="130"/>
      <c r="W85" s="130"/>
      <c r="X85" s="130"/>
      <c r="Y85" s="130"/>
      <c r="Z85" s="130"/>
      <c r="AA85" s="130"/>
      <c r="AB85" s="130"/>
      <c r="AC85" s="130"/>
      <c r="AD85" s="130"/>
      <c r="AE85" s="130"/>
      <c r="AF85" s="130"/>
      <c r="AG85" s="130"/>
      <c r="AH85" s="130"/>
      <c r="AI85" s="130"/>
      <c r="AJ85" s="130"/>
      <c r="AK85" s="130"/>
      <c r="AL85" s="130"/>
      <c r="AM85" s="130"/>
      <c r="AN85" s="130"/>
      <c r="AO85" s="130"/>
      <c r="AP85" s="130"/>
      <c r="AQ85" s="130"/>
      <c r="AR85" s="130"/>
      <c r="AS85" s="130"/>
      <c r="AT85" s="130"/>
      <c r="AU85" s="130"/>
      <c r="AV85" s="130"/>
      <c r="AW85" s="130"/>
      <c r="AX85" s="130"/>
      <c r="AY85" s="130"/>
      <c r="AZ85" s="130"/>
      <c r="BA85" s="130"/>
      <c r="BB85" s="130"/>
      <c r="BC85" s="130"/>
      <c r="BD85" s="130"/>
      <c r="BE85" s="130"/>
      <c r="BF85" s="130"/>
      <c r="BG85" s="130"/>
      <c r="BH85" s="130"/>
      <c r="BI85" s="130"/>
      <c r="BJ85" s="130"/>
      <c r="BK85" s="130"/>
      <c r="BL85" s="130"/>
      <c r="BM85" s="130"/>
      <c r="BN85" s="8"/>
      <c r="BO85" s="8"/>
      <c r="BP85" s="8"/>
      <c r="BQ85" s="8"/>
      <c r="BR85" s="8"/>
    </row>
    <row r="86" spans="1:79" hidden="1" outlineLevel="1">
      <c r="B86" s="84" t="s">
        <v>262</v>
      </c>
      <c r="C86" s="13"/>
      <c r="D86" s="149"/>
      <c r="E86" s="149"/>
      <c r="F86" s="149"/>
      <c r="G86" s="149"/>
      <c r="H86" s="149"/>
      <c r="I86" s="149"/>
      <c r="J86" s="149">
        <f>Linaclotide!E129</f>
        <v>85</v>
      </c>
      <c r="K86" s="149"/>
      <c r="L86" s="149"/>
      <c r="M86" s="149"/>
      <c r="N86" s="149"/>
      <c r="O86" s="149">
        <f>Linaclotide!F129</f>
        <v>75</v>
      </c>
      <c r="P86" s="149"/>
      <c r="Q86" s="149"/>
      <c r="R86" s="149"/>
      <c r="S86" s="149"/>
      <c r="T86" s="149">
        <f>Linaclotide!G129</f>
        <v>70</v>
      </c>
      <c r="U86" s="149"/>
      <c r="V86" s="149"/>
      <c r="W86" s="149"/>
      <c r="X86" s="149"/>
      <c r="Y86" s="149">
        <f>Linaclotide!H129</f>
        <v>110</v>
      </c>
      <c r="Z86" s="149"/>
      <c r="AA86" s="149"/>
      <c r="AB86" s="149"/>
      <c r="AC86" s="149"/>
      <c r="AD86" s="149">
        <f>Linaclotide!I129</f>
        <v>44.4</v>
      </c>
      <c r="AE86" s="149"/>
      <c r="AF86" s="149"/>
      <c r="AG86" s="149"/>
      <c r="AH86" s="149"/>
      <c r="AI86" s="149">
        <f>Linaclotide!J129</f>
        <v>50</v>
      </c>
      <c r="AJ86" s="149"/>
      <c r="AK86" s="149"/>
      <c r="AL86" s="149"/>
      <c r="AM86" s="149"/>
      <c r="AN86" s="638">
        <f>Linaclotide!K129</f>
        <v>40</v>
      </c>
      <c r="AO86" s="638"/>
      <c r="AP86" s="638"/>
      <c r="AQ86" s="638"/>
      <c r="AR86" s="638"/>
      <c r="AS86" s="638">
        <f>Linaclotide!L129</f>
        <v>40</v>
      </c>
      <c r="AT86" s="638"/>
      <c r="AU86" s="638"/>
      <c r="AV86" s="638"/>
      <c r="AW86" s="638"/>
      <c r="AX86" s="638">
        <f>Linaclotide!M129</f>
        <v>40</v>
      </c>
      <c r="AY86" s="638"/>
      <c r="AZ86" s="638"/>
      <c r="BA86" s="638"/>
      <c r="BB86" s="638"/>
      <c r="BC86" s="638">
        <f>Linaclotide!N129</f>
        <v>40</v>
      </c>
      <c r="BD86" s="638"/>
      <c r="BE86" s="638"/>
      <c r="BF86" s="638"/>
      <c r="BG86" s="638"/>
      <c r="BH86" s="638">
        <f>Linaclotide!O129</f>
        <v>40</v>
      </c>
      <c r="BI86" s="638"/>
      <c r="BJ86" s="638"/>
      <c r="BK86" s="638"/>
      <c r="BL86" s="638"/>
      <c r="BM86" s="639">
        <f>Linaclotide!P129</f>
        <v>40</v>
      </c>
      <c r="BN86" s="8"/>
      <c r="BO86" s="8"/>
      <c r="BP86" s="8"/>
      <c r="BQ86" s="8"/>
      <c r="BR86" s="8"/>
    </row>
    <row r="87" spans="1:79" hidden="1" outlineLevel="1">
      <c r="B87" s="134" t="s">
        <v>263</v>
      </c>
      <c r="C87" s="12"/>
      <c r="D87" s="130"/>
      <c r="E87" s="130"/>
      <c r="F87" s="130"/>
      <c r="G87" s="130"/>
      <c r="H87" s="130"/>
      <c r="I87" s="130"/>
      <c r="J87" s="130">
        <f t="shared" ref="J87:AI87" si="101">J86/2</f>
        <v>42.5</v>
      </c>
      <c r="K87" s="130">
        <f t="shared" si="101"/>
        <v>0</v>
      </c>
      <c r="L87" s="130">
        <f t="shared" si="101"/>
        <v>0</v>
      </c>
      <c r="M87" s="130">
        <f t="shared" si="101"/>
        <v>0</v>
      </c>
      <c r="N87" s="130">
        <f t="shared" si="101"/>
        <v>0</v>
      </c>
      <c r="O87" s="130">
        <f t="shared" si="101"/>
        <v>37.5</v>
      </c>
      <c r="P87" s="130">
        <f t="shared" si="101"/>
        <v>0</v>
      </c>
      <c r="Q87" s="130">
        <f t="shared" si="101"/>
        <v>0</v>
      </c>
      <c r="R87" s="130">
        <f t="shared" si="101"/>
        <v>0</v>
      </c>
      <c r="S87" s="130">
        <f t="shared" si="101"/>
        <v>0</v>
      </c>
      <c r="T87" s="130">
        <f t="shared" si="101"/>
        <v>35</v>
      </c>
      <c r="U87" s="130">
        <f t="shared" si="101"/>
        <v>0</v>
      </c>
      <c r="V87" s="130">
        <f t="shared" si="101"/>
        <v>0</v>
      </c>
      <c r="W87" s="130">
        <f t="shared" si="101"/>
        <v>0</v>
      </c>
      <c r="X87" s="130">
        <f t="shared" si="101"/>
        <v>0</v>
      </c>
      <c r="Y87" s="130">
        <f>Y86/2</f>
        <v>55</v>
      </c>
      <c r="Z87" s="130">
        <f t="shared" si="101"/>
        <v>0</v>
      </c>
      <c r="AA87" s="130">
        <f t="shared" si="101"/>
        <v>0</v>
      </c>
      <c r="AB87" s="130">
        <f t="shared" si="101"/>
        <v>0</v>
      </c>
      <c r="AC87" s="130">
        <f t="shared" si="101"/>
        <v>0</v>
      </c>
      <c r="AD87" s="130">
        <f t="shared" si="101"/>
        <v>22.2</v>
      </c>
      <c r="AE87" s="130">
        <f t="shared" si="101"/>
        <v>0</v>
      </c>
      <c r="AF87" s="130">
        <f t="shared" si="101"/>
        <v>0</v>
      </c>
      <c r="AG87" s="130">
        <f t="shared" si="101"/>
        <v>0</v>
      </c>
      <c r="AH87" s="130">
        <f t="shared" si="101"/>
        <v>0</v>
      </c>
      <c r="AI87" s="130">
        <f t="shared" si="101"/>
        <v>25</v>
      </c>
      <c r="AJ87" s="130"/>
      <c r="AK87" s="130"/>
      <c r="AL87" s="130"/>
      <c r="AM87" s="130"/>
      <c r="AN87" s="632">
        <f>AN86/2</f>
        <v>20</v>
      </c>
      <c r="AO87" s="632"/>
      <c r="AP87" s="632"/>
      <c r="AQ87" s="632"/>
      <c r="AR87" s="632"/>
      <c r="AS87" s="632">
        <f>AS86/2</f>
        <v>20</v>
      </c>
      <c r="AT87" s="632"/>
      <c r="AU87" s="632"/>
      <c r="AV87" s="632"/>
      <c r="AW87" s="632"/>
      <c r="AX87" s="632">
        <f>AX86/2</f>
        <v>20</v>
      </c>
      <c r="AY87" s="632"/>
      <c r="AZ87" s="632"/>
      <c r="BA87" s="632"/>
      <c r="BB87" s="632"/>
      <c r="BC87" s="632">
        <f>BC86/2</f>
        <v>20</v>
      </c>
      <c r="BD87" s="632"/>
      <c r="BE87" s="632"/>
      <c r="BF87" s="632"/>
      <c r="BG87" s="632"/>
      <c r="BH87" s="632">
        <f>BH86/2</f>
        <v>20</v>
      </c>
      <c r="BI87" s="632"/>
      <c r="BJ87" s="632"/>
      <c r="BK87" s="632"/>
      <c r="BL87" s="632"/>
      <c r="BM87" s="640">
        <f>BM86/2</f>
        <v>20</v>
      </c>
      <c r="BN87" s="8"/>
      <c r="BO87" s="8"/>
      <c r="BP87" s="8"/>
      <c r="BQ87" s="8"/>
      <c r="BR87" s="8"/>
    </row>
    <row r="88" spans="1:79" hidden="1" outlineLevel="1">
      <c r="B88" s="261" t="s">
        <v>398</v>
      </c>
      <c r="C88" s="12"/>
      <c r="D88" s="130"/>
      <c r="E88" s="130"/>
      <c r="F88" s="130"/>
      <c r="G88" s="130"/>
      <c r="H88" s="130"/>
      <c r="I88" s="130"/>
      <c r="J88" s="130"/>
      <c r="K88" s="130"/>
      <c r="L88" s="130"/>
      <c r="M88" s="130"/>
      <c r="N88" s="130"/>
      <c r="O88" s="130"/>
      <c r="P88" s="130"/>
      <c r="Q88" s="130"/>
      <c r="R88" s="130"/>
      <c r="S88" s="130"/>
      <c r="T88" s="130"/>
      <c r="U88" s="130"/>
      <c r="V88" s="130"/>
      <c r="W88" s="130"/>
      <c r="X88" s="130"/>
      <c r="Y88" s="130"/>
      <c r="Z88" s="130"/>
      <c r="AA88" s="130"/>
      <c r="AB88" s="130"/>
      <c r="AC88" s="130"/>
      <c r="AD88" s="516">
        <v>23.9</v>
      </c>
      <c r="AE88" s="130"/>
      <c r="AF88" s="130"/>
      <c r="AG88" s="130"/>
      <c r="AH88" s="130"/>
      <c r="AI88" s="130">
        <f>AD88*(1+AI89)</f>
        <v>23.9</v>
      </c>
      <c r="AJ88" s="130"/>
      <c r="AK88" s="130"/>
      <c r="AL88" s="130"/>
      <c r="AM88" s="130"/>
      <c r="AN88" s="632">
        <f>AI88*(1+AN89)</f>
        <v>25.094999999999999</v>
      </c>
      <c r="AO88" s="632"/>
      <c r="AP88" s="632"/>
      <c r="AQ88" s="632"/>
      <c r="AR88" s="632"/>
      <c r="AS88" s="632">
        <f>AN88*(1+AS89)</f>
        <v>25.094999999999999</v>
      </c>
      <c r="AT88" s="632"/>
      <c r="AU88" s="632"/>
      <c r="AV88" s="632"/>
      <c r="AW88" s="632"/>
      <c r="AX88" s="632">
        <f>AS88*(1+AX89)</f>
        <v>25.094999999999999</v>
      </c>
      <c r="AY88" s="632"/>
      <c r="AZ88" s="632"/>
      <c r="BA88" s="632"/>
      <c r="BB88" s="632"/>
      <c r="BC88" s="632">
        <f>AX88*(1+BC89)</f>
        <v>25.094999999999999</v>
      </c>
      <c r="BD88" s="632"/>
      <c r="BE88" s="632"/>
      <c r="BF88" s="632"/>
      <c r="BG88" s="632"/>
      <c r="BH88" s="632">
        <f>BC88*(1+BH89)</f>
        <v>25.094999999999999</v>
      </c>
      <c r="BI88" s="632"/>
      <c r="BJ88" s="632"/>
      <c r="BK88" s="632"/>
      <c r="BL88" s="632"/>
      <c r="BM88" s="640">
        <f>BH88*(1+BM89)</f>
        <v>25.094999999999999</v>
      </c>
      <c r="BN88" s="8"/>
      <c r="BO88" s="8"/>
      <c r="BP88" s="8"/>
      <c r="BQ88" s="8"/>
      <c r="BR88" s="8"/>
    </row>
    <row r="89" spans="1:79" hidden="1" outlineLevel="1">
      <c r="B89" s="261"/>
      <c r="C89" s="12"/>
      <c r="D89" s="130"/>
      <c r="E89" s="130"/>
      <c r="F89" s="210"/>
      <c r="G89" s="210"/>
      <c r="H89" s="210"/>
      <c r="I89" s="210"/>
      <c r="J89" s="130"/>
      <c r="K89" s="210"/>
      <c r="L89" s="210"/>
      <c r="M89" s="210"/>
      <c r="N89" s="210"/>
      <c r="O89" s="130"/>
      <c r="P89" s="210"/>
      <c r="Q89" s="210"/>
      <c r="R89" s="210"/>
      <c r="S89" s="210"/>
      <c r="T89" s="130"/>
      <c r="U89" s="210"/>
      <c r="V89" s="210"/>
      <c r="W89" s="210"/>
      <c r="X89" s="210"/>
      <c r="Y89" s="130"/>
      <c r="Z89" s="210"/>
      <c r="AA89" s="210"/>
      <c r="AB89" s="210"/>
      <c r="AC89" s="210"/>
      <c r="AD89" s="130"/>
      <c r="AE89" s="210"/>
      <c r="AF89" s="210"/>
      <c r="AG89" s="210"/>
      <c r="AH89" s="210"/>
      <c r="AI89" s="492">
        <v>0</v>
      </c>
      <c r="AJ89" s="210"/>
      <c r="AK89" s="210"/>
      <c r="AL89" s="210"/>
      <c r="AM89" s="210"/>
      <c r="AN89" s="641">
        <v>0.05</v>
      </c>
      <c r="AO89" s="641"/>
      <c r="AP89" s="641"/>
      <c r="AQ89" s="641"/>
      <c r="AR89" s="641"/>
      <c r="AS89" s="641">
        <v>0</v>
      </c>
      <c r="AT89" s="641"/>
      <c r="AU89" s="641"/>
      <c r="AV89" s="641"/>
      <c r="AW89" s="641"/>
      <c r="AX89" s="641">
        <v>0</v>
      </c>
      <c r="AY89" s="641"/>
      <c r="AZ89" s="641"/>
      <c r="BA89" s="641"/>
      <c r="BB89" s="641"/>
      <c r="BC89" s="641">
        <v>0</v>
      </c>
      <c r="BD89" s="641"/>
      <c r="BE89" s="641"/>
      <c r="BF89" s="641"/>
      <c r="BG89" s="641"/>
      <c r="BH89" s="641">
        <v>0</v>
      </c>
      <c r="BI89" s="641"/>
      <c r="BJ89" s="641"/>
      <c r="BK89" s="641"/>
      <c r="BL89" s="641"/>
      <c r="BM89" s="642">
        <v>0</v>
      </c>
      <c r="BN89" s="8"/>
      <c r="BO89" s="8"/>
      <c r="BP89" s="8"/>
      <c r="BQ89" s="8"/>
      <c r="BR89" s="8"/>
    </row>
    <row r="90" spans="1:79" hidden="1" outlineLevel="1">
      <c r="B90" s="261" t="s">
        <v>501</v>
      </c>
      <c r="C90" s="12"/>
      <c r="D90" s="130"/>
      <c r="E90" s="130"/>
      <c r="F90" s="210"/>
      <c r="G90" s="210"/>
      <c r="H90" s="210"/>
      <c r="I90" s="210"/>
      <c r="J90" s="130"/>
      <c r="K90" s="210"/>
      <c r="L90" s="210"/>
      <c r="M90" s="210"/>
      <c r="N90" s="210"/>
      <c r="O90" s="130"/>
      <c r="P90" s="210"/>
      <c r="Q90" s="210"/>
      <c r="R90" s="210"/>
      <c r="S90" s="210"/>
      <c r="T90" s="130"/>
      <c r="U90" s="210"/>
      <c r="V90" s="210"/>
      <c r="W90" s="210"/>
      <c r="X90" s="210"/>
      <c r="Y90" s="130"/>
      <c r="Z90" s="210"/>
      <c r="AA90" s="210"/>
      <c r="AB90" s="210"/>
      <c r="AC90" s="210"/>
      <c r="AD90" s="130"/>
      <c r="AE90" s="210"/>
      <c r="AF90" s="210"/>
      <c r="AG90" s="210"/>
      <c r="AH90" s="210"/>
      <c r="AI90" s="492"/>
      <c r="AJ90" s="210"/>
      <c r="AK90" s="210"/>
      <c r="AL90" s="210"/>
      <c r="AM90" s="210"/>
      <c r="AN90" s="641"/>
      <c r="AO90" s="641"/>
      <c r="AP90" s="641"/>
      <c r="AQ90" s="641"/>
      <c r="AR90" s="641"/>
      <c r="AS90" s="643">
        <f>'Zurampic-Duzallo P&amp;L'!C13</f>
        <v>10</v>
      </c>
      <c r="AT90" s="644"/>
      <c r="AU90" s="644"/>
      <c r="AV90" s="644"/>
      <c r="AW90" s="644"/>
      <c r="AX90" s="643">
        <f>'Zurampic-Duzallo P&amp;L'!D13</f>
        <v>10.199999999999999</v>
      </c>
      <c r="AY90" s="644"/>
      <c r="AZ90" s="644"/>
      <c r="BA90" s="644"/>
      <c r="BB90" s="644"/>
      <c r="BC90" s="643">
        <f>'Zurampic-Duzallo P&amp;L'!E13</f>
        <v>10.404</v>
      </c>
      <c r="BD90" s="644"/>
      <c r="BE90" s="644"/>
      <c r="BF90" s="644"/>
      <c r="BG90" s="644"/>
      <c r="BH90" s="643">
        <f>'Zurampic-Duzallo P&amp;L'!F13</f>
        <v>10.612080000000001</v>
      </c>
      <c r="BI90" s="644"/>
      <c r="BJ90" s="644"/>
      <c r="BK90" s="644"/>
      <c r="BL90" s="644"/>
      <c r="BM90" s="645">
        <f>'Zurampic-Duzallo P&amp;L'!G13</f>
        <v>10.824321600000001</v>
      </c>
      <c r="BN90" s="8"/>
      <c r="BO90" s="8"/>
      <c r="BP90" s="8"/>
      <c r="BQ90" s="8"/>
      <c r="BR90" s="8"/>
    </row>
    <row r="91" spans="1:79" hidden="1" outlineLevel="1">
      <c r="B91" s="134" t="s">
        <v>264</v>
      </c>
      <c r="C91" s="12"/>
      <c r="D91" s="130"/>
      <c r="E91" s="130"/>
      <c r="F91" s="250"/>
      <c r="G91" s="250"/>
      <c r="H91" s="250"/>
      <c r="I91" s="250"/>
      <c r="J91" s="130">
        <v>35</v>
      </c>
      <c r="K91" s="250"/>
      <c r="L91" s="250"/>
      <c r="M91" s="250"/>
      <c r="N91" s="250"/>
      <c r="O91" s="130">
        <v>40</v>
      </c>
      <c r="P91" s="250"/>
      <c r="Q91" s="250"/>
      <c r="R91" s="250"/>
      <c r="S91" s="250"/>
      <c r="T91" s="104">
        <f>O91*(1+CHOOSE(Linaclotide!$C$2,IS!T94,IS!T95,IS!T96))</f>
        <v>46</v>
      </c>
      <c r="U91" s="104"/>
      <c r="V91" s="104"/>
      <c r="W91" s="104"/>
      <c r="X91" s="104"/>
      <c r="Y91" s="104">
        <f>T91*(1+CHOOSE(Linaclotide!$C$2,IS!Y94,IS!Y95,IS!Y96))</f>
        <v>48.300000000000004</v>
      </c>
      <c r="Z91" s="250"/>
      <c r="AA91" s="250"/>
      <c r="AB91" s="250"/>
      <c r="AC91" s="250"/>
      <c r="AD91" s="516">
        <f>56.3-9</f>
        <v>47.3</v>
      </c>
      <c r="AE91" s="250"/>
      <c r="AF91" s="250"/>
      <c r="AG91" s="250"/>
      <c r="AH91" s="250"/>
      <c r="AI91" s="104">
        <f>AD91*(1+CHOOSE(Linaclotide!$C$2,IS!AI94,IS!AI95,IS!AI96))</f>
        <v>49.664999999999999</v>
      </c>
      <c r="AJ91" s="250"/>
      <c r="AK91" s="250"/>
      <c r="AL91" s="250"/>
      <c r="AM91" s="250"/>
      <c r="AN91" s="646">
        <f>AI91*(1+CHOOSE(Linaclotide!$C$2,IS!AN94,IS!AN95,IS!AN96))</f>
        <v>53.389874999999996</v>
      </c>
      <c r="AO91" s="646"/>
      <c r="AP91" s="646"/>
      <c r="AQ91" s="646"/>
      <c r="AR91" s="646"/>
      <c r="AS91" s="646">
        <v>72.995000000000104</v>
      </c>
      <c r="AT91" s="646"/>
      <c r="AU91" s="646"/>
      <c r="AV91" s="646"/>
      <c r="AW91" s="646"/>
      <c r="AX91" s="646">
        <f>AS91*(1+CHOOSE(Linaclotide!$C$2,IS!AX94,IS!AX95,IS!AX96))</f>
        <v>80.294500000000127</v>
      </c>
      <c r="AY91" s="646"/>
      <c r="AZ91" s="646"/>
      <c r="BA91" s="646"/>
      <c r="BB91" s="646"/>
      <c r="BC91" s="646">
        <f>AX91*(1+CHOOSE(Linaclotide!$C$2,IS!BC94,IS!BC95,IS!BC96))</f>
        <v>96.35340000000015</v>
      </c>
      <c r="BD91" s="646"/>
      <c r="BE91" s="646"/>
      <c r="BF91" s="646"/>
      <c r="BG91" s="646"/>
      <c r="BH91" s="646">
        <f>BC91*(1+CHOOSE(Linaclotide!$C$2,IS!BH94,IS!BH95,IS!BH96))</f>
        <v>91.535730000000143</v>
      </c>
      <c r="BI91" s="646"/>
      <c r="BJ91" s="646"/>
      <c r="BK91" s="646"/>
      <c r="BL91" s="646"/>
      <c r="BM91" s="647">
        <f>BH91*(1+CHOOSE(Linaclotide!$C$2,IS!BM94,IS!BM95,IS!BM96))</f>
        <v>86.958943500000132</v>
      </c>
      <c r="BN91" s="8"/>
      <c r="BO91" s="8"/>
      <c r="BP91" s="8"/>
      <c r="BQ91" s="8"/>
      <c r="BR91" s="8"/>
    </row>
    <row r="92" spans="1:79" hidden="1" outlineLevel="1">
      <c r="B92" s="261" t="s">
        <v>399</v>
      </c>
      <c r="C92" s="12"/>
      <c r="D92" s="130"/>
      <c r="E92" s="130"/>
      <c r="F92" s="250"/>
      <c r="G92" s="250"/>
      <c r="H92" s="250"/>
      <c r="I92" s="250"/>
      <c r="J92" s="130"/>
      <c r="K92" s="250"/>
      <c r="L92" s="250"/>
      <c r="M92" s="250"/>
      <c r="N92" s="250"/>
      <c r="O92" s="130"/>
      <c r="P92" s="250"/>
      <c r="Q92" s="250"/>
      <c r="R92" s="250"/>
      <c r="S92" s="250"/>
      <c r="T92" s="250"/>
      <c r="U92" s="250"/>
      <c r="V92" s="250"/>
      <c r="W92" s="250"/>
      <c r="X92" s="250"/>
      <c r="Y92" s="250"/>
      <c r="Z92" s="250"/>
      <c r="AA92" s="250"/>
      <c r="AB92" s="250"/>
      <c r="AC92" s="250"/>
      <c r="AD92" s="104"/>
      <c r="AE92" s="250"/>
      <c r="AF92" s="250"/>
      <c r="AG92" s="250"/>
      <c r="AH92" s="250"/>
      <c r="AI92" s="249">
        <f>(AI91)/AI99</f>
        <v>0.53745346723227427</v>
      </c>
      <c r="AJ92" s="250"/>
      <c r="AK92" s="250"/>
      <c r="AL92" s="250"/>
      <c r="AM92" s="250"/>
      <c r="AN92" s="648"/>
      <c r="AO92" s="648"/>
      <c r="AP92" s="648"/>
      <c r="AQ92" s="648"/>
      <c r="AR92" s="648"/>
      <c r="AS92" s="648"/>
      <c r="AT92" s="648"/>
      <c r="AU92" s="648"/>
      <c r="AV92" s="648"/>
      <c r="AW92" s="648"/>
      <c r="AX92" s="648"/>
      <c r="AY92" s="648"/>
      <c r="AZ92" s="648"/>
      <c r="BA92" s="648"/>
      <c r="BB92" s="648"/>
      <c r="BC92" s="648"/>
      <c r="BD92" s="648"/>
      <c r="BE92" s="648"/>
      <c r="BF92" s="648"/>
      <c r="BG92" s="648"/>
      <c r="BH92" s="648"/>
      <c r="BI92" s="648"/>
      <c r="BJ92" s="648"/>
      <c r="BK92" s="648"/>
      <c r="BL92" s="648"/>
      <c r="BM92" s="649"/>
      <c r="BN92" s="8"/>
      <c r="BO92" s="8"/>
      <c r="BP92" s="8"/>
      <c r="BQ92" s="8"/>
      <c r="BR92" s="8"/>
    </row>
    <row r="93" spans="1:79" hidden="1" outlineLevel="1">
      <c r="B93" s="134" t="s">
        <v>265</v>
      </c>
      <c r="C93" s="12"/>
      <c r="D93" s="130"/>
      <c r="E93" s="130"/>
      <c r="F93" s="130"/>
      <c r="G93" s="130"/>
      <c r="H93" s="130"/>
      <c r="I93" s="130"/>
      <c r="J93" s="130"/>
      <c r="K93" s="130"/>
      <c r="L93" s="130"/>
      <c r="M93" s="130"/>
      <c r="N93" s="130"/>
      <c r="O93" s="130"/>
      <c r="P93" s="130"/>
      <c r="Q93" s="130"/>
      <c r="R93" s="130"/>
      <c r="S93" s="130"/>
      <c r="T93" s="130"/>
      <c r="U93" s="130"/>
      <c r="V93" s="130"/>
      <c r="W93" s="130"/>
      <c r="X93" s="130"/>
      <c r="Y93" s="130"/>
      <c r="Z93" s="130"/>
      <c r="AA93" s="130"/>
      <c r="AB93" s="130"/>
      <c r="AC93" s="130"/>
      <c r="AD93" s="130"/>
      <c r="AE93" s="130"/>
      <c r="AF93" s="130"/>
      <c r="AG93" s="130"/>
      <c r="AH93" s="130"/>
      <c r="AI93" s="130"/>
      <c r="AJ93" s="130"/>
      <c r="AK93" s="130"/>
      <c r="AL93" s="130"/>
      <c r="AM93" s="130"/>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40"/>
      <c r="BN93" s="8"/>
      <c r="BO93" s="8"/>
      <c r="BP93" s="8"/>
      <c r="BQ93" s="8"/>
      <c r="BR93" s="8"/>
    </row>
    <row r="94" spans="1:79" hidden="1" outlineLevel="1">
      <c r="B94" s="134" t="s">
        <v>344</v>
      </c>
      <c r="C94" s="12"/>
      <c r="D94" s="130"/>
      <c r="E94" s="130"/>
      <c r="F94" s="210"/>
      <c r="G94" s="210"/>
      <c r="H94" s="210"/>
      <c r="I94" s="210"/>
      <c r="J94" s="130"/>
      <c r="K94" s="210"/>
      <c r="L94" s="210"/>
      <c r="M94" s="210"/>
      <c r="N94" s="210"/>
      <c r="O94" s="130"/>
      <c r="P94" s="210"/>
      <c r="Q94" s="210"/>
      <c r="R94" s="210"/>
      <c r="S94" s="210"/>
      <c r="T94" s="495">
        <v>0.15</v>
      </c>
      <c r="U94" s="495"/>
      <c r="V94" s="495"/>
      <c r="W94" s="495"/>
      <c r="X94" s="495"/>
      <c r="Y94" s="495">
        <v>0.05</v>
      </c>
      <c r="Z94" s="210"/>
      <c r="AA94" s="210"/>
      <c r="AB94" s="210"/>
      <c r="AC94" s="210"/>
      <c r="AD94" s="251"/>
      <c r="AE94" s="210"/>
      <c r="AF94" s="210"/>
      <c r="AG94" s="210"/>
      <c r="AH94" s="210"/>
      <c r="AI94" s="492">
        <f>AI95</f>
        <v>0.05</v>
      </c>
      <c r="AJ94" s="210"/>
      <c r="AK94" s="210"/>
      <c r="AL94" s="210"/>
      <c r="AM94" s="210"/>
      <c r="AN94" s="641">
        <v>0.05</v>
      </c>
      <c r="AO94" s="641"/>
      <c r="AP94" s="641"/>
      <c r="AQ94" s="641"/>
      <c r="AR94" s="641"/>
      <c r="AS94" s="641">
        <f>AS95</f>
        <v>0.367206797168941</v>
      </c>
      <c r="AT94" s="641"/>
      <c r="AU94" s="641"/>
      <c r="AV94" s="641"/>
      <c r="AW94" s="641"/>
      <c r="AX94" s="641">
        <v>0.1</v>
      </c>
      <c r="AY94" s="641"/>
      <c r="AZ94" s="641"/>
      <c r="BA94" s="641"/>
      <c r="BB94" s="641"/>
      <c r="BC94" s="641">
        <v>0.1</v>
      </c>
      <c r="BD94" s="641"/>
      <c r="BE94" s="641"/>
      <c r="BF94" s="641"/>
      <c r="BG94" s="641"/>
      <c r="BH94" s="641">
        <f>BC94</f>
        <v>0.1</v>
      </c>
      <c r="BI94" s="641"/>
      <c r="BJ94" s="641"/>
      <c r="BK94" s="641"/>
      <c r="BL94" s="641"/>
      <c r="BM94" s="642">
        <f>BH94</f>
        <v>0.1</v>
      </c>
      <c r="BN94" s="8"/>
      <c r="BO94" s="8"/>
      <c r="BP94" s="8"/>
      <c r="BQ94" s="8"/>
      <c r="BR94" s="8"/>
    </row>
    <row r="95" spans="1:79" hidden="1" outlineLevel="1">
      <c r="B95" s="134" t="s">
        <v>345</v>
      </c>
      <c r="C95" s="12"/>
      <c r="D95" s="130"/>
      <c r="E95" s="130"/>
      <c r="F95" s="210"/>
      <c r="G95" s="210"/>
      <c r="H95" s="210"/>
      <c r="I95" s="210"/>
      <c r="J95" s="130"/>
      <c r="K95" s="210"/>
      <c r="L95" s="210"/>
      <c r="M95" s="210"/>
      <c r="N95" s="210"/>
      <c r="O95" s="126">
        <f>O91/J91-1</f>
        <v>0.14285714285714279</v>
      </c>
      <c r="P95" s="210"/>
      <c r="Q95" s="210"/>
      <c r="R95" s="210"/>
      <c r="S95" s="210"/>
      <c r="T95" s="495">
        <v>0.15</v>
      </c>
      <c r="U95" s="495"/>
      <c r="V95" s="495"/>
      <c r="W95" s="495"/>
      <c r="X95" s="495"/>
      <c r="Y95" s="495">
        <v>0.05</v>
      </c>
      <c r="Z95" s="210"/>
      <c r="AA95" s="210"/>
      <c r="AB95" s="210"/>
      <c r="AC95" s="210"/>
      <c r="AD95" s="252">
        <f>AD91/Y91-1</f>
        <v>-2.0703933747412195E-2</v>
      </c>
      <c r="AE95" s="210"/>
      <c r="AF95" s="210"/>
      <c r="AG95" s="210"/>
      <c r="AH95" s="210"/>
      <c r="AI95" s="517">
        <v>0.05</v>
      </c>
      <c r="AJ95" s="210"/>
      <c r="AK95" s="210"/>
      <c r="AL95" s="210"/>
      <c r="AM95" s="210"/>
      <c r="AN95" s="641">
        <v>7.4999999999999997E-2</v>
      </c>
      <c r="AO95" s="641"/>
      <c r="AP95" s="641"/>
      <c r="AQ95" s="641"/>
      <c r="AR95" s="641"/>
      <c r="AS95" s="641">
        <v>0.367206797168941</v>
      </c>
      <c r="AT95" s="641"/>
      <c r="AU95" s="641"/>
      <c r="AV95" s="641"/>
      <c r="AW95" s="641"/>
      <c r="AX95" s="641">
        <v>0.1</v>
      </c>
      <c r="AY95" s="641"/>
      <c r="AZ95" s="641"/>
      <c r="BA95" s="641"/>
      <c r="BB95" s="641"/>
      <c r="BC95" s="641">
        <v>0.2</v>
      </c>
      <c r="BD95" s="641"/>
      <c r="BE95" s="641"/>
      <c r="BF95" s="641"/>
      <c r="BG95" s="641"/>
      <c r="BH95" s="641">
        <v>-0.05</v>
      </c>
      <c r="BI95" s="641"/>
      <c r="BJ95" s="641"/>
      <c r="BK95" s="641"/>
      <c r="BL95" s="641"/>
      <c r="BM95" s="642">
        <v>-0.05</v>
      </c>
      <c r="BN95" s="8"/>
      <c r="BO95" s="8"/>
      <c r="BP95" s="8"/>
      <c r="BQ95" s="8"/>
      <c r="BR95" s="8"/>
    </row>
    <row r="96" spans="1:79" hidden="1" outlineLevel="1">
      <c r="B96" s="135" t="s">
        <v>346</v>
      </c>
      <c r="C96" s="43"/>
      <c r="D96" s="147"/>
      <c r="E96" s="147"/>
      <c r="F96" s="209"/>
      <c r="G96" s="209"/>
      <c r="H96" s="209"/>
      <c r="I96" s="209"/>
      <c r="J96" s="147"/>
      <c r="K96" s="209"/>
      <c r="L96" s="209"/>
      <c r="M96" s="209"/>
      <c r="N96" s="209"/>
      <c r="O96" s="147"/>
      <c r="P96" s="209"/>
      <c r="Q96" s="209"/>
      <c r="R96" s="209"/>
      <c r="S96" s="209"/>
      <c r="T96" s="496">
        <v>0.15</v>
      </c>
      <c r="U96" s="496"/>
      <c r="V96" s="496"/>
      <c r="W96" s="496"/>
      <c r="X96" s="496"/>
      <c r="Y96" s="496">
        <v>0.05</v>
      </c>
      <c r="Z96" s="209"/>
      <c r="AA96" s="209"/>
      <c r="AB96" s="209"/>
      <c r="AC96" s="209"/>
      <c r="AD96" s="253"/>
      <c r="AE96" s="209"/>
      <c r="AF96" s="209"/>
      <c r="AG96" s="209"/>
      <c r="AH96" s="209"/>
      <c r="AI96" s="493">
        <v>0</v>
      </c>
      <c r="AJ96" s="209"/>
      <c r="AK96" s="209"/>
      <c r="AL96" s="209"/>
      <c r="AM96" s="209"/>
      <c r="AN96" s="650">
        <v>0</v>
      </c>
      <c r="AO96" s="650"/>
      <c r="AP96" s="650"/>
      <c r="AQ96" s="650"/>
      <c r="AR96" s="650"/>
      <c r="AS96" s="650">
        <f>AS95</f>
        <v>0.367206797168941</v>
      </c>
      <c r="AT96" s="650"/>
      <c r="AU96" s="650"/>
      <c r="AV96" s="650"/>
      <c r="AW96" s="650"/>
      <c r="AX96" s="650">
        <v>-0.2</v>
      </c>
      <c r="AY96" s="650">
        <v>-0.15</v>
      </c>
      <c r="AZ96" s="650">
        <v>-0.15</v>
      </c>
      <c r="BA96" s="650">
        <v>-0.15</v>
      </c>
      <c r="BB96" s="650">
        <v>-0.15</v>
      </c>
      <c r="BC96" s="650">
        <v>-0.3</v>
      </c>
      <c r="BD96" s="650">
        <v>-0.5</v>
      </c>
      <c r="BE96" s="650">
        <v>-0.5</v>
      </c>
      <c r="BF96" s="650">
        <v>-0.5</v>
      </c>
      <c r="BG96" s="650">
        <v>-0.5</v>
      </c>
      <c r="BH96" s="650">
        <f>BC96</f>
        <v>-0.3</v>
      </c>
      <c r="BI96" s="650">
        <v>-0.5</v>
      </c>
      <c r="BJ96" s="650">
        <v>-0.5</v>
      </c>
      <c r="BK96" s="650">
        <v>-0.5</v>
      </c>
      <c r="BL96" s="650">
        <v>-0.5</v>
      </c>
      <c r="BM96" s="651">
        <f>BH96</f>
        <v>-0.3</v>
      </c>
      <c r="BN96" s="8"/>
      <c r="BO96" s="8"/>
      <c r="BP96" s="8"/>
      <c r="BQ96" s="8"/>
      <c r="BR96" s="8"/>
    </row>
    <row r="97" spans="1:70" hidden="1" outlineLevel="1">
      <c r="B97" s="12"/>
      <c r="C97" s="12"/>
      <c r="D97" s="130"/>
      <c r="E97" s="130"/>
      <c r="F97" s="362"/>
      <c r="G97" s="362"/>
      <c r="H97" s="362"/>
      <c r="I97" s="362"/>
      <c r="J97" s="130"/>
      <c r="K97" s="362"/>
      <c r="L97" s="362"/>
      <c r="M97" s="362"/>
      <c r="N97" s="362"/>
      <c r="O97" s="130"/>
      <c r="P97" s="362"/>
      <c r="Q97" s="362"/>
      <c r="R97" s="362"/>
      <c r="S97" s="362"/>
      <c r="T97" s="362"/>
      <c r="U97" s="362"/>
      <c r="V97" s="362"/>
      <c r="W97" s="362"/>
      <c r="X97" s="362"/>
      <c r="Y97" s="362"/>
      <c r="Z97" s="362"/>
      <c r="AA97" s="362"/>
      <c r="AB97" s="362"/>
      <c r="AC97" s="362"/>
      <c r="AD97" s="362"/>
      <c r="AE97" s="362"/>
      <c r="AF97" s="362"/>
      <c r="AG97" s="362"/>
      <c r="AH97" s="362"/>
      <c r="AI97" s="362"/>
      <c r="AJ97" s="362"/>
      <c r="AK97" s="362"/>
      <c r="AL97" s="362"/>
      <c r="AM97" s="362"/>
      <c r="AN97" s="652"/>
      <c r="AO97" s="652"/>
      <c r="AP97" s="652"/>
      <c r="AQ97" s="652"/>
      <c r="AR97" s="652"/>
      <c r="AS97" s="652"/>
      <c r="AT97" s="652"/>
      <c r="AU97" s="652"/>
      <c r="AV97" s="652"/>
      <c r="AW97" s="652"/>
      <c r="AX97" s="652"/>
      <c r="AY97" s="652"/>
      <c r="AZ97" s="652"/>
      <c r="BA97" s="652"/>
      <c r="BB97" s="652"/>
      <c r="BC97" s="652"/>
      <c r="BD97" s="652"/>
      <c r="BE97" s="652"/>
      <c r="BF97" s="652"/>
      <c r="BG97" s="652"/>
      <c r="BH97" s="652"/>
      <c r="BI97" s="652"/>
      <c r="BJ97" s="652"/>
      <c r="BK97" s="652"/>
      <c r="BL97" s="652"/>
      <c r="BM97" s="652"/>
      <c r="BN97" s="8"/>
      <c r="BO97" s="8"/>
      <c r="BP97" s="8"/>
      <c r="BQ97" s="8"/>
      <c r="BR97" s="8"/>
    </row>
    <row r="98" spans="1:70" hidden="1" outlineLevel="1">
      <c r="A98" s="15"/>
      <c r="B98" s="15" t="s">
        <v>347</v>
      </c>
      <c r="C98" s="15"/>
      <c r="D98" s="151"/>
      <c r="E98" s="151"/>
      <c r="F98" s="151"/>
      <c r="G98" s="151"/>
      <c r="H98" s="151"/>
      <c r="I98" s="151"/>
      <c r="J98" s="151">
        <f>J87+J91</f>
        <v>77.5</v>
      </c>
      <c r="K98" s="151"/>
      <c r="L98" s="151"/>
      <c r="M98" s="151"/>
      <c r="N98" s="151"/>
      <c r="O98" s="151">
        <f>O87+O91</f>
        <v>77.5</v>
      </c>
      <c r="P98" s="151"/>
      <c r="Q98" s="151"/>
      <c r="R98" s="151"/>
      <c r="S98" s="151"/>
      <c r="T98" s="151">
        <f>T87+T91</f>
        <v>81</v>
      </c>
      <c r="U98" s="151"/>
      <c r="V98" s="151"/>
      <c r="W98" s="151"/>
      <c r="X98" s="151"/>
      <c r="Y98" s="151">
        <f>Y87+Y91</f>
        <v>103.30000000000001</v>
      </c>
      <c r="Z98" s="151"/>
      <c r="AA98" s="151"/>
      <c r="AB98" s="151"/>
      <c r="AC98" s="151"/>
      <c r="AD98" s="151">
        <f>AD87+AD91+AD88</f>
        <v>93.4</v>
      </c>
      <c r="AE98" s="151"/>
      <c r="AF98" s="151"/>
      <c r="AG98" s="151"/>
      <c r="AH98" s="151"/>
      <c r="AI98" s="151">
        <f>AI87+AI91+AI88</f>
        <v>98.564999999999998</v>
      </c>
      <c r="AJ98" s="151"/>
      <c r="AK98" s="151"/>
      <c r="AL98" s="151"/>
      <c r="AM98" s="151"/>
      <c r="AN98" s="653">
        <f>AN87+AN91+AN88</f>
        <v>98.484874999999988</v>
      </c>
      <c r="AO98" s="653"/>
      <c r="AP98" s="653"/>
      <c r="AQ98" s="653"/>
      <c r="AR98" s="653"/>
      <c r="AS98" s="653">
        <f>AS87+AS91+AS88+AS90</f>
        <v>128.09000000000009</v>
      </c>
      <c r="AT98" s="653"/>
      <c r="AU98" s="653"/>
      <c r="AV98" s="653"/>
      <c r="AW98" s="653"/>
      <c r="AX98" s="653">
        <f>AX87+AX91+AX88+AX90</f>
        <v>135.58950000000013</v>
      </c>
      <c r="AY98" s="653"/>
      <c r="AZ98" s="653"/>
      <c r="BA98" s="653"/>
      <c r="BB98" s="653"/>
      <c r="BC98" s="653">
        <f>BC87+BC91+BC88+BC90</f>
        <v>151.85240000000016</v>
      </c>
      <c r="BD98" s="653"/>
      <c r="BE98" s="653"/>
      <c r="BF98" s="653"/>
      <c r="BG98" s="653"/>
      <c r="BH98" s="653">
        <f>BH87+BH91+BH88+BH90</f>
        <v>147.24281000000013</v>
      </c>
      <c r="BI98" s="653"/>
      <c r="BJ98" s="653"/>
      <c r="BK98" s="653"/>
      <c r="BL98" s="653"/>
      <c r="BM98" s="653">
        <f>BM87+BM91+BM88+BM90</f>
        <v>142.87826510000011</v>
      </c>
      <c r="BN98" s="15"/>
      <c r="BO98" s="15"/>
      <c r="BP98" s="15"/>
      <c r="BQ98" s="15"/>
      <c r="BR98" s="15"/>
    </row>
    <row r="99" spans="1:70" hidden="1" outlineLevel="1">
      <c r="B99" s="150" t="s">
        <v>266</v>
      </c>
      <c r="C99" s="12"/>
      <c r="D99" s="130"/>
      <c r="E99" s="130"/>
      <c r="F99" s="420"/>
      <c r="G99" s="420"/>
      <c r="H99" s="420"/>
      <c r="I99" s="420"/>
      <c r="J99" s="420">
        <f>J36</f>
        <v>76.099999999999994</v>
      </c>
      <c r="K99" s="420"/>
      <c r="L99" s="420"/>
      <c r="M99" s="420"/>
      <c r="N99" s="420"/>
      <c r="O99" s="420">
        <f>O36</f>
        <v>77.453999999999994</v>
      </c>
      <c r="P99" s="420"/>
      <c r="Q99" s="420"/>
      <c r="R99" s="420"/>
      <c r="S99" s="420"/>
      <c r="T99" s="420">
        <f>T36</f>
        <v>80.022000000000006</v>
      </c>
      <c r="U99" s="420"/>
      <c r="V99" s="420"/>
      <c r="W99" s="420"/>
      <c r="X99" s="420"/>
      <c r="Y99" s="420">
        <f>Y36</f>
        <v>104.39400000000001</v>
      </c>
      <c r="Z99" s="420"/>
      <c r="AA99" s="420"/>
      <c r="AB99" s="420"/>
      <c r="AC99" s="420"/>
      <c r="AD99" s="420">
        <f>AD36</f>
        <v>93.199999999999989</v>
      </c>
      <c r="AE99" s="420"/>
      <c r="AF99" s="420"/>
      <c r="AG99" s="420"/>
      <c r="AH99" s="420"/>
      <c r="AI99" s="420">
        <f>AI36</f>
        <v>92.407999999999987</v>
      </c>
      <c r="AJ99" s="420"/>
      <c r="AK99" s="420"/>
      <c r="AL99" s="420"/>
      <c r="AM99" s="420"/>
      <c r="AN99" s="654">
        <f>AN36</f>
        <v>98.680999999999983</v>
      </c>
      <c r="AO99" s="654"/>
      <c r="AP99" s="654"/>
      <c r="AQ99" s="654"/>
      <c r="AR99" s="654"/>
      <c r="AS99" s="654">
        <f>AS36</f>
        <v>128.148</v>
      </c>
      <c r="AT99" s="654"/>
      <c r="AU99" s="654"/>
      <c r="AV99" s="654"/>
      <c r="AW99" s="654"/>
      <c r="AX99" s="654">
        <f>AX36</f>
        <v>137.72799999999998</v>
      </c>
      <c r="AY99" s="654"/>
      <c r="AZ99" s="654"/>
      <c r="BA99" s="654"/>
      <c r="BB99" s="654"/>
      <c r="BC99" s="654">
        <f>BC36</f>
        <v>151.85240000000016</v>
      </c>
      <c r="BD99" s="654"/>
      <c r="BE99" s="654"/>
      <c r="BF99" s="654"/>
      <c r="BG99" s="654"/>
      <c r="BH99" s="654">
        <f>BH36</f>
        <v>147.24281000000013</v>
      </c>
      <c r="BI99" s="654"/>
      <c r="BJ99" s="654"/>
      <c r="BK99" s="654"/>
      <c r="BL99" s="654"/>
      <c r="BM99" s="654">
        <f>BM36</f>
        <v>142.87826510000011</v>
      </c>
      <c r="BN99" s="8"/>
      <c r="BO99" s="8"/>
      <c r="BP99" s="8"/>
      <c r="BQ99" s="8"/>
      <c r="BR99" s="8"/>
    </row>
    <row r="100" spans="1:70" hidden="1" outlineLevel="1">
      <c r="AN100" s="655"/>
      <c r="AO100" s="655"/>
      <c r="AP100" s="655"/>
      <c r="AQ100" s="655"/>
      <c r="AR100" s="655"/>
      <c r="AS100" s="655"/>
      <c r="AT100" s="655"/>
      <c r="AU100" s="655"/>
      <c r="AV100" s="655"/>
      <c r="AW100" s="655"/>
      <c r="AX100" s="655"/>
      <c r="AY100" s="655"/>
      <c r="AZ100" s="655"/>
      <c r="BA100" s="655"/>
      <c r="BB100" s="655"/>
      <c r="BC100" s="655"/>
      <c r="BD100" s="655"/>
      <c r="BE100" s="655"/>
      <c r="BF100" s="655"/>
      <c r="BG100" s="655"/>
      <c r="BH100" s="655"/>
      <c r="BI100" s="655"/>
      <c r="BJ100" s="655"/>
      <c r="BK100" s="655"/>
      <c r="BL100" s="655"/>
      <c r="BM100" s="655"/>
    </row>
    <row r="101" spans="1:70" hidden="1" outlineLevel="1">
      <c r="B101" s="15" t="s">
        <v>15</v>
      </c>
      <c r="C101" s="12"/>
      <c r="D101" s="130"/>
      <c r="E101" s="130"/>
      <c r="F101" s="420"/>
      <c r="G101" s="420"/>
      <c r="H101" s="420"/>
      <c r="I101" s="420"/>
      <c r="J101" s="420"/>
      <c r="K101" s="420"/>
      <c r="L101" s="420"/>
      <c r="M101" s="420"/>
      <c r="N101" s="420"/>
      <c r="O101" s="420"/>
      <c r="P101" s="420"/>
      <c r="Q101" s="420"/>
      <c r="R101" s="420"/>
      <c r="S101" s="420"/>
      <c r="T101" s="420"/>
      <c r="U101" s="420"/>
      <c r="V101" s="420"/>
      <c r="W101" s="420"/>
      <c r="X101" s="420"/>
      <c r="Y101" s="420"/>
      <c r="Z101" s="420"/>
      <c r="AA101" s="420"/>
      <c r="AB101" s="420"/>
      <c r="AC101" s="420"/>
      <c r="AD101" s="420"/>
      <c r="AE101" s="420"/>
      <c r="AF101" s="420"/>
      <c r="AG101" s="420"/>
      <c r="AH101" s="420"/>
      <c r="AI101" s="420"/>
      <c r="AJ101" s="420"/>
      <c r="AK101" s="420"/>
      <c r="AL101" s="420"/>
      <c r="AM101" s="420"/>
      <c r="AN101" s="654"/>
      <c r="AO101" s="654"/>
      <c r="AP101" s="654"/>
      <c r="AQ101" s="654"/>
      <c r="AR101" s="654"/>
      <c r="AS101" s="654"/>
      <c r="AT101" s="654"/>
      <c r="AU101" s="654"/>
      <c r="AV101" s="654"/>
      <c r="AW101" s="654"/>
      <c r="AX101" s="654"/>
      <c r="AY101" s="654"/>
      <c r="AZ101" s="654"/>
      <c r="BA101" s="654"/>
      <c r="BB101" s="654"/>
      <c r="BC101" s="654"/>
      <c r="BD101" s="654"/>
      <c r="BE101" s="654"/>
      <c r="BF101" s="654"/>
      <c r="BG101" s="654"/>
      <c r="BH101" s="654"/>
      <c r="BI101" s="654"/>
      <c r="BJ101" s="654"/>
      <c r="BK101" s="654"/>
      <c r="BL101" s="654"/>
      <c r="BM101" s="654"/>
      <c r="BN101" s="8"/>
      <c r="BO101" s="8"/>
      <c r="BP101" s="8"/>
      <c r="BQ101" s="8"/>
      <c r="BR101" s="8"/>
    </row>
    <row r="102" spans="1:70" hidden="1" outlineLevel="1">
      <c r="B102" s="84" t="s">
        <v>267</v>
      </c>
      <c r="C102" s="13"/>
      <c r="D102" s="149"/>
      <c r="E102" s="149"/>
      <c r="F102" s="149"/>
      <c r="G102" s="149"/>
      <c r="H102" s="149"/>
      <c r="I102" s="149"/>
      <c r="J102" s="149">
        <f>Linaclotide!E98</f>
        <v>0</v>
      </c>
      <c r="K102" s="149"/>
      <c r="L102" s="149"/>
      <c r="M102" s="149"/>
      <c r="N102" s="149"/>
      <c r="O102" s="149">
        <f>Linaclotide!F98</f>
        <v>0</v>
      </c>
      <c r="P102" s="149"/>
      <c r="Q102" s="149"/>
      <c r="R102" s="149"/>
      <c r="S102" s="149"/>
      <c r="T102" s="149">
        <f>Linaclotide!G98</f>
        <v>0</v>
      </c>
      <c r="U102" s="149"/>
      <c r="V102" s="149"/>
      <c r="W102" s="149"/>
      <c r="X102" s="149"/>
      <c r="Y102" s="149">
        <f>Linaclotide!H99</f>
        <v>7.5</v>
      </c>
      <c r="Z102" s="149"/>
      <c r="AA102" s="149"/>
      <c r="AB102" s="149"/>
      <c r="AC102" s="149"/>
      <c r="AD102" s="149">
        <f>Linaclotide!I99</f>
        <v>33.75</v>
      </c>
      <c r="AE102" s="149"/>
      <c r="AF102" s="149"/>
      <c r="AG102" s="149"/>
      <c r="AH102" s="149"/>
      <c r="AI102" s="149">
        <f>Linaclotide!J99</f>
        <v>33.75</v>
      </c>
      <c r="AJ102" s="149"/>
      <c r="AK102" s="149"/>
      <c r="AL102" s="149"/>
      <c r="AM102" s="149"/>
      <c r="AN102" s="638">
        <f>Linaclotide!K99</f>
        <v>34.425000000000004</v>
      </c>
      <c r="AO102" s="638"/>
      <c r="AP102" s="638"/>
      <c r="AQ102" s="638"/>
      <c r="AR102" s="638"/>
      <c r="AS102" s="638">
        <f>Linaclotide!L99</f>
        <v>35.113500000000002</v>
      </c>
      <c r="AT102" s="638"/>
      <c r="AU102" s="638"/>
      <c r="AV102" s="638"/>
      <c r="AW102" s="638"/>
      <c r="AX102" s="638">
        <f>Linaclotide!M99</f>
        <v>29.846475000000005</v>
      </c>
      <c r="AY102" s="638"/>
      <c r="AZ102" s="638"/>
      <c r="BA102" s="638"/>
      <c r="BB102" s="638"/>
      <c r="BC102" s="638">
        <f>Linaclotide!N99</f>
        <v>30.443404500000003</v>
      </c>
      <c r="BD102" s="638"/>
      <c r="BE102" s="638"/>
      <c r="BF102" s="638"/>
      <c r="BG102" s="638"/>
      <c r="BH102" s="638">
        <f>Linaclotide!O99</f>
        <v>31.052272590000001</v>
      </c>
      <c r="BI102" s="638"/>
      <c r="BJ102" s="638"/>
      <c r="BK102" s="638"/>
      <c r="BL102" s="638"/>
      <c r="BM102" s="639">
        <f>Linaclotide!P99</f>
        <v>31.673318041799998</v>
      </c>
      <c r="BN102" s="8"/>
      <c r="BO102" s="8"/>
      <c r="BP102" s="8"/>
      <c r="BQ102" s="8"/>
      <c r="BR102" s="8"/>
    </row>
    <row r="103" spans="1:70" hidden="1" outlineLevel="1">
      <c r="B103" s="134" t="s">
        <v>269</v>
      </c>
      <c r="C103" s="12"/>
      <c r="D103" s="130"/>
      <c r="E103" s="130"/>
      <c r="F103" s="130"/>
      <c r="G103" s="130"/>
      <c r="H103" s="130"/>
      <c r="I103" s="130"/>
      <c r="J103" s="130"/>
      <c r="K103" s="130"/>
      <c r="L103" s="130"/>
      <c r="M103" s="130"/>
      <c r="N103" s="130"/>
      <c r="O103" s="130"/>
      <c r="P103" s="130"/>
      <c r="Q103" s="130"/>
      <c r="R103" s="130"/>
      <c r="S103" s="130"/>
      <c r="T103" s="130">
        <f>T104*Linaclotide!G105</f>
        <v>0</v>
      </c>
      <c r="U103" s="130"/>
      <c r="V103" s="130"/>
      <c r="W103" s="130"/>
      <c r="X103" s="130"/>
      <c r="Y103" s="130">
        <f>Y104*Linaclotide!H105</f>
        <v>5</v>
      </c>
      <c r="Z103" s="130"/>
      <c r="AA103" s="130"/>
      <c r="AB103" s="130"/>
      <c r="AC103" s="130"/>
      <c r="AD103" s="130">
        <f>AD104*Linaclotide!I105</f>
        <v>11.25</v>
      </c>
      <c r="AE103" s="130"/>
      <c r="AF103" s="130"/>
      <c r="AG103" s="130"/>
      <c r="AH103" s="130"/>
      <c r="AI103" s="130">
        <f>AI104*Linaclotide!J105</f>
        <v>17.5</v>
      </c>
      <c r="AJ103" s="130"/>
      <c r="AK103" s="130"/>
      <c r="AL103" s="130"/>
      <c r="AM103" s="130"/>
      <c r="AN103" s="643">
        <f>AN104*Linaclotide!K105</f>
        <v>15.5</v>
      </c>
      <c r="AO103" s="643"/>
      <c r="AP103" s="643"/>
      <c r="AQ103" s="643"/>
      <c r="AR103" s="643"/>
      <c r="AS103" s="643">
        <f>AS104*Linaclotide!L105</f>
        <v>17.5</v>
      </c>
      <c r="AT103" s="643"/>
      <c r="AU103" s="643"/>
      <c r="AV103" s="643"/>
      <c r="AW103" s="643"/>
      <c r="AX103" s="643">
        <f>AX104*Linaclotide!M105</f>
        <v>17.5</v>
      </c>
      <c r="AY103" s="643"/>
      <c r="AZ103" s="643"/>
      <c r="BA103" s="643"/>
      <c r="BB103" s="643"/>
      <c r="BC103" s="643">
        <f>BC104*Linaclotide!N105</f>
        <v>12.5</v>
      </c>
      <c r="BD103" s="643"/>
      <c r="BE103" s="643"/>
      <c r="BF103" s="643"/>
      <c r="BG103" s="643"/>
      <c r="BH103" s="643">
        <f>BH104*Linaclotide!O105</f>
        <v>12.5</v>
      </c>
      <c r="BI103" s="643"/>
      <c r="BJ103" s="643"/>
      <c r="BK103" s="643"/>
      <c r="BL103" s="643"/>
      <c r="BM103" s="645">
        <f>BM104*Linaclotide!P105</f>
        <v>12.5</v>
      </c>
      <c r="BN103" s="8"/>
      <c r="BO103" s="8"/>
      <c r="BP103" s="8"/>
      <c r="BQ103" s="8"/>
      <c r="BR103" s="8"/>
    </row>
    <row r="104" spans="1:70" hidden="1" outlineLevel="1">
      <c r="B104" s="261" t="s">
        <v>268</v>
      </c>
      <c r="C104" s="12" t="s">
        <v>0</v>
      </c>
      <c r="D104" s="130"/>
      <c r="E104" s="130"/>
      <c r="F104" s="210"/>
      <c r="G104" s="210"/>
      <c r="H104" s="210"/>
      <c r="I104" s="210"/>
      <c r="J104" s="130"/>
      <c r="K104" s="210"/>
      <c r="L104" s="210"/>
      <c r="M104" s="210"/>
      <c r="N104" s="210"/>
      <c r="O104" s="130"/>
      <c r="P104" s="210"/>
      <c r="Q104" s="210"/>
      <c r="R104" s="210"/>
      <c r="S104" s="210"/>
      <c r="T104" s="210">
        <v>0.5</v>
      </c>
      <c r="U104" s="210"/>
      <c r="V104" s="210"/>
      <c r="W104" s="210"/>
      <c r="X104" s="210"/>
      <c r="Y104" s="494">
        <f>+Linaclotide!H110</f>
        <v>0.5</v>
      </c>
      <c r="Z104" s="210"/>
      <c r="AA104" s="210"/>
      <c r="AB104" s="210"/>
      <c r="AC104" s="210"/>
      <c r="AD104" s="210">
        <v>0.5</v>
      </c>
      <c r="AE104" s="210"/>
      <c r="AF104" s="210"/>
      <c r="AG104" s="210"/>
      <c r="AH104" s="210"/>
      <c r="AI104" s="518">
        <f>+Linaclotide!J110</f>
        <v>0.5</v>
      </c>
      <c r="AJ104" s="210"/>
      <c r="AK104" s="210"/>
      <c r="AL104" s="210"/>
      <c r="AM104" s="210"/>
      <c r="AN104" s="656">
        <f>+Linaclotide!K110</f>
        <v>0.5</v>
      </c>
      <c r="AO104" s="656"/>
      <c r="AP104" s="656"/>
      <c r="AQ104" s="656"/>
      <c r="AR104" s="656"/>
      <c r="AS104" s="656">
        <f>+Linaclotide!L110</f>
        <v>0.5</v>
      </c>
      <c r="AT104" s="656"/>
      <c r="AU104" s="656"/>
      <c r="AV104" s="656"/>
      <c r="AW104" s="656"/>
      <c r="AX104" s="656">
        <f>+Linaclotide!M110</f>
        <v>0.5</v>
      </c>
      <c r="AY104" s="656"/>
      <c r="AZ104" s="656"/>
      <c r="BA104" s="656"/>
      <c r="BB104" s="656"/>
      <c r="BC104" s="656">
        <f>+Linaclotide!N110</f>
        <v>0.5</v>
      </c>
      <c r="BD104" s="656"/>
      <c r="BE104" s="656"/>
      <c r="BF104" s="656"/>
      <c r="BG104" s="656"/>
      <c r="BH104" s="656">
        <f>+Linaclotide!O110</f>
        <v>0.5</v>
      </c>
      <c r="BI104" s="656"/>
      <c r="BJ104" s="656"/>
      <c r="BK104" s="656"/>
      <c r="BL104" s="656"/>
      <c r="BM104" s="960">
        <f>+Linaclotide!P110</f>
        <v>0.5</v>
      </c>
      <c r="BN104" s="8"/>
      <c r="BO104" s="8"/>
      <c r="BP104" s="8"/>
      <c r="BQ104" s="8"/>
      <c r="BR104" s="8"/>
    </row>
    <row r="105" spans="1:70" hidden="1" outlineLevel="1">
      <c r="B105" s="261" t="s">
        <v>502</v>
      </c>
      <c r="C105" s="12"/>
      <c r="D105" s="130"/>
      <c r="E105" s="130"/>
      <c r="F105" s="210"/>
      <c r="G105" s="210"/>
      <c r="H105" s="210"/>
      <c r="I105" s="210"/>
      <c r="J105" s="130"/>
      <c r="K105" s="210"/>
      <c r="L105" s="210"/>
      <c r="M105" s="210"/>
      <c r="N105" s="210"/>
      <c r="O105" s="130"/>
      <c r="P105" s="210"/>
      <c r="Q105" s="210"/>
      <c r="R105" s="210"/>
      <c r="S105" s="210"/>
      <c r="T105" s="210"/>
      <c r="U105" s="210"/>
      <c r="V105" s="210"/>
      <c r="W105" s="210"/>
      <c r="X105" s="210"/>
      <c r="Y105" s="494"/>
      <c r="Z105" s="210"/>
      <c r="AA105" s="210"/>
      <c r="AB105" s="210"/>
      <c r="AC105" s="210"/>
      <c r="AD105" s="210"/>
      <c r="AE105" s="210"/>
      <c r="AF105" s="210"/>
      <c r="AG105" s="210"/>
      <c r="AH105" s="210"/>
      <c r="AI105" s="518"/>
      <c r="AJ105" s="210"/>
      <c r="AK105" s="210"/>
      <c r="AL105" s="210"/>
      <c r="AM105" s="210"/>
      <c r="AN105" s="656"/>
      <c r="AO105" s="656"/>
      <c r="AP105" s="656"/>
      <c r="AQ105" s="656"/>
      <c r="AR105" s="656"/>
      <c r="AS105" s="643">
        <f>'Zurampic-Duzallo P&amp;L'!C14</f>
        <v>35</v>
      </c>
      <c r="AT105" s="643"/>
      <c r="AU105" s="643"/>
      <c r="AV105" s="643"/>
      <c r="AW105" s="643"/>
      <c r="AX105" s="643">
        <f>'Zurampic-Duzallo P&amp;L'!D14</f>
        <v>70</v>
      </c>
      <c r="AY105" s="643"/>
      <c r="AZ105" s="643"/>
      <c r="BA105" s="643"/>
      <c r="BB105" s="643"/>
      <c r="BC105" s="643">
        <f>'Zurampic-Duzallo P&amp;L'!E14</f>
        <v>72.5</v>
      </c>
      <c r="BD105" s="643"/>
      <c r="BE105" s="643"/>
      <c r="BF105" s="643"/>
      <c r="BG105" s="643"/>
      <c r="BH105" s="643">
        <f>'Zurampic-Duzallo P&amp;L'!F14</f>
        <v>75</v>
      </c>
      <c r="BI105" s="643"/>
      <c r="BJ105" s="643"/>
      <c r="BK105" s="643"/>
      <c r="BL105" s="643"/>
      <c r="BM105" s="645">
        <f>'Zurampic-Duzallo P&amp;L'!G14</f>
        <v>78.75</v>
      </c>
      <c r="BN105" s="8"/>
      <c r="BO105" s="8"/>
      <c r="BP105" s="8"/>
      <c r="BQ105" s="8"/>
      <c r="BR105" s="8"/>
    </row>
    <row r="106" spans="1:70" hidden="1" outlineLevel="1">
      <c r="B106" s="134" t="s">
        <v>270</v>
      </c>
      <c r="C106" s="12"/>
      <c r="D106" s="130"/>
      <c r="E106" s="130"/>
      <c r="F106" s="250"/>
      <c r="G106" s="250"/>
      <c r="H106" s="250"/>
      <c r="I106" s="250"/>
      <c r="J106" s="130">
        <v>21</v>
      </c>
      <c r="K106" s="250"/>
      <c r="L106" s="250"/>
      <c r="M106" s="250"/>
      <c r="N106" s="250"/>
      <c r="O106" s="130">
        <f>J106*(1+O108)</f>
        <v>26.25</v>
      </c>
      <c r="P106" s="250"/>
      <c r="Q106" s="250"/>
      <c r="R106" s="250"/>
      <c r="S106" s="250"/>
      <c r="T106" s="130">
        <f>O106*(1+T108)</f>
        <v>40.6875</v>
      </c>
      <c r="U106" s="250"/>
      <c r="V106" s="250"/>
      <c r="W106" s="250"/>
      <c r="X106" s="250"/>
      <c r="Y106" s="130">
        <f>T106*(1+Y108)</f>
        <v>56.962499999999999</v>
      </c>
      <c r="Z106" s="250"/>
      <c r="AA106" s="250"/>
      <c r="AB106" s="250"/>
      <c r="AC106" s="250"/>
      <c r="AD106" s="130">
        <f>Y106*(1+AD108)</f>
        <v>56.962499999999999</v>
      </c>
      <c r="AE106" s="250"/>
      <c r="AF106" s="250"/>
      <c r="AG106" s="250"/>
      <c r="AH106" s="250"/>
      <c r="AI106" s="130">
        <f>AD106*(1+AI108)</f>
        <v>56.962499999999999</v>
      </c>
      <c r="AJ106" s="250"/>
      <c r="AK106" s="250"/>
      <c r="AL106" s="250"/>
      <c r="AM106" s="250"/>
      <c r="AN106" s="646">
        <f>AI106*(1+CHOOSE($Y$2,AN107,AN108,AN109))</f>
        <v>59.810625000000002</v>
      </c>
      <c r="AO106" s="646"/>
      <c r="AP106" s="646"/>
      <c r="AQ106" s="646"/>
      <c r="AR106" s="646"/>
      <c r="AS106" s="646">
        <v>67.926500000000004</v>
      </c>
      <c r="AT106" s="646"/>
      <c r="AU106" s="646"/>
      <c r="AV106" s="646"/>
      <c r="AW106" s="646"/>
      <c r="AX106" s="646">
        <f>AS106*(1+CHOOSE($Y$2,AX107,AX108,AX109))</f>
        <v>100.19158750000001</v>
      </c>
      <c r="AY106" s="646"/>
      <c r="AZ106" s="646"/>
      <c r="BA106" s="646"/>
      <c r="BB106" s="646"/>
      <c r="BC106" s="646">
        <f>AX106*(1+CHOOSE($Y$2,BC107,BC108,BC109))</f>
        <v>100.19158750000001</v>
      </c>
      <c r="BD106" s="646"/>
      <c r="BE106" s="646"/>
      <c r="BF106" s="646"/>
      <c r="BG106" s="646"/>
      <c r="BH106" s="646">
        <f>BC106*(1+CHOOSE($Y$2,BH107,BH108,BH109))</f>
        <v>100.19158750000001</v>
      </c>
      <c r="BI106" s="646"/>
      <c r="BJ106" s="646"/>
      <c r="BK106" s="646"/>
      <c r="BL106" s="646"/>
      <c r="BM106" s="647">
        <f>BH106*(1+CHOOSE($Y$2,BM107,BM108,BM109))</f>
        <v>85.162849375000008</v>
      </c>
      <c r="BN106" s="8"/>
      <c r="BO106" s="8"/>
      <c r="BP106" s="8"/>
      <c r="BQ106" s="8"/>
      <c r="BR106" s="8"/>
    </row>
    <row r="107" spans="1:70" hidden="1" outlineLevel="1">
      <c r="B107" s="134" t="s">
        <v>386</v>
      </c>
      <c r="C107" s="12"/>
      <c r="D107" s="130"/>
      <c r="E107" s="130"/>
      <c r="F107" s="210"/>
      <c r="G107" s="210"/>
      <c r="H107" s="210"/>
      <c r="I107" s="210"/>
      <c r="J107" s="130"/>
      <c r="K107" s="210"/>
      <c r="L107" s="210"/>
      <c r="M107" s="210"/>
      <c r="N107" s="210"/>
      <c r="O107" s="130"/>
      <c r="P107" s="210"/>
      <c r="Q107" s="210"/>
      <c r="R107" s="210"/>
      <c r="S107" s="210"/>
      <c r="T107" s="130"/>
      <c r="U107" s="210"/>
      <c r="V107" s="210"/>
      <c r="W107" s="210"/>
      <c r="X107" s="210"/>
      <c r="Y107" s="130"/>
      <c r="Z107" s="210"/>
      <c r="AA107" s="210"/>
      <c r="AB107" s="210"/>
      <c r="AC107" s="210"/>
      <c r="AD107" s="210"/>
      <c r="AE107" s="210"/>
      <c r="AF107" s="210"/>
      <c r="AG107" s="210"/>
      <c r="AH107" s="210"/>
      <c r="AI107" s="210"/>
      <c r="AJ107" s="210"/>
      <c r="AK107" s="210"/>
      <c r="AL107" s="210"/>
      <c r="AM107" s="210"/>
      <c r="AN107" s="641">
        <v>0</v>
      </c>
      <c r="AO107" s="641"/>
      <c r="AP107" s="641"/>
      <c r="AQ107" s="641"/>
      <c r="AR107" s="641"/>
      <c r="AS107" s="641">
        <f>AS108</f>
        <v>0.13569286393512861</v>
      </c>
      <c r="AT107" s="641"/>
      <c r="AU107" s="641"/>
      <c r="AV107" s="641"/>
      <c r="AW107" s="641"/>
      <c r="AX107" s="641">
        <v>0.47499999999999998</v>
      </c>
      <c r="AY107" s="641"/>
      <c r="AZ107" s="641"/>
      <c r="BA107" s="641"/>
      <c r="BB107" s="641"/>
      <c r="BC107" s="641">
        <v>0</v>
      </c>
      <c r="BD107" s="641"/>
      <c r="BE107" s="641"/>
      <c r="BF107" s="641"/>
      <c r="BG107" s="641"/>
      <c r="BH107" s="641">
        <f>BC107</f>
        <v>0</v>
      </c>
      <c r="BI107" s="641"/>
      <c r="BJ107" s="641"/>
      <c r="BK107" s="641"/>
      <c r="BL107" s="641"/>
      <c r="BM107" s="642">
        <f>BH107</f>
        <v>0</v>
      </c>
      <c r="BN107" s="8"/>
      <c r="BO107" s="8"/>
      <c r="BP107" s="8"/>
      <c r="BQ107" s="8"/>
      <c r="BR107" s="8"/>
    </row>
    <row r="108" spans="1:70" hidden="1" outlineLevel="1">
      <c r="B108" s="134" t="s">
        <v>384</v>
      </c>
      <c r="C108" s="12"/>
      <c r="D108" s="130"/>
      <c r="E108" s="130"/>
      <c r="F108" s="210"/>
      <c r="G108" s="210"/>
      <c r="H108" s="210"/>
      <c r="I108" s="210"/>
      <c r="J108" s="130"/>
      <c r="K108" s="210"/>
      <c r="L108" s="210"/>
      <c r="M108" s="210"/>
      <c r="N108" s="210"/>
      <c r="O108" s="210">
        <v>0.25</v>
      </c>
      <c r="P108" s="210"/>
      <c r="Q108" s="210"/>
      <c r="R108" s="210"/>
      <c r="S108" s="210"/>
      <c r="T108" s="210">
        <v>0.55000000000000004</v>
      </c>
      <c r="U108" s="210"/>
      <c r="V108" s="210"/>
      <c r="W108" s="210"/>
      <c r="X108" s="210"/>
      <c r="Y108" s="210">
        <v>0.4</v>
      </c>
      <c r="Z108" s="210"/>
      <c r="AA108" s="210"/>
      <c r="AB108" s="210"/>
      <c r="AC108" s="210"/>
      <c r="AD108" s="210">
        <v>0</v>
      </c>
      <c r="AE108" s="210"/>
      <c r="AF108" s="210"/>
      <c r="AG108" s="210"/>
      <c r="AH108" s="210"/>
      <c r="AI108" s="492">
        <v>0</v>
      </c>
      <c r="AJ108" s="210"/>
      <c r="AK108" s="210"/>
      <c r="AL108" s="210"/>
      <c r="AM108" s="210"/>
      <c r="AN108" s="641">
        <v>0.05</v>
      </c>
      <c r="AO108" s="641"/>
      <c r="AP108" s="641"/>
      <c r="AQ108" s="641"/>
      <c r="AR108" s="641"/>
      <c r="AS108" s="641">
        <v>0.13569286393512861</v>
      </c>
      <c r="AT108" s="641"/>
      <c r="AU108" s="641"/>
      <c r="AV108" s="641"/>
      <c r="AW108" s="641"/>
      <c r="AX108" s="641">
        <v>0.47499999999999998</v>
      </c>
      <c r="AY108" s="641"/>
      <c r="AZ108" s="641"/>
      <c r="BA108" s="641"/>
      <c r="BB108" s="641"/>
      <c r="BC108" s="641">
        <v>0</v>
      </c>
      <c r="BD108" s="641"/>
      <c r="BE108" s="641"/>
      <c r="BF108" s="641"/>
      <c r="BG108" s="641"/>
      <c r="BH108" s="641">
        <f>BC108</f>
        <v>0</v>
      </c>
      <c r="BI108" s="641"/>
      <c r="BJ108" s="641"/>
      <c r="BK108" s="641"/>
      <c r="BL108" s="641"/>
      <c r="BM108" s="642">
        <v>-0.15</v>
      </c>
      <c r="BN108" s="8"/>
      <c r="BO108" s="8"/>
      <c r="BP108" s="8"/>
      <c r="BQ108" s="8"/>
      <c r="BR108" s="8"/>
    </row>
    <row r="109" spans="1:70" hidden="1" outlineLevel="1">
      <c r="B109" s="135" t="s">
        <v>385</v>
      </c>
      <c r="C109" s="43"/>
      <c r="D109" s="147"/>
      <c r="E109" s="147"/>
      <c r="F109" s="209"/>
      <c r="G109" s="209"/>
      <c r="H109" s="209"/>
      <c r="I109" s="209"/>
      <c r="J109" s="147"/>
      <c r="K109" s="209"/>
      <c r="L109" s="209"/>
      <c r="M109" s="209"/>
      <c r="N109" s="209"/>
      <c r="O109" s="209"/>
      <c r="P109" s="209"/>
      <c r="Q109" s="209"/>
      <c r="R109" s="209"/>
      <c r="S109" s="209"/>
      <c r="T109" s="209"/>
      <c r="U109" s="209"/>
      <c r="V109" s="209"/>
      <c r="W109" s="209"/>
      <c r="X109" s="209"/>
      <c r="Y109" s="209"/>
      <c r="Z109" s="209"/>
      <c r="AA109" s="209"/>
      <c r="AB109" s="209"/>
      <c r="AC109" s="209"/>
      <c r="AD109" s="209"/>
      <c r="AE109" s="209"/>
      <c r="AF109" s="209"/>
      <c r="AG109" s="209"/>
      <c r="AH109" s="209"/>
      <c r="AI109" s="209"/>
      <c r="AJ109" s="209"/>
      <c r="AK109" s="209"/>
      <c r="AL109" s="209"/>
      <c r="AM109" s="209"/>
      <c r="AN109" s="650">
        <f>AN108-5%</f>
        <v>0</v>
      </c>
      <c r="AO109" s="650"/>
      <c r="AP109" s="650"/>
      <c r="AQ109" s="650"/>
      <c r="AR109" s="650"/>
      <c r="AS109" s="650">
        <f>AS108</f>
        <v>0.13569286393512861</v>
      </c>
      <c r="AT109" s="650"/>
      <c r="AU109" s="650"/>
      <c r="AV109" s="650"/>
      <c r="AW109" s="650"/>
      <c r="AX109" s="650">
        <v>-0.35</v>
      </c>
      <c r="AY109" s="650">
        <v>-0.15</v>
      </c>
      <c r="AZ109" s="650">
        <v>-0.15</v>
      </c>
      <c r="BA109" s="650">
        <v>-0.15</v>
      </c>
      <c r="BB109" s="650">
        <v>-0.15</v>
      </c>
      <c r="BC109" s="650">
        <v>-0.4</v>
      </c>
      <c r="BD109" s="650">
        <v>-0.5</v>
      </c>
      <c r="BE109" s="650">
        <v>-0.5</v>
      </c>
      <c r="BF109" s="650">
        <v>-0.5</v>
      </c>
      <c r="BG109" s="650">
        <v>-0.5</v>
      </c>
      <c r="BH109" s="650">
        <f>BC109</f>
        <v>-0.4</v>
      </c>
      <c r="BI109" s="650">
        <v>-0.5</v>
      </c>
      <c r="BJ109" s="650">
        <v>-0.5</v>
      </c>
      <c r="BK109" s="650">
        <v>-0.5</v>
      </c>
      <c r="BL109" s="650">
        <v>-0.5</v>
      </c>
      <c r="BM109" s="651">
        <f>BH109</f>
        <v>-0.4</v>
      </c>
      <c r="BN109" s="8"/>
      <c r="BO109" s="8"/>
      <c r="BP109" s="8"/>
      <c r="BQ109" s="8"/>
      <c r="BR109" s="8"/>
    </row>
    <row r="110" spans="1:70" hidden="1" outlineLevel="1">
      <c r="B110" s="15" t="s">
        <v>271</v>
      </c>
      <c r="C110" s="12"/>
      <c r="D110" s="130"/>
      <c r="E110" s="130"/>
      <c r="F110" s="151"/>
      <c r="G110" s="151"/>
      <c r="H110" s="151"/>
      <c r="I110" s="151"/>
      <c r="J110" s="151"/>
      <c r="K110" s="151"/>
      <c r="L110" s="151"/>
      <c r="M110" s="151"/>
      <c r="N110" s="151"/>
      <c r="O110" s="151">
        <f>O102+O103+O106</f>
        <v>26.25</v>
      </c>
      <c r="P110" s="151"/>
      <c r="Q110" s="151"/>
      <c r="R110" s="151"/>
      <c r="S110" s="151"/>
      <c r="T110" s="151">
        <f>T102+T103+T106</f>
        <v>40.6875</v>
      </c>
      <c r="U110" s="151"/>
      <c r="V110" s="151"/>
      <c r="W110" s="151"/>
      <c r="X110" s="151"/>
      <c r="Y110" s="151">
        <f>Y102+Y103+Y106</f>
        <v>69.462500000000006</v>
      </c>
      <c r="Z110" s="151"/>
      <c r="AA110" s="151"/>
      <c r="AB110" s="151"/>
      <c r="AC110" s="151"/>
      <c r="AD110" s="421">
        <f>AD102+AD103+AD106</f>
        <v>101.96250000000001</v>
      </c>
      <c r="AE110" s="151"/>
      <c r="AF110" s="151"/>
      <c r="AG110" s="151"/>
      <c r="AH110" s="151"/>
      <c r="AI110" s="151">
        <f>AI102+AI103+AI106</f>
        <v>108.21250000000001</v>
      </c>
      <c r="AJ110" s="151"/>
      <c r="AK110" s="151"/>
      <c r="AL110" s="151"/>
      <c r="AM110" s="151"/>
      <c r="AN110" s="653">
        <f>AN102+AN103+AN106</f>
        <v>109.735625</v>
      </c>
      <c r="AO110" s="653"/>
      <c r="AP110" s="653"/>
      <c r="AQ110" s="653"/>
      <c r="AR110" s="653"/>
      <c r="AS110" s="653">
        <f>AS102+AS103+AS106+AS105</f>
        <v>155.54000000000002</v>
      </c>
      <c r="AT110" s="653"/>
      <c r="AU110" s="653"/>
      <c r="AV110" s="653"/>
      <c r="AW110" s="653"/>
      <c r="AX110" s="653">
        <f>AX102+AX103+AX106+AX105</f>
        <v>217.53806250000002</v>
      </c>
      <c r="AY110" s="653"/>
      <c r="AZ110" s="653"/>
      <c r="BA110" s="653"/>
      <c r="BB110" s="653"/>
      <c r="BC110" s="653">
        <f>BC102+BC103+BC106+BC105</f>
        <v>215.63499200000001</v>
      </c>
      <c r="BD110" s="653"/>
      <c r="BE110" s="653"/>
      <c r="BF110" s="653"/>
      <c r="BG110" s="653"/>
      <c r="BH110" s="653">
        <f>BH102+BH103+BH106+BH105</f>
        <v>218.74386009</v>
      </c>
      <c r="BI110" s="653"/>
      <c r="BJ110" s="653"/>
      <c r="BK110" s="653"/>
      <c r="BL110" s="653"/>
      <c r="BM110" s="653">
        <f>BM102+BM103+BM106+BM105</f>
        <v>208.08616741680001</v>
      </c>
      <c r="BN110" s="8"/>
      <c r="BO110" s="8"/>
      <c r="BP110" s="8"/>
      <c r="BQ110" s="8"/>
      <c r="BR110" s="8"/>
    </row>
    <row r="111" spans="1:70" hidden="1" outlineLevel="1">
      <c r="B111" s="150" t="s">
        <v>272</v>
      </c>
      <c r="C111" s="15"/>
      <c r="D111" s="151"/>
      <c r="E111" s="151"/>
      <c r="F111" s="422"/>
      <c r="G111" s="422"/>
      <c r="H111" s="422"/>
      <c r="I111" s="422"/>
      <c r="J111" s="422">
        <f>J41</f>
        <v>19.036999999999999</v>
      </c>
      <c r="K111" s="422"/>
      <c r="L111" s="422"/>
      <c r="M111" s="422"/>
      <c r="N111" s="422"/>
      <c r="O111" s="422">
        <f>O41</f>
        <v>27.169</v>
      </c>
      <c r="P111" s="422"/>
      <c r="Q111" s="422"/>
      <c r="R111" s="422"/>
      <c r="S111" s="422"/>
      <c r="T111" s="422">
        <f>T41</f>
        <v>40.259</v>
      </c>
      <c r="U111" s="422"/>
      <c r="V111" s="422"/>
      <c r="W111" s="422"/>
      <c r="X111" s="422"/>
      <c r="Y111" s="422">
        <f>Y41</f>
        <v>91.707000000000008</v>
      </c>
      <c r="Z111" s="422"/>
      <c r="AA111" s="422"/>
      <c r="AB111" s="422"/>
      <c r="AC111" s="422"/>
      <c r="AD111" s="423">
        <f>AD41</f>
        <v>112.577</v>
      </c>
      <c r="AE111" s="422"/>
      <c r="AF111" s="422"/>
      <c r="AG111" s="422"/>
      <c r="AH111" s="422"/>
      <c r="AI111" s="422">
        <f>AI41</f>
        <v>101.63099999999999</v>
      </c>
      <c r="AJ111" s="422"/>
      <c r="AK111" s="422"/>
      <c r="AL111" s="422"/>
      <c r="AM111" s="422"/>
      <c r="AN111" s="657">
        <f>AN41</f>
        <v>109.84299999999999</v>
      </c>
      <c r="AO111" s="657"/>
      <c r="AP111" s="657"/>
      <c r="AQ111" s="657"/>
      <c r="AR111" s="657"/>
      <c r="AS111" s="657">
        <f>AS41</f>
        <v>155.40600000000001</v>
      </c>
      <c r="AT111" s="657"/>
      <c r="AU111" s="657"/>
      <c r="AV111" s="657"/>
      <c r="AW111" s="657"/>
      <c r="AX111" s="657">
        <f>AX41</f>
        <v>214.50700000000001</v>
      </c>
      <c r="AY111" s="657"/>
      <c r="AZ111" s="657"/>
      <c r="BA111" s="657"/>
      <c r="BB111" s="657"/>
      <c r="BC111" s="657">
        <f>BC41</f>
        <v>215.63499200000001</v>
      </c>
      <c r="BD111" s="657"/>
      <c r="BE111" s="657"/>
      <c r="BF111" s="657"/>
      <c r="BG111" s="657"/>
      <c r="BH111" s="657">
        <f>BH41</f>
        <v>218.74386009</v>
      </c>
      <c r="BI111" s="657"/>
      <c r="BJ111" s="657"/>
      <c r="BK111" s="657"/>
      <c r="BL111" s="657"/>
      <c r="BM111" s="657">
        <f>BM41</f>
        <v>208.08616741680001</v>
      </c>
      <c r="BN111" s="8"/>
      <c r="BO111" s="8"/>
      <c r="BP111" s="8"/>
      <c r="BQ111" s="8"/>
      <c r="BR111" s="8"/>
    </row>
    <row r="112" spans="1:70" hidden="1" outlineLevel="1">
      <c r="B112" s="150"/>
      <c r="C112" s="15"/>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151"/>
      <c r="Z112" s="151"/>
      <c r="AA112" s="151"/>
      <c r="AB112" s="151"/>
      <c r="AC112" s="151"/>
      <c r="AD112" s="151"/>
      <c r="AE112" s="151"/>
      <c r="AF112" s="151"/>
      <c r="AG112" s="151"/>
      <c r="AH112" s="151"/>
      <c r="AI112" s="151"/>
      <c r="AJ112" s="151"/>
      <c r="AK112" s="151"/>
      <c r="AL112" s="151"/>
      <c r="AM112" s="151"/>
      <c r="AN112" s="653"/>
      <c r="AO112" s="653"/>
      <c r="AP112" s="653"/>
      <c r="AQ112" s="653"/>
      <c r="AR112" s="653"/>
      <c r="AS112" s="653"/>
      <c r="AT112" s="653"/>
      <c r="AU112" s="653"/>
      <c r="AV112" s="653"/>
      <c r="AW112" s="653"/>
      <c r="AX112" s="653"/>
      <c r="AY112" s="653"/>
      <c r="AZ112" s="653"/>
      <c r="BA112" s="653"/>
      <c r="BB112" s="653"/>
      <c r="BC112" s="653"/>
      <c r="BD112" s="653"/>
      <c r="BE112" s="653"/>
      <c r="BF112" s="653"/>
      <c r="BG112" s="653"/>
      <c r="BH112" s="653"/>
      <c r="BI112" s="653"/>
      <c r="BJ112" s="653"/>
      <c r="BK112" s="653"/>
      <c r="BL112" s="653"/>
      <c r="BM112" s="653"/>
      <c r="BN112" s="8"/>
      <c r="BO112" s="8"/>
      <c r="BP112" s="8"/>
      <c r="BQ112" s="8"/>
      <c r="BR112" s="8"/>
    </row>
    <row r="113" spans="2:70" hidden="1" outlineLevel="1">
      <c r="B113" s="15" t="s">
        <v>80</v>
      </c>
      <c r="C113" s="12"/>
      <c r="D113" s="130"/>
      <c r="E113" s="130"/>
      <c r="F113" s="420"/>
      <c r="G113" s="420"/>
      <c r="H113" s="420"/>
      <c r="I113" s="420"/>
      <c r="J113" s="420"/>
      <c r="K113" s="420"/>
      <c r="L113" s="420"/>
      <c r="M113" s="420"/>
      <c r="N113" s="420"/>
      <c r="O113" s="420"/>
      <c r="P113" s="420"/>
      <c r="Q113" s="420"/>
      <c r="R113" s="420"/>
      <c r="S113" s="420"/>
      <c r="T113" s="420"/>
      <c r="U113" s="420"/>
      <c r="V113" s="420"/>
      <c r="W113" s="420"/>
      <c r="X113" s="420"/>
      <c r="Y113" s="420"/>
      <c r="Z113" s="420"/>
      <c r="AA113" s="420"/>
      <c r="AB113" s="420"/>
      <c r="AC113" s="420"/>
      <c r="AD113" s="420"/>
      <c r="AE113" s="420"/>
      <c r="AF113" s="420"/>
      <c r="AG113" s="420"/>
      <c r="AH113" s="420"/>
      <c r="AI113" s="420"/>
      <c r="AJ113" s="420"/>
      <c r="AK113" s="420"/>
      <c r="AL113" s="420"/>
      <c r="AM113" s="420"/>
      <c r="AN113" s="654"/>
      <c r="AO113" s="654"/>
      <c r="AP113" s="654"/>
      <c r="AQ113" s="654"/>
      <c r="AR113" s="654"/>
      <c r="AS113" s="654"/>
      <c r="AT113" s="654"/>
      <c r="AU113" s="654"/>
      <c r="AV113" s="654"/>
      <c r="AW113" s="654"/>
      <c r="AX113" s="654"/>
      <c r="AY113" s="654"/>
      <c r="AZ113" s="654"/>
      <c r="BA113" s="654"/>
      <c r="BB113" s="654"/>
      <c r="BC113" s="654"/>
      <c r="BD113" s="654"/>
      <c r="BE113" s="654"/>
      <c r="BF113" s="654"/>
      <c r="BG113" s="654"/>
      <c r="BH113" s="654"/>
      <c r="BI113" s="654"/>
      <c r="BJ113" s="654"/>
      <c r="BK113" s="654"/>
      <c r="BL113" s="654"/>
      <c r="BM113" s="654"/>
      <c r="BN113" s="8"/>
      <c r="BO113" s="8"/>
      <c r="BP113" s="8"/>
      <c r="BQ113" s="8"/>
      <c r="BR113" s="8"/>
    </row>
    <row r="114" spans="2:70" hidden="1" outlineLevel="1">
      <c r="B114" s="155" t="s">
        <v>81</v>
      </c>
      <c r="C114" s="232"/>
      <c r="D114" s="424"/>
      <c r="E114" s="424">
        <v>0.35</v>
      </c>
      <c r="F114" s="424">
        <v>0.35</v>
      </c>
      <c r="G114" s="424">
        <v>0.35</v>
      </c>
      <c r="H114" s="424">
        <v>0.35</v>
      </c>
      <c r="I114" s="424">
        <v>0.35</v>
      </c>
      <c r="J114" s="424">
        <v>0.35</v>
      </c>
      <c r="K114" s="424">
        <v>0.35</v>
      </c>
      <c r="L114" s="424">
        <v>0.35</v>
      </c>
      <c r="M114" s="424">
        <v>0.35</v>
      </c>
      <c r="N114" s="424">
        <v>0.35</v>
      </c>
      <c r="O114" s="424">
        <v>0.35</v>
      </c>
      <c r="P114" s="424">
        <v>0.35</v>
      </c>
      <c r="Q114" s="424">
        <v>0.35</v>
      </c>
      <c r="R114" s="424">
        <v>0.35</v>
      </c>
      <c r="S114" s="424">
        <v>0.35</v>
      </c>
      <c r="T114" s="498">
        <v>0.35</v>
      </c>
      <c r="U114" s="424">
        <v>0.35</v>
      </c>
      <c r="V114" s="424">
        <v>0.35</v>
      </c>
      <c r="W114" s="424">
        <v>0.35</v>
      </c>
      <c r="X114" s="424">
        <v>0.35</v>
      </c>
      <c r="Y114" s="497">
        <f>T114</f>
        <v>0.35</v>
      </c>
      <c r="Z114" s="497">
        <f t="shared" ref="Z114:BM114" si="102">U114</f>
        <v>0.35</v>
      </c>
      <c r="AA114" s="497">
        <f t="shared" si="102"/>
        <v>0.35</v>
      </c>
      <c r="AB114" s="497">
        <f t="shared" si="102"/>
        <v>0.35</v>
      </c>
      <c r="AC114" s="497">
        <f t="shared" si="102"/>
        <v>0.35</v>
      </c>
      <c r="AD114" s="497">
        <f t="shared" si="102"/>
        <v>0.35</v>
      </c>
      <c r="AE114" s="497">
        <f t="shared" si="102"/>
        <v>0.35</v>
      </c>
      <c r="AF114" s="497">
        <f t="shared" si="102"/>
        <v>0.35</v>
      </c>
      <c r="AG114" s="497">
        <f t="shared" si="102"/>
        <v>0.35</v>
      </c>
      <c r="AH114" s="497">
        <f t="shared" si="102"/>
        <v>0.35</v>
      </c>
      <c r="AI114" s="497">
        <f t="shared" si="102"/>
        <v>0.35</v>
      </c>
      <c r="AJ114" s="497">
        <f t="shared" si="102"/>
        <v>0.35</v>
      </c>
      <c r="AK114" s="497">
        <f t="shared" si="102"/>
        <v>0.35</v>
      </c>
      <c r="AL114" s="497">
        <f t="shared" si="102"/>
        <v>0.35</v>
      </c>
      <c r="AM114" s="497">
        <f t="shared" si="102"/>
        <v>0.35</v>
      </c>
      <c r="AN114" s="658">
        <f t="shared" si="102"/>
        <v>0.35</v>
      </c>
      <c r="AO114" s="658">
        <f t="shared" si="102"/>
        <v>0.35</v>
      </c>
      <c r="AP114" s="658">
        <f t="shared" si="102"/>
        <v>0.35</v>
      </c>
      <c r="AQ114" s="658">
        <f t="shared" si="102"/>
        <v>0.35</v>
      </c>
      <c r="AR114" s="658">
        <f t="shared" si="102"/>
        <v>0.35</v>
      </c>
      <c r="AS114" s="658">
        <f t="shared" si="102"/>
        <v>0.35</v>
      </c>
      <c r="AT114" s="658">
        <f t="shared" si="102"/>
        <v>0.35</v>
      </c>
      <c r="AU114" s="658">
        <f t="shared" si="102"/>
        <v>0.35</v>
      </c>
      <c r="AV114" s="658">
        <f t="shared" si="102"/>
        <v>0.35</v>
      </c>
      <c r="AW114" s="658">
        <f t="shared" si="102"/>
        <v>0.35</v>
      </c>
      <c r="AX114" s="658">
        <f t="shared" si="102"/>
        <v>0.35</v>
      </c>
      <c r="AY114" s="658">
        <f t="shared" si="102"/>
        <v>0.35</v>
      </c>
      <c r="AZ114" s="658">
        <f t="shared" si="102"/>
        <v>0.35</v>
      </c>
      <c r="BA114" s="658">
        <f t="shared" si="102"/>
        <v>0.35</v>
      </c>
      <c r="BB114" s="658">
        <f t="shared" si="102"/>
        <v>0.35</v>
      </c>
      <c r="BC114" s="658">
        <f t="shared" si="102"/>
        <v>0.35</v>
      </c>
      <c r="BD114" s="658">
        <f t="shared" si="102"/>
        <v>0.35</v>
      </c>
      <c r="BE114" s="658">
        <f t="shared" si="102"/>
        <v>0.35</v>
      </c>
      <c r="BF114" s="658">
        <f t="shared" si="102"/>
        <v>0.35</v>
      </c>
      <c r="BG114" s="658">
        <f t="shared" si="102"/>
        <v>0.35</v>
      </c>
      <c r="BH114" s="658">
        <f t="shared" si="102"/>
        <v>0.35</v>
      </c>
      <c r="BI114" s="658">
        <f t="shared" si="102"/>
        <v>0.35</v>
      </c>
      <c r="BJ114" s="658">
        <f t="shared" si="102"/>
        <v>0.35</v>
      </c>
      <c r="BK114" s="658">
        <f t="shared" si="102"/>
        <v>0.35</v>
      </c>
      <c r="BL114" s="658">
        <f t="shared" si="102"/>
        <v>0.35</v>
      </c>
      <c r="BM114" s="961">
        <f t="shared" si="102"/>
        <v>0.35</v>
      </c>
      <c r="BN114" s="8"/>
      <c r="BO114" s="8"/>
      <c r="BP114" s="8"/>
      <c r="BQ114" s="8"/>
      <c r="BR114" s="8"/>
    </row>
    <row r="115" spans="2:70" hidden="1" outlineLevel="1">
      <c r="B115" s="153" t="s">
        <v>82</v>
      </c>
      <c r="C115" s="8"/>
      <c r="D115" s="8"/>
      <c r="E115" s="8"/>
      <c r="F115" s="425"/>
      <c r="G115" s="425"/>
      <c r="H115" s="425"/>
      <c r="I115" s="425"/>
      <c r="J115" s="8"/>
      <c r="K115" s="425"/>
      <c r="L115" s="425"/>
      <c r="M115" s="425"/>
      <c r="N115" s="425"/>
      <c r="O115" s="425"/>
      <c r="P115" s="425"/>
      <c r="Q115" s="425"/>
      <c r="R115" s="425"/>
      <c r="S115" s="425"/>
      <c r="T115" s="425"/>
      <c r="U115" s="425"/>
      <c r="V115" s="425"/>
      <c r="W115" s="425"/>
      <c r="X115" s="425"/>
      <c r="Y115" s="425"/>
      <c r="Z115" s="425"/>
      <c r="AA115" s="425"/>
      <c r="AB115" s="425"/>
      <c r="AC115" s="425"/>
      <c r="AD115" s="425">
        <f>Y117</f>
        <v>-517.90000000000009</v>
      </c>
      <c r="AE115" s="425"/>
      <c r="AF115" s="425"/>
      <c r="AG115" s="425"/>
      <c r="AH115" s="425"/>
      <c r="AI115" s="425">
        <f>AD117</f>
        <v>-770.88300000000004</v>
      </c>
      <c r="AJ115" s="425"/>
      <c r="AK115" s="425"/>
      <c r="AL115" s="425"/>
      <c r="AM115" s="425"/>
      <c r="AN115" s="659">
        <f>AI117</f>
        <v>-934.31700000000001</v>
      </c>
      <c r="AO115" s="659"/>
      <c r="AP115" s="659"/>
      <c r="AQ115" s="659"/>
      <c r="AR115" s="659"/>
      <c r="AS115" s="659">
        <f>AN117</f>
        <v>-1029.5029999999999</v>
      </c>
      <c r="AT115" s="659"/>
      <c r="AU115" s="659"/>
      <c r="AV115" s="659"/>
      <c r="AW115" s="659"/>
      <c r="AX115" s="659">
        <f>AS117</f>
        <v>-1079.32</v>
      </c>
      <c r="AY115" s="659"/>
      <c r="AZ115" s="659"/>
      <c r="BA115" s="659"/>
      <c r="BB115" s="659"/>
      <c r="BC115" s="659">
        <f>AX117</f>
        <v>-1188.8999999999999</v>
      </c>
      <c r="BD115" s="659"/>
      <c r="BE115" s="659"/>
      <c r="BF115" s="659"/>
      <c r="BG115" s="659"/>
      <c r="BH115" s="659">
        <f>BC117</f>
        <v>-1278.0179054492191</v>
      </c>
      <c r="BI115" s="659"/>
      <c r="BJ115" s="659"/>
      <c r="BK115" s="659"/>
      <c r="BL115" s="659"/>
      <c r="BM115" s="660">
        <f>BH117</f>
        <v>-1292.6576392148472</v>
      </c>
      <c r="BN115" s="8"/>
      <c r="BO115" s="8"/>
      <c r="BP115" s="8"/>
      <c r="BQ115" s="8"/>
      <c r="BR115" s="8"/>
    </row>
    <row r="116" spans="2:70" hidden="1" outlineLevel="1">
      <c r="B116" s="153" t="s">
        <v>83</v>
      </c>
      <c r="C116" s="8"/>
      <c r="D116" s="8"/>
      <c r="E116" s="8"/>
      <c r="F116" s="426"/>
      <c r="G116" s="426"/>
      <c r="H116" s="426"/>
      <c r="I116" s="426"/>
      <c r="J116" s="8"/>
      <c r="K116" s="426"/>
      <c r="L116" s="426"/>
      <c r="M116" s="426"/>
      <c r="N116" s="426"/>
      <c r="O116" s="426"/>
      <c r="P116" s="426"/>
      <c r="Q116" s="426"/>
      <c r="R116" s="426"/>
      <c r="S116" s="426"/>
      <c r="T116" s="426"/>
      <c r="U116" s="426"/>
      <c r="V116" s="426"/>
      <c r="W116" s="426"/>
      <c r="X116" s="426"/>
      <c r="Y116" s="426"/>
      <c r="Z116" s="426"/>
      <c r="AA116" s="426"/>
      <c r="AB116" s="426"/>
      <c r="AC116" s="426"/>
      <c r="AD116" s="426">
        <f>AD57</f>
        <v>-252.983</v>
      </c>
      <c r="AE116" s="426"/>
      <c r="AF116" s="426"/>
      <c r="AG116" s="426"/>
      <c r="AH116" s="426"/>
      <c r="AI116" s="426">
        <f>AI57</f>
        <v>-163.43399999999997</v>
      </c>
      <c r="AJ116" s="426"/>
      <c r="AK116" s="426"/>
      <c r="AL116" s="426"/>
      <c r="AM116" s="426"/>
      <c r="AN116" s="661">
        <f>AN57</f>
        <v>-95.185999999999964</v>
      </c>
      <c r="AO116" s="661"/>
      <c r="AP116" s="661"/>
      <c r="AQ116" s="661"/>
      <c r="AR116" s="661"/>
      <c r="AS116" s="661">
        <f>AS57</f>
        <v>-49.816999999999972</v>
      </c>
      <c r="AT116" s="661"/>
      <c r="AU116" s="661"/>
      <c r="AV116" s="661"/>
      <c r="AW116" s="661"/>
      <c r="AX116" s="661">
        <f>AX57</f>
        <v>-109.57999999999996</v>
      </c>
      <c r="AY116" s="661"/>
      <c r="AZ116" s="661"/>
      <c r="BA116" s="661"/>
      <c r="BB116" s="661"/>
      <c r="BC116" s="661">
        <f>BC57</f>
        <v>-89.117905449219194</v>
      </c>
      <c r="BD116" s="661"/>
      <c r="BE116" s="661"/>
      <c r="BF116" s="661"/>
      <c r="BG116" s="661"/>
      <c r="BH116" s="661">
        <f>BH57</f>
        <v>-14.639733765628051</v>
      </c>
      <c r="BI116" s="661"/>
      <c r="BJ116" s="661"/>
      <c r="BK116" s="661"/>
      <c r="BL116" s="661"/>
      <c r="BM116" s="662">
        <f>BM57</f>
        <v>98.474415907512736</v>
      </c>
      <c r="BN116" s="8"/>
      <c r="BO116" s="8"/>
      <c r="BP116" s="8"/>
      <c r="BQ116" s="8"/>
      <c r="BR116" s="8"/>
    </row>
    <row r="117" spans="2:70" hidden="1" outlineLevel="1">
      <c r="B117" s="153" t="s">
        <v>84</v>
      </c>
      <c r="C117" s="8"/>
      <c r="D117" s="8"/>
      <c r="E117" s="8"/>
      <c r="F117" s="425"/>
      <c r="G117" s="425"/>
      <c r="H117" s="425"/>
      <c r="I117" s="425"/>
      <c r="J117" s="427">
        <f>-111.3-82.3</f>
        <v>-193.6</v>
      </c>
      <c r="K117" s="425"/>
      <c r="L117" s="425"/>
      <c r="M117" s="425"/>
      <c r="N117" s="425"/>
      <c r="O117" s="427">
        <f>-153.2-97.7</f>
        <v>-250.89999999999998</v>
      </c>
      <c r="P117" s="425"/>
      <c r="Q117" s="425"/>
      <c r="R117" s="425"/>
      <c r="S117" s="425"/>
      <c r="T117" s="425">
        <f>-239.2-183.8</f>
        <v>-423</v>
      </c>
      <c r="U117" s="425"/>
      <c r="V117" s="425"/>
      <c r="W117" s="425"/>
      <c r="X117" s="425"/>
      <c r="Y117" s="425">
        <f>-334.1-183.8</f>
        <v>-517.90000000000009</v>
      </c>
      <c r="Z117" s="425"/>
      <c r="AA117" s="425"/>
      <c r="AB117" s="425"/>
      <c r="AC117" s="425"/>
      <c r="AD117" s="425">
        <f>IF(AD115+AD116&lt;0,AD115+AD116,0)</f>
        <v>-770.88300000000004</v>
      </c>
      <c r="AE117" s="425"/>
      <c r="AF117" s="425"/>
      <c r="AG117" s="425"/>
      <c r="AH117" s="425"/>
      <c r="AI117" s="425">
        <f>IF(AI115+AI116&lt;0,AI115+AI116,0)</f>
        <v>-934.31700000000001</v>
      </c>
      <c r="AJ117" s="425"/>
      <c r="AK117" s="425"/>
      <c r="AL117" s="425"/>
      <c r="AM117" s="425"/>
      <c r="AN117" s="659">
        <f>IF(AN115+AN116&lt;0,AN115+AN116,0)</f>
        <v>-1029.5029999999999</v>
      </c>
      <c r="AO117" s="659"/>
      <c r="AP117" s="659"/>
      <c r="AQ117" s="659"/>
      <c r="AR117" s="659"/>
      <c r="AS117" s="659">
        <f>IF(AS115+AS116&lt;0,AS115+AS116,0)</f>
        <v>-1079.32</v>
      </c>
      <c r="AT117" s="659"/>
      <c r="AU117" s="659"/>
      <c r="AV117" s="659"/>
      <c r="AW117" s="659"/>
      <c r="AX117" s="659">
        <f>IF(AX115+AX116&lt;0,AX115+AX116,0)</f>
        <v>-1188.8999999999999</v>
      </c>
      <c r="AY117" s="659"/>
      <c r="AZ117" s="659"/>
      <c r="BA117" s="659"/>
      <c r="BB117" s="659"/>
      <c r="BC117" s="659">
        <f>IF(BC115+BC116&lt;0,BC115+BC116,0)</f>
        <v>-1278.0179054492191</v>
      </c>
      <c r="BD117" s="659"/>
      <c r="BE117" s="659"/>
      <c r="BF117" s="659"/>
      <c r="BG117" s="659"/>
      <c r="BH117" s="659">
        <f>IF(BH115+BH116&lt;0,BH115+BH116,0)</f>
        <v>-1292.6576392148472</v>
      </c>
      <c r="BI117" s="659"/>
      <c r="BJ117" s="659"/>
      <c r="BK117" s="659"/>
      <c r="BL117" s="659"/>
      <c r="BM117" s="660">
        <f>IF(BM115+BM116&lt;0,BM115+BM116,0)</f>
        <v>-1194.1832233073344</v>
      </c>
      <c r="BN117" s="8"/>
      <c r="BO117" s="8"/>
      <c r="BP117" s="8"/>
      <c r="BQ117" s="8"/>
      <c r="BR117" s="8"/>
    </row>
    <row r="118" spans="2:70" hidden="1" outlineLevel="1">
      <c r="B118" s="153"/>
      <c r="C118" s="8"/>
      <c r="D118" s="8"/>
      <c r="E118" s="8"/>
      <c r="F118" s="428"/>
      <c r="G118" s="428"/>
      <c r="H118" s="428"/>
      <c r="I118" s="428"/>
      <c r="J118" s="428"/>
      <c r="K118" s="428"/>
      <c r="L118" s="428"/>
      <c r="M118" s="428"/>
      <c r="N118" s="428"/>
      <c r="O118" s="428"/>
      <c r="P118" s="428"/>
      <c r="Q118" s="428"/>
      <c r="R118" s="428"/>
      <c r="S118" s="428"/>
      <c r="T118" s="428"/>
      <c r="U118" s="428"/>
      <c r="V118" s="428"/>
      <c r="W118" s="428"/>
      <c r="X118" s="428"/>
      <c r="Y118" s="428"/>
      <c r="Z118" s="428"/>
      <c r="AA118" s="428"/>
      <c r="AB118" s="428"/>
      <c r="AC118" s="428"/>
      <c r="AD118" s="428"/>
      <c r="AE118" s="428"/>
      <c r="AF118" s="428"/>
      <c r="AG118" s="428"/>
      <c r="AH118" s="428"/>
      <c r="AI118" s="428"/>
      <c r="AJ118" s="428"/>
      <c r="AK118" s="428"/>
      <c r="AL118" s="428"/>
      <c r="AM118" s="428"/>
      <c r="AN118" s="663"/>
      <c r="AO118" s="663"/>
      <c r="AP118" s="663"/>
      <c r="AQ118" s="663"/>
      <c r="AR118" s="663"/>
      <c r="AS118" s="663"/>
      <c r="AT118" s="663"/>
      <c r="AU118" s="663"/>
      <c r="AV118" s="663"/>
      <c r="AW118" s="663"/>
      <c r="AX118" s="663"/>
      <c r="AY118" s="663"/>
      <c r="AZ118" s="663"/>
      <c r="BA118" s="663"/>
      <c r="BB118" s="663"/>
      <c r="BC118" s="663"/>
      <c r="BD118" s="663"/>
      <c r="BE118" s="663"/>
      <c r="BF118" s="663"/>
      <c r="BG118" s="663"/>
      <c r="BH118" s="663"/>
      <c r="BI118" s="663"/>
      <c r="BJ118" s="663"/>
      <c r="BK118" s="663"/>
      <c r="BL118" s="663"/>
      <c r="BM118" s="664"/>
      <c r="BN118" s="8"/>
      <c r="BO118" s="8"/>
      <c r="BP118" s="8"/>
      <c r="BQ118" s="8"/>
      <c r="BR118" s="8"/>
    </row>
    <row r="119" spans="2:70" hidden="1" outlineLevel="1">
      <c r="B119" s="153" t="s">
        <v>85</v>
      </c>
      <c r="C119" s="8"/>
      <c r="D119" s="8"/>
      <c r="E119" s="8"/>
      <c r="F119" s="125"/>
      <c r="G119" s="125"/>
      <c r="H119" s="125"/>
      <c r="I119" s="125"/>
      <c r="J119" s="125">
        <f>IF(J117&lt;0,0,J116+J115)</f>
        <v>0</v>
      </c>
      <c r="K119" s="125"/>
      <c r="L119" s="125"/>
      <c r="M119" s="125"/>
      <c r="N119" s="125"/>
      <c r="O119" s="125">
        <f>IF(O117&lt;0,0,O116+O115)</f>
        <v>0</v>
      </c>
      <c r="P119" s="125"/>
      <c r="Q119" s="125"/>
      <c r="R119" s="125"/>
      <c r="S119" s="125"/>
      <c r="T119" s="125">
        <f>IF(T117&lt;0,0,T116+T115)</f>
        <v>0</v>
      </c>
      <c r="U119" s="125"/>
      <c r="V119" s="125"/>
      <c r="W119" s="125"/>
      <c r="X119" s="125"/>
      <c r="Y119" s="125">
        <f>IF(Y117&lt;0,0,Y116+Y115)</f>
        <v>0</v>
      </c>
      <c r="Z119" s="125"/>
      <c r="AA119" s="125"/>
      <c r="AB119" s="125"/>
      <c r="AC119" s="125"/>
      <c r="AD119" s="125">
        <f>IF(AD117&lt;0,0,AD116+AD115)</f>
        <v>0</v>
      </c>
      <c r="AE119" s="125"/>
      <c r="AF119" s="125"/>
      <c r="AG119" s="125"/>
      <c r="AH119" s="125"/>
      <c r="AI119" s="125">
        <f>IF(AI117&lt;0,0,AI116+AI115)</f>
        <v>0</v>
      </c>
      <c r="AJ119" s="125"/>
      <c r="AK119" s="125"/>
      <c r="AL119" s="125"/>
      <c r="AM119" s="125"/>
      <c r="AN119" s="665">
        <f>IF(AN117&lt;0,0,AN116+AN115)</f>
        <v>0</v>
      </c>
      <c r="AO119" s="665"/>
      <c r="AP119" s="665"/>
      <c r="AQ119" s="665"/>
      <c r="AR119" s="665"/>
      <c r="AS119" s="665">
        <f>IF(AS117&lt;0,0,AS116+AS115)</f>
        <v>0</v>
      </c>
      <c r="AT119" s="665"/>
      <c r="AU119" s="665"/>
      <c r="AV119" s="665"/>
      <c r="AW119" s="665"/>
      <c r="AX119" s="665">
        <f>IF(AX117&lt;0,0,AX116+AX115)</f>
        <v>0</v>
      </c>
      <c r="AY119" s="665"/>
      <c r="AZ119" s="665"/>
      <c r="BA119" s="665"/>
      <c r="BB119" s="665"/>
      <c r="BC119" s="665">
        <f>IF(BC117&lt;0,0,BC116+BC115)</f>
        <v>0</v>
      </c>
      <c r="BD119" s="665"/>
      <c r="BE119" s="665"/>
      <c r="BF119" s="665"/>
      <c r="BG119" s="665"/>
      <c r="BH119" s="665">
        <f>IF(BH117&lt;0,0,BH116+BH115)</f>
        <v>0</v>
      </c>
      <c r="BI119" s="665"/>
      <c r="BJ119" s="665"/>
      <c r="BK119" s="665"/>
      <c r="BL119" s="665"/>
      <c r="BM119" s="666">
        <f>IF(BM117&lt;0,0,BM116+BM115)</f>
        <v>0</v>
      </c>
      <c r="BN119" s="8"/>
      <c r="BO119" s="8"/>
      <c r="BP119" s="8"/>
      <c r="BQ119" s="8"/>
      <c r="BR119" s="8"/>
    </row>
    <row r="120" spans="2:70" hidden="1" outlineLevel="1">
      <c r="B120" s="153" t="s">
        <v>86</v>
      </c>
      <c r="C120" s="8"/>
      <c r="D120" s="8"/>
      <c r="E120" s="8"/>
      <c r="F120" s="125"/>
      <c r="G120" s="125"/>
      <c r="H120" s="125"/>
      <c r="I120" s="125"/>
      <c r="J120" s="125">
        <f>IF(J117&lt;0,0,J116*J114)</f>
        <v>0</v>
      </c>
      <c r="K120" s="125"/>
      <c r="L120" s="125"/>
      <c r="M120" s="125"/>
      <c r="N120" s="125"/>
      <c r="O120" s="125">
        <f>IF(O117&lt;0,0,O116*O114)</f>
        <v>0</v>
      </c>
      <c r="P120" s="125"/>
      <c r="Q120" s="125"/>
      <c r="R120" s="125"/>
      <c r="S120" s="125"/>
      <c r="T120" s="125">
        <f>IF(T117&lt;0,0,T116*T114)</f>
        <v>0</v>
      </c>
      <c r="U120" s="125"/>
      <c r="V120" s="125"/>
      <c r="W120" s="125"/>
      <c r="X120" s="125"/>
      <c r="Y120" s="125">
        <f>IF(Y117&lt;0,0,Y116*Y114)</f>
        <v>0</v>
      </c>
      <c r="Z120" s="125"/>
      <c r="AA120" s="125"/>
      <c r="AB120" s="125"/>
      <c r="AC120" s="125"/>
      <c r="AD120" s="125">
        <f>IF(AD117&lt;0,0,AD116*AD114)</f>
        <v>0</v>
      </c>
      <c r="AE120" s="125"/>
      <c r="AF120" s="125"/>
      <c r="AG120" s="125"/>
      <c r="AH120" s="125"/>
      <c r="AI120" s="125">
        <f>IF(AI117&lt;0,0,AI116*AI114)</f>
        <v>0</v>
      </c>
      <c r="AJ120" s="125"/>
      <c r="AK120" s="125"/>
      <c r="AL120" s="125"/>
      <c r="AM120" s="125"/>
      <c r="AN120" s="665">
        <f>IF(AN117&lt;0,0,AN116*AN114)</f>
        <v>0</v>
      </c>
      <c r="AO120" s="665"/>
      <c r="AP120" s="665"/>
      <c r="AQ120" s="665"/>
      <c r="AR120" s="665"/>
      <c r="AS120" s="665">
        <f>IF(AS117&lt;0,0,AS116*AS114)</f>
        <v>0</v>
      </c>
      <c r="AT120" s="665"/>
      <c r="AU120" s="665"/>
      <c r="AV120" s="665"/>
      <c r="AW120" s="665"/>
      <c r="AX120" s="665">
        <f>IF(AX117&lt;0,0,AX116*AX114)</f>
        <v>0</v>
      </c>
      <c r="AY120" s="665"/>
      <c r="AZ120" s="665"/>
      <c r="BA120" s="665"/>
      <c r="BB120" s="665"/>
      <c r="BC120" s="665">
        <f>IF(BC117&lt;0,0,BC116*BC114)</f>
        <v>0</v>
      </c>
      <c r="BD120" s="665"/>
      <c r="BE120" s="665"/>
      <c r="BF120" s="665"/>
      <c r="BG120" s="665"/>
      <c r="BH120" s="665">
        <f>IF(BH117&lt;0,0,BH116*BH114)</f>
        <v>0</v>
      </c>
      <c r="BI120" s="665"/>
      <c r="BJ120" s="665"/>
      <c r="BK120" s="665"/>
      <c r="BL120" s="665"/>
      <c r="BM120" s="666">
        <f>IF(BM117&lt;0,0,BM116*BM114)</f>
        <v>0</v>
      </c>
      <c r="BN120" s="8"/>
      <c r="BO120" s="8"/>
      <c r="BP120" s="8"/>
      <c r="BQ120" s="8"/>
      <c r="BR120" s="8"/>
    </row>
    <row r="121" spans="2:70" hidden="1" outlineLevel="1">
      <c r="B121" s="154" t="s">
        <v>87</v>
      </c>
      <c r="C121" s="429"/>
      <c r="D121" s="120"/>
      <c r="E121" s="120"/>
      <c r="F121" s="430"/>
      <c r="G121" s="430"/>
      <c r="H121" s="430"/>
      <c r="I121" s="430"/>
      <c r="J121" s="430">
        <f>J119*J114</f>
        <v>0</v>
      </c>
      <c r="K121" s="430"/>
      <c r="L121" s="430"/>
      <c r="M121" s="430"/>
      <c r="N121" s="430"/>
      <c r="O121" s="430">
        <f>O119*O114</f>
        <v>0</v>
      </c>
      <c r="P121" s="430"/>
      <c r="Q121" s="430"/>
      <c r="R121" s="430"/>
      <c r="S121" s="430"/>
      <c r="T121" s="430">
        <f>T119*T114</f>
        <v>0</v>
      </c>
      <c r="U121" s="430"/>
      <c r="V121" s="430"/>
      <c r="W121" s="430"/>
      <c r="X121" s="430"/>
      <c r="Y121" s="430">
        <f>Y119*Y114</f>
        <v>0</v>
      </c>
      <c r="Z121" s="430"/>
      <c r="AA121" s="430"/>
      <c r="AB121" s="430"/>
      <c r="AC121" s="430"/>
      <c r="AD121" s="430">
        <f>AD119*AD114</f>
        <v>0</v>
      </c>
      <c r="AE121" s="430"/>
      <c r="AF121" s="430"/>
      <c r="AG121" s="430"/>
      <c r="AH121" s="430"/>
      <c r="AI121" s="430">
        <f>AI119*AI114</f>
        <v>0</v>
      </c>
      <c r="AJ121" s="430"/>
      <c r="AK121" s="430"/>
      <c r="AL121" s="430"/>
      <c r="AM121" s="430"/>
      <c r="AN121" s="667">
        <f>AN119*AN114</f>
        <v>0</v>
      </c>
      <c r="AO121" s="667"/>
      <c r="AP121" s="667"/>
      <c r="AQ121" s="667"/>
      <c r="AR121" s="667"/>
      <c r="AS121" s="667">
        <f>AS119*AS114</f>
        <v>0</v>
      </c>
      <c r="AT121" s="667"/>
      <c r="AU121" s="667"/>
      <c r="AV121" s="667"/>
      <c r="AW121" s="667"/>
      <c r="AX121" s="667">
        <f>AX119*AX114</f>
        <v>0</v>
      </c>
      <c r="AY121" s="667"/>
      <c r="AZ121" s="667"/>
      <c r="BA121" s="667"/>
      <c r="BB121" s="667"/>
      <c r="BC121" s="667">
        <f>BC119*BC114</f>
        <v>0</v>
      </c>
      <c r="BD121" s="667"/>
      <c r="BE121" s="667"/>
      <c r="BF121" s="667"/>
      <c r="BG121" s="667"/>
      <c r="BH121" s="667">
        <f>BH119*BH114</f>
        <v>0</v>
      </c>
      <c r="BI121" s="667"/>
      <c r="BJ121" s="667"/>
      <c r="BK121" s="667"/>
      <c r="BL121" s="667"/>
      <c r="BM121" s="668">
        <f>BM119*BM114</f>
        <v>0</v>
      </c>
      <c r="BN121" s="8"/>
      <c r="BO121" s="8"/>
      <c r="BP121" s="8"/>
      <c r="BQ121" s="8"/>
      <c r="BR121" s="8"/>
    </row>
    <row r="122" spans="2:70" hidden="1" outlineLevel="1">
      <c r="T122" s="431">
        <f>T126/4</f>
        <v>0.33150000000000002</v>
      </c>
      <c r="AN122" s="655"/>
      <c r="AO122" s="655"/>
      <c r="AP122" s="655"/>
      <c r="AQ122" s="655"/>
      <c r="AR122" s="655"/>
      <c r="AS122" s="655"/>
      <c r="AT122" s="655"/>
      <c r="AU122" s="655"/>
      <c r="AV122" s="655"/>
      <c r="AW122" s="655"/>
      <c r="AX122" s="655"/>
      <c r="AY122" s="655"/>
      <c r="AZ122" s="655"/>
      <c r="BA122" s="655"/>
      <c r="BB122" s="655"/>
      <c r="BC122" s="655"/>
      <c r="BD122" s="655"/>
      <c r="BE122" s="655"/>
      <c r="BF122" s="655"/>
      <c r="BG122" s="655"/>
      <c r="BH122" s="655"/>
      <c r="BI122" s="655"/>
      <c r="BJ122" s="655"/>
      <c r="BK122" s="655"/>
      <c r="BL122" s="655"/>
      <c r="BM122" s="655"/>
    </row>
    <row r="123" spans="2:70" hidden="1" outlineLevel="1">
      <c r="B123" s="25" t="s">
        <v>88</v>
      </c>
      <c r="C123" s="25"/>
      <c r="AN123" s="655"/>
      <c r="AO123" s="655"/>
      <c r="AP123" s="655"/>
      <c r="AQ123" s="655"/>
      <c r="AR123" s="655"/>
      <c r="AS123" s="655"/>
      <c r="AT123" s="655"/>
      <c r="AU123" s="655"/>
      <c r="AV123" s="655"/>
      <c r="AW123" s="655"/>
      <c r="AX123" s="655"/>
      <c r="AY123" s="655"/>
      <c r="AZ123" s="655"/>
      <c r="BA123" s="655"/>
      <c r="BB123" s="655"/>
      <c r="BC123" s="655"/>
      <c r="BD123" s="655"/>
      <c r="BE123" s="655"/>
      <c r="BF123" s="655"/>
      <c r="BG123" s="655"/>
      <c r="BH123" s="655"/>
      <c r="BI123" s="655"/>
      <c r="BJ123" s="655"/>
      <c r="BK123" s="655"/>
      <c r="BL123" s="655"/>
      <c r="BM123" s="655"/>
    </row>
    <row r="124" spans="2:70" hidden="1" outlineLevel="1">
      <c r="B124" s="155" t="s">
        <v>89</v>
      </c>
      <c r="C124" s="232"/>
      <c r="D124" s="232"/>
      <c r="E124" s="432"/>
      <c r="F124" s="433"/>
      <c r="G124" s="433"/>
      <c r="H124" s="433"/>
      <c r="I124" s="433"/>
      <c r="J124" s="433">
        <f>AVERAGE(BS!E6:E7,BS!F6:F7)</f>
        <v>94.317999999999998</v>
      </c>
      <c r="K124" s="433"/>
      <c r="L124" s="433"/>
      <c r="M124" s="433"/>
      <c r="N124" s="433"/>
      <c r="O124" s="433">
        <f>AVERAGE(BS!F6:F7,BS!G6:G7)</f>
        <v>123.44433333333332</v>
      </c>
      <c r="P124" s="433"/>
      <c r="Q124" s="433"/>
      <c r="R124" s="433"/>
      <c r="S124" s="433"/>
      <c r="T124" s="433">
        <f>AVERAGE(BS!G6:G7,BS!H6:H7)</f>
        <v>103.01075000000002</v>
      </c>
      <c r="U124" s="433"/>
      <c r="V124" s="433"/>
      <c r="W124" s="433"/>
      <c r="X124" s="433"/>
      <c r="Y124" s="433">
        <f>AVERAGE(BS!H6:H7,BS!I6:I7)</f>
        <v>83.061000000000007</v>
      </c>
      <c r="Z124" s="433"/>
      <c r="AA124" s="433"/>
      <c r="AB124" s="433"/>
      <c r="AC124" s="433"/>
      <c r="AD124" s="433">
        <f>AVERAGE(BS!I6:I7,BS!J6:J7)</f>
        <v>91.457499999999996</v>
      </c>
      <c r="AE124" s="433"/>
      <c r="AF124" s="433"/>
      <c r="AG124" s="433"/>
      <c r="AH124" s="433"/>
      <c r="AI124" s="433">
        <f>AVERAGE(BS!J6:J7,BS!K6:K7)</f>
        <v>111.48400000000001</v>
      </c>
      <c r="AJ124" s="433"/>
      <c r="AK124" s="433"/>
      <c r="AL124" s="433"/>
      <c r="AM124" s="433"/>
      <c r="AN124" s="669">
        <f>AVERAGE(BS!K6:K7,BS!L6:L7)</f>
        <v>171.93199999999999</v>
      </c>
      <c r="AO124" s="669"/>
      <c r="AP124" s="669"/>
      <c r="AQ124" s="669"/>
      <c r="AR124" s="669"/>
      <c r="AS124" s="669">
        <f>AVERAGE(BS!L6:L7,BS!M6:M7)</f>
        <v>186.1525</v>
      </c>
      <c r="AT124" s="669"/>
      <c r="AU124" s="669"/>
      <c r="AV124" s="669"/>
      <c r="AW124" s="669"/>
      <c r="AX124" s="669">
        <f>AVERAGE(BS!M6:M7,BS!N6:N7)</f>
        <v>131.65800000000002</v>
      </c>
      <c r="AY124" s="669"/>
      <c r="AZ124" s="669"/>
      <c r="BA124" s="669"/>
      <c r="BB124" s="669"/>
      <c r="BC124" s="669">
        <f>AVERAGE(BS!N6:N7,BS!O6:O7)</f>
        <v>79.255155694273952</v>
      </c>
      <c r="BD124" s="669"/>
      <c r="BE124" s="669"/>
      <c r="BF124" s="669"/>
      <c r="BG124" s="669"/>
      <c r="BH124" s="669">
        <f>AVERAGE(BS!O6:O7,BS!P6:P7)</f>
        <v>29.137181419373071</v>
      </c>
      <c r="BI124" s="669"/>
      <c r="BJ124" s="669"/>
      <c r="BK124" s="669"/>
      <c r="BL124" s="669"/>
      <c r="BM124" s="670">
        <f>AVERAGE(BS!P6:P7,BS!Q6:Q7)</f>
        <v>14.375521276054002</v>
      </c>
      <c r="BN124" s="73"/>
    </row>
    <row r="125" spans="2:70" hidden="1" outlineLevel="1">
      <c r="B125" s="153" t="s">
        <v>90</v>
      </c>
      <c r="C125" s="8"/>
      <c r="D125" s="8"/>
      <c r="E125" s="434"/>
      <c r="F125" s="240"/>
      <c r="G125" s="240"/>
      <c r="H125" s="240"/>
      <c r="I125" s="240"/>
      <c r="J125" s="202">
        <v>2.5000000000000001E-3</v>
      </c>
      <c r="K125" s="240"/>
      <c r="L125" s="240"/>
      <c r="M125" s="240"/>
      <c r="N125" s="240"/>
      <c r="O125" s="202">
        <f>O127/O124</f>
        <v>4.9739018666983504E-3</v>
      </c>
      <c r="P125" s="240"/>
      <c r="Q125" s="240"/>
      <c r="R125" s="240"/>
      <c r="S125" s="240"/>
      <c r="T125" s="202">
        <f>T127/T124</f>
        <v>1.2872442924646213E-2</v>
      </c>
      <c r="U125" s="240"/>
      <c r="V125" s="240"/>
      <c r="W125" s="240"/>
      <c r="X125" s="240"/>
      <c r="Y125" s="202">
        <f>Y127/Y124</f>
        <v>1.6614295517752013E-3</v>
      </c>
      <c r="Z125" s="240"/>
      <c r="AA125" s="240"/>
      <c r="AB125" s="240"/>
      <c r="AC125" s="240"/>
      <c r="AD125" s="202">
        <f>AD127/AD124</f>
        <v>0</v>
      </c>
      <c r="AE125" s="240"/>
      <c r="AF125" s="240"/>
      <c r="AG125" s="240"/>
      <c r="AH125" s="240"/>
      <c r="AI125" s="202">
        <f>AI127/AI124</f>
        <v>0</v>
      </c>
      <c r="AJ125" s="240"/>
      <c r="AK125" s="240"/>
      <c r="AL125" s="240"/>
      <c r="AM125" s="240"/>
      <c r="AN125" s="671">
        <f>AI125</f>
        <v>0</v>
      </c>
      <c r="AO125" s="671"/>
      <c r="AP125" s="671"/>
      <c r="AQ125" s="671"/>
      <c r="AR125" s="671"/>
      <c r="AS125" s="671">
        <f>AN125</f>
        <v>0</v>
      </c>
      <c r="AT125" s="671"/>
      <c r="AU125" s="671"/>
      <c r="AV125" s="671"/>
      <c r="AW125" s="671"/>
      <c r="AX125" s="671">
        <f>AS125</f>
        <v>0</v>
      </c>
      <c r="AY125" s="671"/>
      <c r="AZ125" s="671"/>
      <c r="BA125" s="671"/>
      <c r="BB125" s="671"/>
      <c r="BC125" s="671">
        <f>AX125</f>
        <v>0</v>
      </c>
      <c r="BD125" s="671"/>
      <c r="BE125" s="671"/>
      <c r="BF125" s="671"/>
      <c r="BG125" s="671"/>
      <c r="BH125" s="671">
        <f>BC125</f>
        <v>0</v>
      </c>
      <c r="BI125" s="671"/>
      <c r="BJ125" s="671"/>
      <c r="BK125" s="671"/>
      <c r="BL125" s="671"/>
      <c r="BM125" s="672">
        <f>BH125</f>
        <v>0</v>
      </c>
      <c r="BN125" s="73"/>
    </row>
    <row r="126" spans="2:70" hidden="1" outlineLevel="1">
      <c r="B126" s="154" t="s">
        <v>88</v>
      </c>
      <c r="C126" s="429"/>
      <c r="D126" s="120"/>
      <c r="E126" s="435"/>
      <c r="F126" s="436"/>
      <c r="G126" s="436"/>
      <c r="H126" s="436"/>
      <c r="I126" s="436"/>
      <c r="J126" s="436">
        <f>J125*J124</f>
        <v>0.235795</v>
      </c>
      <c r="K126" s="436"/>
      <c r="L126" s="436"/>
      <c r="M126" s="436"/>
      <c r="N126" s="436"/>
      <c r="O126" s="436">
        <f>O125*O124</f>
        <v>0.61399999999999999</v>
      </c>
      <c r="P126" s="436"/>
      <c r="Q126" s="436"/>
      <c r="R126" s="436"/>
      <c r="S126" s="436"/>
      <c r="T126" s="436">
        <f>T125*T124</f>
        <v>1.3260000000000001</v>
      </c>
      <c r="U126" s="436"/>
      <c r="V126" s="436"/>
      <c r="W126" s="436"/>
      <c r="X126" s="436"/>
      <c r="Y126" s="436">
        <f>Y125*Y124</f>
        <v>0.13800000000000001</v>
      </c>
      <c r="Z126" s="436"/>
      <c r="AA126" s="436"/>
      <c r="AB126" s="436"/>
      <c r="AC126" s="436"/>
      <c r="AD126" s="436">
        <f>AD125*AD124</f>
        <v>0</v>
      </c>
      <c r="AE126" s="436"/>
      <c r="AF126" s="436"/>
      <c r="AG126" s="436"/>
      <c r="AH126" s="436"/>
      <c r="AI126" s="436">
        <f>AI125*AI124</f>
        <v>0</v>
      </c>
      <c r="AJ126" s="436"/>
      <c r="AK126" s="436"/>
      <c r="AL126" s="436"/>
      <c r="AM126" s="436"/>
      <c r="AN126" s="673">
        <f>AN125*AI124</f>
        <v>0</v>
      </c>
      <c r="AO126" s="673">
        <f t="shared" ref="AO126:BM126" si="103">AO125*AJ124</f>
        <v>0</v>
      </c>
      <c r="AP126" s="673">
        <f t="shared" si="103"/>
        <v>0</v>
      </c>
      <c r="AQ126" s="673">
        <f t="shared" si="103"/>
        <v>0</v>
      </c>
      <c r="AR126" s="673">
        <f t="shared" si="103"/>
        <v>0</v>
      </c>
      <c r="AS126" s="673">
        <f t="shared" si="103"/>
        <v>0</v>
      </c>
      <c r="AT126" s="673">
        <f t="shared" si="103"/>
        <v>0</v>
      </c>
      <c r="AU126" s="673">
        <f t="shared" si="103"/>
        <v>0</v>
      </c>
      <c r="AV126" s="673">
        <f t="shared" si="103"/>
        <v>0</v>
      </c>
      <c r="AW126" s="673">
        <f t="shared" si="103"/>
        <v>0</v>
      </c>
      <c r="AX126" s="673">
        <f t="shared" si="103"/>
        <v>0</v>
      </c>
      <c r="AY126" s="673">
        <f t="shared" si="103"/>
        <v>0</v>
      </c>
      <c r="AZ126" s="673">
        <f t="shared" si="103"/>
        <v>0</v>
      </c>
      <c r="BA126" s="673">
        <f t="shared" si="103"/>
        <v>0</v>
      </c>
      <c r="BB126" s="673">
        <f t="shared" si="103"/>
        <v>0</v>
      </c>
      <c r="BC126" s="673">
        <f t="shared" si="103"/>
        <v>0</v>
      </c>
      <c r="BD126" s="673">
        <f t="shared" si="103"/>
        <v>0</v>
      </c>
      <c r="BE126" s="673">
        <f t="shared" si="103"/>
        <v>0</v>
      </c>
      <c r="BF126" s="673">
        <f t="shared" si="103"/>
        <v>0</v>
      </c>
      <c r="BG126" s="673">
        <f t="shared" si="103"/>
        <v>0</v>
      </c>
      <c r="BH126" s="673">
        <f t="shared" si="103"/>
        <v>0</v>
      </c>
      <c r="BI126" s="673">
        <f t="shared" si="103"/>
        <v>0</v>
      </c>
      <c r="BJ126" s="673">
        <f t="shared" si="103"/>
        <v>0</v>
      </c>
      <c r="BK126" s="673">
        <f t="shared" si="103"/>
        <v>0</v>
      </c>
      <c r="BL126" s="673">
        <f t="shared" si="103"/>
        <v>0</v>
      </c>
      <c r="BM126" s="674">
        <f t="shared" si="103"/>
        <v>0</v>
      </c>
      <c r="BN126" s="73"/>
    </row>
    <row r="127" spans="2:70" hidden="1" outlineLevel="1">
      <c r="B127" s="15"/>
      <c r="C127" s="15"/>
      <c r="D127" s="8"/>
      <c r="E127" s="437"/>
      <c r="F127" s="438"/>
      <c r="G127" s="438"/>
      <c r="H127" s="438"/>
      <c r="I127" s="438"/>
      <c r="J127" s="439">
        <f>J55</f>
        <v>0.24</v>
      </c>
      <c r="K127" s="438"/>
      <c r="L127" s="438"/>
      <c r="M127" s="438"/>
      <c r="N127" s="438"/>
      <c r="O127" s="439">
        <f>O55</f>
        <v>0.61399999999999999</v>
      </c>
      <c r="P127" s="438"/>
      <c r="Q127" s="438"/>
      <c r="R127" s="438"/>
      <c r="S127" s="438"/>
      <c r="T127" s="439">
        <f>T55</f>
        <v>1.3260000000000001</v>
      </c>
      <c r="U127" s="438"/>
      <c r="V127" s="438"/>
      <c r="W127" s="438"/>
      <c r="X127" s="438"/>
      <c r="Y127" s="439">
        <f>Y55</f>
        <v>0.13800000000000001</v>
      </c>
      <c r="Z127" s="438"/>
      <c r="AA127" s="438"/>
      <c r="AB127" s="438"/>
      <c r="AC127" s="438"/>
      <c r="AD127" s="439">
        <f>AD55</f>
        <v>0</v>
      </c>
      <c r="AE127" s="438"/>
      <c r="AF127" s="438"/>
      <c r="AG127" s="438"/>
      <c r="AH127" s="438"/>
      <c r="AI127" s="439">
        <f>AI55</f>
        <v>0</v>
      </c>
      <c r="AJ127" s="438"/>
      <c r="AK127" s="438"/>
      <c r="AL127" s="438"/>
      <c r="AM127" s="438"/>
      <c r="AN127" s="675"/>
      <c r="AO127" s="675"/>
      <c r="AP127" s="675"/>
      <c r="AQ127" s="675"/>
      <c r="AR127" s="675"/>
      <c r="AS127" s="675"/>
      <c r="AT127" s="675"/>
      <c r="AU127" s="675"/>
      <c r="AV127" s="675"/>
      <c r="AW127" s="675"/>
      <c r="AX127" s="675"/>
      <c r="AY127" s="675"/>
      <c r="AZ127" s="675"/>
      <c r="BA127" s="675"/>
      <c r="BB127" s="675"/>
      <c r="BC127" s="675"/>
      <c r="BD127" s="675"/>
      <c r="BE127" s="675"/>
      <c r="BF127" s="675"/>
      <c r="BG127" s="675"/>
      <c r="BH127" s="675"/>
      <c r="BI127" s="675"/>
      <c r="BJ127" s="675"/>
      <c r="BK127" s="675"/>
      <c r="BL127" s="675"/>
      <c r="BM127" s="675"/>
      <c r="BN127" s="73"/>
    </row>
    <row r="128" spans="2:70" hidden="1" outlineLevel="1">
      <c r="B128" s="15"/>
      <c r="C128" s="15"/>
      <c r="AN128" s="655"/>
      <c r="AO128" s="655"/>
      <c r="AP128" s="655"/>
      <c r="AQ128" s="655"/>
      <c r="AR128" s="655"/>
      <c r="AS128" s="655"/>
      <c r="AT128" s="655"/>
      <c r="AU128" s="655"/>
      <c r="AV128" s="655"/>
      <c r="AW128" s="655"/>
      <c r="AX128" s="655"/>
      <c r="AY128" s="655"/>
      <c r="AZ128" s="655"/>
      <c r="BA128" s="655"/>
      <c r="BB128" s="655"/>
      <c r="BC128" s="655"/>
      <c r="BD128" s="655"/>
      <c r="BE128" s="655"/>
      <c r="BF128" s="655"/>
      <c r="BG128" s="655"/>
      <c r="BH128" s="655"/>
      <c r="BI128" s="655"/>
      <c r="BJ128" s="655"/>
      <c r="BK128" s="655"/>
      <c r="BL128" s="655"/>
      <c r="BM128" s="655"/>
    </row>
    <row r="129" spans="2:65" hidden="1" outlineLevel="1">
      <c r="B129" s="429" t="s">
        <v>150</v>
      </c>
      <c r="C129" s="429"/>
      <c r="D129" s="120"/>
      <c r="E129" s="120"/>
      <c r="F129" s="995"/>
      <c r="G129" s="995"/>
      <c r="H129" s="995"/>
      <c r="I129" s="995"/>
      <c r="J129" s="995" t="s">
        <v>7</v>
      </c>
      <c r="K129" s="995"/>
      <c r="L129" s="995"/>
      <c r="M129" s="995"/>
      <c r="N129" s="995"/>
      <c r="O129" s="995" t="s">
        <v>314</v>
      </c>
      <c r="P129" s="995"/>
      <c r="Q129" s="995"/>
      <c r="R129" s="995"/>
      <c r="S129" s="995"/>
      <c r="T129" s="391" t="s">
        <v>351</v>
      </c>
      <c r="U129" s="391"/>
      <c r="V129" s="391"/>
      <c r="W129" s="391"/>
      <c r="X129" s="391"/>
      <c r="Y129" s="391" t="s">
        <v>393</v>
      </c>
      <c r="Z129" s="391"/>
      <c r="AA129" s="391"/>
      <c r="AB129" s="391"/>
      <c r="AC129" s="391"/>
      <c r="AD129" s="391" t="s">
        <v>400</v>
      </c>
      <c r="AE129" s="391"/>
      <c r="AF129" s="391"/>
      <c r="AG129" s="391"/>
      <c r="AH129" s="391"/>
      <c r="AI129" s="391" t="s">
        <v>460</v>
      </c>
      <c r="AJ129" s="391"/>
      <c r="AK129" s="391"/>
      <c r="AL129" s="391"/>
      <c r="AM129" s="391"/>
      <c r="AN129" s="874" t="s">
        <v>477</v>
      </c>
      <c r="AO129" s="874"/>
      <c r="AP129" s="874"/>
      <c r="AQ129" s="874"/>
      <c r="AR129" s="874"/>
      <c r="AS129" s="874" t="s">
        <v>34</v>
      </c>
      <c r="AT129" s="874"/>
      <c r="AU129" s="874"/>
      <c r="AV129" s="874"/>
      <c r="AW129" s="874"/>
      <c r="AX129" s="874" t="s">
        <v>35</v>
      </c>
      <c r="AY129" s="874"/>
      <c r="AZ129" s="874"/>
      <c r="BA129" s="874"/>
      <c r="BB129" s="874"/>
      <c r="BC129" s="874" t="s">
        <v>36</v>
      </c>
      <c r="BD129" s="874"/>
      <c r="BE129" s="874"/>
      <c r="BF129" s="874"/>
      <c r="BG129" s="874"/>
      <c r="BH129" s="874" t="s">
        <v>359</v>
      </c>
      <c r="BI129" s="874"/>
      <c r="BJ129" s="874"/>
      <c r="BK129" s="874"/>
      <c r="BL129" s="874"/>
      <c r="BM129" s="874" t="s">
        <v>360</v>
      </c>
    </row>
    <row r="130" spans="2:65" hidden="1" outlineLevel="1">
      <c r="B130" s="231" t="s">
        <v>524</v>
      </c>
      <c r="C130" s="386"/>
      <c r="D130" s="232"/>
      <c r="E130" s="232"/>
      <c r="F130" s="992"/>
      <c r="G130" s="992"/>
      <c r="H130" s="992"/>
      <c r="I130" s="992"/>
      <c r="J130" s="992"/>
      <c r="K130" s="992"/>
      <c r="L130" s="992"/>
      <c r="M130" s="992"/>
      <c r="N130" s="992"/>
      <c r="O130" s="992"/>
      <c r="P130" s="992"/>
      <c r="Q130" s="992"/>
      <c r="R130" s="992"/>
      <c r="S130" s="992"/>
      <c r="T130" s="993"/>
      <c r="U130" s="993"/>
      <c r="V130" s="993"/>
      <c r="W130" s="993"/>
      <c r="X130" s="993"/>
      <c r="Y130" s="993"/>
      <c r="Z130" s="993"/>
      <c r="AA130" s="993"/>
      <c r="AB130" s="993"/>
      <c r="AC130" s="993"/>
      <c r="AD130" s="993"/>
      <c r="AE130" s="993"/>
      <c r="AF130" s="993"/>
      <c r="AG130" s="993"/>
      <c r="AH130" s="993"/>
      <c r="AI130" s="993"/>
      <c r="AJ130" s="993"/>
      <c r="AK130" s="993"/>
      <c r="AL130" s="993"/>
      <c r="AM130" s="993"/>
      <c r="AN130" s="872"/>
      <c r="AO130" s="872"/>
      <c r="AP130" s="872"/>
      <c r="AQ130" s="872"/>
      <c r="AR130" s="872"/>
      <c r="AS130" s="872"/>
      <c r="AT130" s="872"/>
      <c r="AU130" s="872"/>
      <c r="AV130" s="872"/>
      <c r="AW130" s="872"/>
      <c r="AX130" s="872"/>
      <c r="AY130" s="872"/>
      <c r="AZ130" s="872"/>
      <c r="BA130" s="872"/>
      <c r="BB130" s="872"/>
      <c r="BC130" s="872"/>
      <c r="BD130" s="872"/>
      <c r="BE130" s="872"/>
      <c r="BF130" s="872"/>
      <c r="BG130" s="872"/>
      <c r="BH130" s="872"/>
      <c r="BI130" s="872"/>
      <c r="BJ130" s="872"/>
      <c r="BK130" s="872"/>
      <c r="BL130" s="872"/>
      <c r="BM130" s="994"/>
    </row>
    <row r="131" spans="2:65" hidden="1" outlineLevel="1">
      <c r="B131" s="228" t="s">
        <v>188</v>
      </c>
      <c r="C131" s="108"/>
      <c r="D131" s="8"/>
      <c r="E131" s="8"/>
      <c r="F131" s="96"/>
      <c r="G131" s="96"/>
      <c r="H131" s="96"/>
      <c r="I131" s="96"/>
      <c r="J131" s="8"/>
      <c r="K131" s="96"/>
      <c r="L131" s="96"/>
      <c r="M131" s="96"/>
      <c r="N131" s="96"/>
      <c r="O131" s="96"/>
      <c r="P131" s="96"/>
      <c r="Q131" s="96"/>
      <c r="R131" s="96"/>
      <c r="S131" s="96"/>
      <c r="T131" s="96"/>
      <c r="U131" s="96"/>
      <c r="V131" s="96"/>
      <c r="W131" s="96"/>
      <c r="X131" s="96"/>
      <c r="Y131" s="96"/>
      <c r="Z131" s="96"/>
      <c r="AA131" s="96"/>
      <c r="AB131" s="96"/>
      <c r="AC131" s="96"/>
      <c r="AD131" s="991">
        <v>175</v>
      </c>
      <c r="AE131" s="96"/>
      <c r="AF131" s="96"/>
      <c r="AG131" s="96"/>
      <c r="AH131" s="96"/>
      <c r="AI131" s="96">
        <f>AD138</f>
        <v>174.672</v>
      </c>
      <c r="AJ131" s="96"/>
      <c r="AK131" s="96"/>
      <c r="AL131" s="96"/>
      <c r="AM131" s="96"/>
      <c r="AN131" s="602">
        <f>AI138+AI151</f>
        <v>173.596</v>
      </c>
      <c r="AO131" s="602"/>
      <c r="AP131" s="602"/>
      <c r="AQ131" s="602"/>
      <c r="AR131" s="602"/>
      <c r="AS131" s="602">
        <f>AN138+AN151</f>
        <v>182.892</v>
      </c>
      <c r="AT131" s="602"/>
      <c r="AU131" s="602"/>
      <c r="AV131" s="602"/>
      <c r="AW131" s="602"/>
      <c r="AX131" s="1017">
        <v>0</v>
      </c>
      <c r="AY131" s="602"/>
      <c r="AZ131" s="602"/>
      <c r="BA131" s="602"/>
      <c r="BB131" s="602"/>
      <c r="BC131" s="602">
        <f>AX138</f>
        <v>0</v>
      </c>
      <c r="BD131" s="602"/>
      <c r="BE131" s="602"/>
      <c r="BF131" s="602"/>
      <c r="BG131" s="602"/>
      <c r="BH131" s="602">
        <f>BC138</f>
        <v>0</v>
      </c>
      <c r="BI131" s="602"/>
      <c r="BJ131" s="602"/>
      <c r="BK131" s="602"/>
      <c r="BL131" s="602"/>
      <c r="BM131" s="684">
        <f>BH138</f>
        <v>0</v>
      </c>
    </row>
    <row r="132" spans="2:65" hidden="1" outlineLevel="1">
      <c r="B132" s="228" t="s">
        <v>374</v>
      </c>
      <c r="C132" s="108"/>
      <c r="D132" s="8"/>
      <c r="E132" s="8"/>
      <c r="F132" s="92"/>
      <c r="G132" s="92"/>
      <c r="H132" s="92"/>
      <c r="I132" s="92"/>
      <c r="J132" s="8"/>
      <c r="K132" s="92"/>
      <c r="L132" s="92"/>
      <c r="M132" s="92"/>
      <c r="N132" s="92"/>
      <c r="O132" s="96"/>
      <c r="P132" s="92"/>
      <c r="Q132" s="92"/>
      <c r="R132" s="92"/>
      <c r="S132" s="92"/>
      <c r="T132" s="96"/>
      <c r="U132" s="92"/>
      <c r="V132" s="92"/>
      <c r="W132" s="92"/>
      <c r="X132" s="92"/>
      <c r="Y132" s="96"/>
      <c r="Z132" s="92"/>
      <c r="AA132" s="92"/>
      <c r="AB132" s="92"/>
      <c r="AC132" s="92"/>
      <c r="AD132" s="96">
        <f>AD131*AD133</f>
        <v>19.25</v>
      </c>
      <c r="AE132" s="92"/>
      <c r="AF132" s="92"/>
      <c r="AG132" s="92"/>
      <c r="AH132" s="92"/>
      <c r="AI132" s="96">
        <f>AI131*AI133</f>
        <v>19.213919999999998</v>
      </c>
      <c r="AJ132" s="92"/>
      <c r="AK132" s="92"/>
      <c r="AL132" s="92"/>
      <c r="AM132" s="92"/>
      <c r="AN132" s="676">
        <f>AN131*AN133</f>
        <v>19.095559999999999</v>
      </c>
      <c r="AO132" s="676"/>
      <c r="AP132" s="676"/>
      <c r="AQ132" s="676"/>
      <c r="AR132" s="676"/>
      <c r="AS132" s="676">
        <f>AS131*AS133</f>
        <v>20.118120000000001</v>
      </c>
      <c r="AT132" s="676"/>
      <c r="AU132" s="676"/>
      <c r="AV132" s="676"/>
      <c r="AW132" s="676"/>
      <c r="AX132" s="676">
        <f>AX131*AX133</f>
        <v>0</v>
      </c>
      <c r="AY132" s="676"/>
      <c r="AZ132" s="676"/>
      <c r="BA132" s="676"/>
      <c r="BB132" s="676"/>
      <c r="BC132" s="676">
        <f>BC131*BC133</f>
        <v>0</v>
      </c>
      <c r="BD132" s="676"/>
      <c r="BE132" s="676"/>
      <c r="BF132" s="676"/>
      <c r="BG132" s="676"/>
      <c r="BH132" s="676">
        <f>BH131*BH133</f>
        <v>0</v>
      </c>
      <c r="BI132" s="676"/>
      <c r="BJ132" s="676"/>
      <c r="BK132" s="676"/>
      <c r="BL132" s="676"/>
      <c r="BM132" s="677">
        <f>BM131*BM133</f>
        <v>0</v>
      </c>
    </row>
    <row r="133" spans="2:65" hidden="1" outlineLevel="1">
      <c r="B133" s="229" t="s">
        <v>371</v>
      </c>
      <c r="C133" s="108"/>
      <c r="D133" s="8"/>
      <c r="E133" s="8"/>
      <c r="F133" s="223"/>
      <c r="G133" s="223"/>
      <c r="H133" s="223"/>
      <c r="I133" s="223"/>
      <c r="J133" s="8"/>
      <c r="K133" s="223"/>
      <c r="L133" s="223"/>
      <c r="M133" s="223"/>
      <c r="N133" s="223"/>
      <c r="O133" s="141"/>
      <c r="P133" s="223"/>
      <c r="Q133" s="223"/>
      <c r="R133" s="223"/>
      <c r="S133" s="223"/>
      <c r="T133" s="141"/>
      <c r="U133" s="223"/>
      <c r="V133" s="223"/>
      <c r="W133" s="223"/>
      <c r="X133" s="223"/>
      <c r="Y133" s="141"/>
      <c r="Z133" s="223"/>
      <c r="AA133" s="223"/>
      <c r="AB133" s="223"/>
      <c r="AC133" s="223"/>
      <c r="AD133" s="223">
        <v>0.11</v>
      </c>
      <c r="AE133" s="223"/>
      <c r="AF133" s="223"/>
      <c r="AG133" s="223"/>
      <c r="AH133" s="223"/>
      <c r="AI133" s="499">
        <v>0.11</v>
      </c>
      <c r="AJ133" s="223"/>
      <c r="AK133" s="223"/>
      <c r="AL133" s="223"/>
      <c r="AM133" s="223"/>
      <c r="AN133" s="678">
        <f>AI133</f>
        <v>0.11</v>
      </c>
      <c r="AO133" s="678"/>
      <c r="AP133" s="678"/>
      <c r="AQ133" s="678"/>
      <c r="AR133" s="678"/>
      <c r="AS133" s="678">
        <f>AN133</f>
        <v>0.11</v>
      </c>
      <c r="AT133" s="678"/>
      <c r="AU133" s="678"/>
      <c r="AV133" s="678"/>
      <c r="AW133" s="678"/>
      <c r="AX133" s="678">
        <f>AS133</f>
        <v>0.11</v>
      </c>
      <c r="AY133" s="678"/>
      <c r="AZ133" s="678"/>
      <c r="BA133" s="678"/>
      <c r="BB133" s="678"/>
      <c r="BC133" s="678">
        <f>AX133</f>
        <v>0.11</v>
      </c>
      <c r="BD133" s="678"/>
      <c r="BE133" s="678"/>
      <c r="BF133" s="678"/>
      <c r="BG133" s="678"/>
      <c r="BH133" s="678">
        <f>BC133</f>
        <v>0.11</v>
      </c>
      <c r="BI133" s="678"/>
      <c r="BJ133" s="678"/>
      <c r="BK133" s="678"/>
      <c r="BL133" s="678"/>
      <c r="BM133" s="679">
        <f>BH133</f>
        <v>0.11</v>
      </c>
    </row>
    <row r="134" spans="2:65" hidden="1" outlineLevel="1">
      <c r="B134" s="228" t="s">
        <v>372</v>
      </c>
      <c r="C134" s="108"/>
      <c r="D134" s="8"/>
      <c r="E134" s="8"/>
      <c r="F134" s="96"/>
      <c r="G134" s="96"/>
      <c r="H134" s="96"/>
      <c r="I134" s="96"/>
      <c r="J134" s="8"/>
      <c r="K134" s="96"/>
      <c r="L134" s="96"/>
      <c r="M134" s="96"/>
      <c r="N134" s="96"/>
      <c r="O134" s="141"/>
      <c r="P134" s="96"/>
      <c r="Q134" s="96"/>
      <c r="R134" s="96"/>
      <c r="S134" s="96"/>
      <c r="T134" s="141"/>
      <c r="U134" s="96"/>
      <c r="V134" s="96"/>
      <c r="W134" s="96"/>
      <c r="X134" s="96"/>
      <c r="Y134" s="141"/>
      <c r="Z134" s="96"/>
      <c r="AA134" s="96"/>
      <c r="AB134" s="96"/>
      <c r="AC134" s="96"/>
      <c r="AD134" s="96">
        <f>AD135*AD6</f>
        <v>8.9064750000000004</v>
      </c>
      <c r="AE134" s="96"/>
      <c r="AF134" s="96"/>
      <c r="AG134" s="96"/>
      <c r="AH134" s="96"/>
      <c r="AI134" s="96">
        <f>AI135*AI6</f>
        <v>22.273500000000002</v>
      </c>
      <c r="AJ134" s="96"/>
      <c r="AK134" s="96"/>
      <c r="AL134" s="96"/>
      <c r="AM134" s="96"/>
      <c r="AN134" s="680">
        <f>AN135*AN6</f>
        <v>34.107675</v>
      </c>
      <c r="AO134" s="680"/>
      <c r="AP134" s="680"/>
      <c r="AQ134" s="680"/>
      <c r="AR134" s="680"/>
      <c r="AS134" s="680">
        <f>AS135*AS6</f>
        <v>46.916624999999996</v>
      </c>
      <c r="AT134" s="680"/>
      <c r="AU134" s="680"/>
      <c r="AV134" s="680"/>
      <c r="AW134" s="680"/>
      <c r="AX134" s="680">
        <f>AX135*AX6</f>
        <v>52.575377071897883</v>
      </c>
      <c r="AY134" s="680"/>
      <c r="AZ134" s="680"/>
      <c r="BA134" s="680"/>
      <c r="BB134" s="680"/>
      <c r="BC134" s="680">
        <f>BC135*BC6</f>
        <v>61.233034926285086</v>
      </c>
      <c r="BD134" s="680"/>
      <c r="BE134" s="680"/>
      <c r="BF134" s="680"/>
      <c r="BG134" s="680"/>
      <c r="BH134" s="680">
        <f>BH135*BH6</f>
        <v>70.900080304629839</v>
      </c>
      <c r="BI134" s="680"/>
      <c r="BJ134" s="680"/>
      <c r="BK134" s="680"/>
      <c r="BL134" s="680"/>
      <c r="BM134" s="681">
        <f>BM135*BM6</f>
        <v>82.174656831967155</v>
      </c>
    </row>
    <row r="135" spans="2:65" hidden="1" outlineLevel="1">
      <c r="B135" s="229" t="s">
        <v>373</v>
      </c>
      <c r="C135" s="108"/>
      <c r="D135" s="8"/>
      <c r="E135" s="8"/>
      <c r="F135" s="224"/>
      <c r="G135" s="224"/>
      <c r="H135" s="224"/>
      <c r="I135" s="224"/>
      <c r="J135" s="8"/>
      <c r="K135" s="224"/>
      <c r="L135" s="224"/>
      <c r="M135" s="224"/>
      <c r="N135" s="224"/>
      <c r="O135" s="141"/>
      <c r="P135" s="224"/>
      <c r="Q135" s="224"/>
      <c r="R135" s="224"/>
      <c r="S135" s="224"/>
      <c r="T135" s="141"/>
      <c r="U135" s="224"/>
      <c r="V135" s="224"/>
      <c r="W135" s="224"/>
      <c r="X135" s="224"/>
      <c r="Y135" s="141"/>
      <c r="Z135" s="224"/>
      <c r="AA135" s="224"/>
      <c r="AB135" s="224"/>
      <c r="AC135" s="224"/>
      <c r="AD135" s="224">
        <v>7.4999999999999997E-2</v>
      </c>
      <c r="AE135" s="224"/>
      <c r="AF135" s="224"/>
      <c r="AG135" s="224"/>
      <c r="AH135" s="224"/>
      <c r="AI135" s="500">
        <f>AD135</f>
        <v>7.4999999999999997E-2</v>
      </c>
      <c r="AJ135" s="224"/>
      <c r="AK135" s="224"/>
      <c r="AL135" s="224"/>
      <c r="AM135" s="224"/>
      <c r="AN135" s="682">
        <f>AI135</f>
        <v>7.4999999999999997E-2</v>
      </c>
      <c r="AO135" s="682"/>
      <c r="AP135" s="682"/>
      <c r="AQ135" s="682"/>
      <c r="AR135" s="682"/>
      <c r="AS135" s="682">
        <f>AN135</f>
        <v>7.4999999999999997E-2</v>
      </c>
      <c r="AT135" s="682"/>
      <c r="AU135" s="682"/>
      <c r="AV135" s="682"/>
      <c r="AW135" s="682"/>
      <c r="AX135" s="682">
        <f>AS135</f>
        <v>7.4999999999999997E-2</v>
      </c>
      <c r="AY135" s="682"/>
      <c r="AZ135" s="682"/>
      <c r="BA135" s="682"/>
      <c r="BB135" s="682"/>
      <c r="BC135" s="682">
        <f>AX135</f>
        <v>7.4999999999999997E-2</v>
      </c>
      <c r="BD135" s="682"/>
      <c r="BE135" s="682"/>
      <c r="BF135" s="682"/>
      <c r="BG135" s="682"/>
      <c r="BH135" s="682">
        <f>BC135</f>
        <v>7.4999999999999997E-2</v>
      </c>
      <c r="BI135" s="682"/>
      <c r="BJ135" s="682"/>
      <c r="BK135" s="682"/>
      <c r="BL135" s="682"/>
      <c r="BM135" s="683">
        <f>BH135</f>
        <v>7.4999999999999997E-2</v>
      </c>
    </row>
    <row r="136" spans="2:65" hidden="1" outlineLevel="1">
      <c r="B136" s="228" t="s">
        <v>376</v>
      </c>
      <c r="C136" s="108"/>
      <c r="D136" s="8"/>
      <c r="E136" s="8"/>
      <c r="F136" s="96"/>
      <c r="G136" s="96"/>
      <c r="H136" s="96"/>
      <c r="I136" s="96"/>
      <c r="J136" s="8"/>
      <c r="K136" s="96"/>
      <c r="L136" s="96"/>
      <c r="M136" s="96"/>
      <c r="N136" s="96"/>
      <c r="O136" s="141"/>
      <c r="P136" s="96"/>
      <c r="Q136" s="96"/>
      <c r="R136" s="96"/>
      <c r="S136" s="96"/>
      <c r="T136" s="141"/>
      <c r="U136" s="96"/>
      <c r="V136" s="96"/>
      <c r="W136" s="96"/>
      <c r="X136" s="96"/>
      <c r="Y136" s="141"/>
      <c r="Z136" s="96"/>
      <c r="AA136" s="96"/>
      <c r="AB136" s="96"/>
      <c r="AC136" s="96"/>
      <c r="AD136" s="96">
        <v>0</v>
      </c>
      <c r="AE136" s="96"/>
      <c r="AF136" s="96"/>
      <c r="AG136" s="96"/>
      <c r="AH136" s="96"/>
      <c r="AI136" s="96">
        <f>IF(AI134-AI132&lt;0,0,AI134-AI132)</f>
        <v>3.059580000000004</v>
      </c>
      <c r="AJ136" s="96"/>
      <c r="AK136" s="96"/>
      <c r="AL136" s="96"/>
      <c r="AM136" s="96"/>
      <c r="AN136" s="602">
        <f>IF(AN134-AN132&lt;0,0,AN134-AN132)</f>
        <v>15.012115000000001</v>
      </c>
      <c r="AO136" s="602"/>
      <c r="AP136" s="602"/>
      <c r="AQ136" s="602"/>
      <c r="AR136" s="602"/>
      <c r="AS136" s="602">
        <f>IF(AS134-AS132&lt;0,0,AS134-AS132)</f>
        <v>26.798504999999995</v>
      </c>
      <c r="AT136" s="602"/>
      <c r="AU136" s="602"/>
      <c r="AV136" s="602"/>
      <c r="AW136" s="602"/>
      <c r="AX136" s="602">
        <f>IF(AX134-AX132&lt;0,0,AX134-AX132)</f>
        <v>52.575377071897883</v>
      </c>
      <c r="AY136" s="602"/>
      <c r="AZ136" s="602"/>
      <c r="BA136" s="602"/>
      <c r="BB136" s="602"/>
      <c r="BC136" s="602">
        <f>IF(BC134-BC132&lt;0,0,BC134-BC132)</f>
        <v>61.233034926285086</v>
      </c>
      <c r="BD136" s="602"/>
      <c r="BE136" s="602"/>
      <c r="BF136" s="602"/>
      <c r="BG136" s="602"/>
      <c r="BH136" s="602">
        <f>IF(BH134-BH132&lt;0,0,BH134-BH132)</f>
        <v>70.900080304629839</v>
      </c>
      <c r="BI136" s="602"/>
      <c r="BJ136" s="602"/>
      <c r="BK136" s="602"/>
      <c r="BL136" s="602"/>
      <c r="BM136" s="684">
        <f>IF(BM134-BM132&lt;0,0,BM134-BM132)</f>
        <v>82.174656831967155</v>
      </c>
    </row>
    <row r="137" spans="2:65" hidden="1" outlineLevel="1">
      <c r="B137" s="228" t="s">
        <v>377</v>
      </c>
      <c r="C137" s="108"/>
      <c r="D137" s="8"/>
      <c r="E137" s="8"/>
      <c r="F137" s="96"/>
      <c r="G137" s="96"/>
      <c r="H137" s="96"/>
      <c r="I137" s="96"/>
      <c r="J137" s="8"/>
      <c r="K137" s="96"/>
      <c r="L137" s="96"/>
      <c r="M137" s="96"/>
      <c r="N137" s="96"/>
      <c r="O137" s="141"/>
      <c r="P137" s="96"/>
      <c r="Q137" s="96"/>
      <c r="R137" s="96"/>
      <c r="S137" s="96"/>
      <c r="T137" s="141"/>
      <c r="U137" s="96"/>
      <c r="V137" s="96"/>
      <c r="W137" s="96"/>
      <c r="X137" s="96"/>
      <c r="Y137" s="141"/>
      <c r="Z137" s="96"/>
      <c r="AA137" s="96"/>
      <c r="AB137" s="96"/>
      <c r="AC137" s="96"/>
      <c r="AD137" s="96">
        <f>IF(AD136&gt;AD131,AD131,AD136)</f>
        <v>0</v>
      </c>
      <c r="AE137" s="96"/>
      <c r="AF137" s="96"/>
      <c r="AG137" s="96"/>
      <c r="AH137" s="96"/>
      <c r="AI137" s="96">
        <f>IF(AI136&gt;AI131,AI131,AI136)</f>
        <v>3.059580000000004</v>
      </c>
      <c r="AJ137" s="96"/>
      <c r="AK137" s="96"/>
      <c r="AL137" s="96"/>
      <c r="AM137" s="96"/>
      <c r="AN137" s="602">
        <f>IF(AN136&gt;AN131,AN131,AN136)</f>
        <v>15.012115000000001</v>
      </c>
      <c r="AO137" s="602"/>
      <c r="AP137" s="602"/>
      <c r="AQ137" s="602"/>
      <c r="AR137" s="602"/>
      <c r="AS137" s="685">
        <f>IF(AS136&gt;AS131,AS131,AS136)+129.46-0.67</f>
        <v>155.58850500000003</v>
      </c>
      <c r="AT137" s="602"/>
      <c r="AU137" s="602"/>
      <c r="AV137" s="602"/>
      <c r="AW137" s="602"/>
      <c r="AX137" s="602">
        <f>IF(AX136&gt;AX131,AX131,AX136)</f>
        <v>0</v>
      </c>
      <c r="AY137" s="602"/>
      <c r="AZ137" s="602"/>
      <c r="BA137" s="602"/>
      <c r="BB137" s="602"/>
      <c r="BC137" s="602">
        <f>IF(BC136&gt;BC131,BC131,BC136)</f>
        <v>0</v>
      </c>
      <c r="BD137" s="602"/>
      <c r="BE137" s="602"/>
      <c r="BF137" s="602"/>
      <c r="BG137" s="602"/>
      <c r="BH137" s="602">
        <f>IF(BH136&gt;BH131,BH131,BH136)</f>
        <v>0</v>
      </c>
      <c r="BI137" s="602"/>
      <c r="BJ137" s="602"/>
      <c r="BK137" s="602"/>
      <c r="BL137" s="602"/>
      <c r="BM137" s="684">
        <f>IF(BM136&gt;BM131,BM131,BM136)</f>
        <v>0</v>
      </c>
    </row>
    <row r="138" spans="2:65" hidden="1" outlineLevel="1">
      <c r="B138" s="228" t="s">
        <v>375</v>
      </c>
      <c r="C138" s="108"/>
      <c r="D138" s="8"/>
      <c r="E138" s="8"/>
      <c r="F138" s="96"/>
      <c r="G138" s="96"/>
      <c r="H138" s="96"/>
      <c r="I138" s="96"/>
      <c r="J138" s="8"/>
      <c r="K138" s="96"/>
      <c r="L138" s="96"/>
      <c r="M138" s="96"/>
      <c r="N138" s="96"/>
      <c r="O138" s="141"/>
      <c r="P138" s="96"/>
      <c r="Q138" s="96"/>
      <c r="R138" s="96"/>
      <c r="S138" s="96"/>
      <c r="T138" s="141"/>
      <c r="U138" s="96"/>
      <c r="V138" s="96"/>
      <c r="W138" s="96"/>
      <c r="X138" s="96"/>
      <c r="Y138" s="141"/>
      <c r="Z138" s="96"/>
      <c r="AA138" s="96"/>
      <c r="AB138" s="96"/>
      <c r="AC138" s="96"/>
      <c r="AD138" s="96">
        <f>BS!J38</f>
        <v>174.672</v>
      </c>
      <c r="AE138" s="96"/>
      <c r="AF138" s="96"/>
      <c r="AG138" s="96"/>
      <c r="AH138" s="96"/>
      <c r="AI138" s="364">
        <f>BS!K38</f>
        <v>162.33799999999999</v>
      </c>
      <c r="AJ138" s="96"/>
      <c r="AK138" s="96"/>
      <c r="AL138" s="96"/>
      <c r="AM138" s="96"/>
      <c r="AN138" s="685">
        <f>132.964+24.964</f>
        <v>157.928</v>
      </c>
      <c r="AO138" s="602"/>
      <c r="AP138" s="602"/>
      <c r="AQ138" s="602"/>
      <c r="AR138" s="602"/>
      <c r="AS138" s="602">
        <f>AS131-AS137</f>
        <v>27.30349499999997</v>
      </c>
      <c r="AT138" s="602"/>
      <c r="AU138" s="602"/>
      <c r="AV138" s="602"/>
      <c r="AW138" s="602"/>
      <c r="AX138" s="602">
        <f>AX131-AX137</f>
        <v>0</v>
      </c>
      <c r="AY138" s="602"/>
      <c r="AZ138" s="602"/>
      <c r="BA138" s="602"/>
      <c r="BB138" s="602"/>
      <c r="BC138" s="602">
        <f>BC131-BC137</f>
        <v>0</v>
      </c>
      <c r="BD138" s="602"/>
      <c r="BE138" s="602"/>
      <c r="BF138" s="602"/>
      <c r="BG138" s="602"/>
      <c r="BH138" s="602">
        <f>BH131-BH137</f>
        <v>0</v>
      </c>
      <c r="BI138" s="602"/>
      <c r="BJ138" s="602"/>
      <c r="BK138" s="602"/>
      <c r="BL138" s="602"/>
      <c r="BM138" s="684">
        <f>BM131-BM137</f>
        <v>0</v>
      </c>
    </row>
    <row r="139" spans="2:65" hidden="1" outlineLevel="1">
      <c r="B139" s="228"/>
      <c r="C139" s="108"/>
      <c r="D139" s="8"/>
      <c r="E139" s="8"/>
      <c r="F139" s="96"/>
      <c r="G139" s="96"/>
      <c r="H139" s="96"/>
      <c r="I139" s="96"/>
      <c r="J139" s="8"/>
      <c r="K139" s="96"/>
      <c r="L139" s="96"/>
      <c r="M139" s="96"/>
      <c r="N139" s="96"/>
      <c r="O139" s="141"/>
      <c r="P139" s="96"/>
      <c r="Q139" s="96"/>
      <c r="R139" s="96"/>
      <c r="S139" s="96"/>
      <c r="T139" s="141"/>
      <c r="U139" s="96"/>
      <c r="V139" s="96"/>
      <c r="W139" s="96"/>
      <c r="X139" s="96"/>
      <c r="Y139" s="141"/>
      <c r="Z139" s="96"/>
      <c r="AA139" s="96"/>
      <c r="AB139" s="96"/>
      <c r="AC139" s="96"/>
      <c r="AD139" s="222"/>
      <c r="AE139" s="96"/>
      <c r="AF139" s="96"/>
      <c r="AG139" s="96"/>
      <c r="AH139" s="96"/>
      <c r="AI139" s="141"/>
      <c r="AJ139" s="96"/>
      <c r="AK139" s="96"/>
      <c r="AL139" s="96"/>
      <c r="AM139" s="96"/>
      <c r="AN139" s="602"/>
      <c r="AO139" s="602"/>
      <c r="AP139" s="602"/>
      <c r="AQ139" s="602"/>
      <c r="AR139" s="602"/>
      <c r="AS139" s="602"/>
      <c r="AT139" s="602"/>
      <c r="AU139" s="602"/>
      <c r="AV139" s="602"/>
      <c r="AW139" s="602"/>
      <c r="AX139" s="602"/>
      <c r="AY139" s="602"/>
      <c r="AZ139" s="602"/>
      <c r="BA139" s="602"/>
      <c r="BB139" s="602"/>
      <c r="BC139" s="602"/>
      <c r="BD139" s="602"/>
      <c r="BE139" s="602"/>
      <c r="BF139" s="602"/>
      <c r="BG139" s="602"/>
      <c r="BH139" s="602"/>
      <c r="BI139" s="602"/>
      <c r="BJ139" s="602"/>
      <c r="BK139" s="602"/>
      <c r="BL139" s="602"/>
      <c r="BM139" s="684"/>
    </row>
    <row r="140" spans="2:65" hidden="1" outlineLevel="1">
      <c r="B140" s="228" t="s">
        <v>523</v>
      </c>
      <c r="C140" s="108"/>
      <c r="D140" s="8"/>
      <c r="E140" s="8"/>
      <c r="F140" s="96"/>
      <c r="G140" s="96"/>
      <c r="H140" s="96"/>
      <c r="I140" s="96"/>
      <c r="J140" s="8"/>
      <c r="K140" s="96"/>
      <c r="L140" s="96"/>
      <c r="M140" s="96"/>
      <c r="N140" s="96"/>
      <c r="O140" s="141"/>
      <c r="P140" s="96"/>
      <c r="Q140" s="96"/>
      <c r="R140" s="96"/>
      <c r="S140" s="96"/>
      <c r="T140" s="141"/>
      <c r="U140" s="96"/>
      <c r="V140" s="96"/>
      <c r="W140" s="96"/>
      <c r="X140" s="96"/>
      <c r="Y140" s="141"/>
      <c r="Z140" s="96"/>
      <c r="AA140" s="96"/>
      <c r="AB140" s="96"/>
      <c r="AC140" s="96"/>
      <c r="AD140" s="222"/>
      <c r="AE140" s="96"/>
      <c r="AF140" s="96"/>
      <c r="AG140" s="96"/>
      <c r="AH140" s="96"/>
      <c r="AI140" s="141"/>
      <c r="AJ140" s="96"/>
      <c r="AK140" s="96"/>
      <c r="AL140" s="96"/>
      <c r="AM140" s="96"/>
      <c r="AN140" s="602"/>
      <c r="AO140" s="602"/>
      <c r="AP140" s="602"/>
      <c r="AQ140" s="602"/>
      <c r="AR140" s="602"/>
      <c r="AS140" s="602"/>
      <c r="AT140" s="602"/>
      <c r="AU140" s="602"/>
      <c r="AV140" s="602"/>
      <c r="AW140" s="602"/>
      <c r="AX140" s="602"/>
      <c r="AY140" s="602"/>
      <c r="AZ140" s="602"/>
      <c r="BA140" s="602"/>
      <c r="BB140" s="602"/>
      <c r="BC140" s="602"/>
      <c r="BD140" s="602"/>
      <c r="BE140" s="602"/>
      <c r="BF140" s="602"/>
      <c r="BG140" s="602"/>
      <c r="BH140" s="602"/>
      <c r="BI140" s="602"/>
      <c r="BJ140" s="602"/>
      <c r="BK140" s="602"/>
      <c r="BL140" s="602"/>
      <c r="BM140" s="684"/>
    </row>
    <row r="141" spans="2:65" hidden="1" outlineLevel="1">
      <c r="B141" s="228" t="s">
        <v>188</v>
      </c>
      <c r="C141" s="108"/>
      <c r="D141" s="8"/>
      <c r="E141" s="8"/>
      <c r="F141" s="96"/>
      <c r="G141" s="96"/>
      <c r="H141" s="96"/>
      <c r="I141" s="96"/>
      <c r="J141" s="8"/>
      <c r="K141" s="96"/>
      <c r="L141" s="96"/>
      <c r="M141" s="96"/>
      <c r="N141" s="96"/>
      <c r="O141" s="96"/>
      <c r="P141" s="96"/>
      <c r="Q141" s="96"/>
      <c r="R141" s="96"/>
      <c r="S141" s="96"/>
      <c r="T141" s="96"/>
      <c r="U141" s="96"/>
      <c r="V141" s="96"/>
      <c r="W141" s="96"/>
      <c r="X141" s="96"/>
      <c r="Y141" s="96"/>
      <c r="Z141" s="96"/>
      <c r="AA141" s="96"/>
      <c r="AB141" s="96"/>
      <c r="AC141" s="96"/>
      <c r="AD141" s="991">
        <v>175</v>
      </c>
      <c r="AE141" s="96"/>
      <c r="AF141" s="96"/>
      <c r="AG141" s="96"/>
      <c r="AH141" s="96"/>
      <c r="AI141" s="96">
        <f>AD148</f>
        <v>8.8219999999999992</v>
      </c>
      <c r="AJ141" s="96"/>
      <c r="AK141" s="96"/>
      <c r="AL141" s="96"/>
      <c r="AM141" s="96"/>
      <c r="AN141" s="602"/>
      <c r="AO141" s="602"/>
      <c r="AP141" s="602"/>
      <c r="AQ141" s="602"/>
      <c r="AR141" s="602"/>
      <c r="AS141" s="602">
        <v>150</v>
      </c>
      <c r="AT141" s="602"/>
      <c r="AU141" s="602"/>
      <c r="AV141" s="602"/>
      <c r="AW141" s="602"/>
      <c r="AX141" s="602">
        <f>AS148</f>
        <v>150</v>
      </c>
      <c r="AY141" s="602"/>
      <c r="AZ141" s="602"/>
      <c r="BA141" s="602"/>
      <c r="BB141" s="602"/>
      <c r="BC141" s="602">
        <f>AX148</f>
        <v>150</v>
      </c>
      <c r="BD141" s="602"/>
      <c r="BE141" s="602"/>
      <c r="BF141" s="602"/>
      <c r="BG141" s="602"/>
      <c r="BH141" s="602">
        <f>BC148</f>
        <v>150</v>
      </c>
      <c r="BI141" s="602"/>
      <c r="BJ141" s="602"/>
      <c r="BK141" s="602"/>
      <c r="BL141" s="602"/>
      <c r="BM141" s="684">
        <f>BH148</f>
        <v>109.38743977152762</v>
      </c>
    </row>
    <row r="142" spans="2:65" hidden="1" outlineLevel="1">
      <c r="B142" s="228" t="s">
        <v>374</v>
      </c>
      <c r="C142" s="108"/>
      <c r="D142" s="8"/>
      <c r="E142" s="8"/>
      <c r="F142" s="92"/>
      <c r="G142" s="92"/>
      <c r="H142" s="92"/>
      <c r="I142" s="92"/>
      <c r="J142" s="8"/>
      <c r="K142" s="92"/>
      <c r="L142" s="92"/>
      <c r="M142" s="92"/>
      <c r="N142" s="92"/>
      <c r="O142" s="96"/>
      <c r="P142" s="92"/>
      <c r="Q142" s="92"/>
      <c r="R142" s="92"/>
      <c r="S142" s="92"/>
      <c r="T142" s="96"/>
      <c r="U142" s="92"/>
      <c r="V142" s="92"/>
      <c r="W142" s="92"/>
      <c r="X142" s="92"/>
      <c r="Y142" s="96"/>
      <c r="Z142" s="92"/>
      <c r="AA142" s="92"/>
      <c r="AB142" s="92"/>
      <c r="AC142" s="92"/>
      <c r="AD142" s="96">
        <f>AD141*AD143</f>
        <v>19.25</v>
      </c>
      <c r="AE142" s="92"/>
      <c r="AF142" s="92"/>
      <c r="AG142" s="92"/>
      <c r="AH142" s="92"/>
      <c r="AI142" s="96">
        <f>AI141*AI143</f>
        <v>0.97041999999999995</v>
      </c>
      <c r="AJ142" s="92"/>
      <c r="AK142" s="92"/>
      <c r="AL142" s="92"/>
      <c r="AM142" s="92"/>
      <c r="AN142" s="676"/>
      <c r="AO142" s="676"/>
      <c r="AP142" s="676"/>
      <c r="AQ142" s="676"/>
      <c r="AR142" s="676"/>
      <c r="AS142" s="676">
        <f>AS141*AS143</f>
        <v>12.5625</v>
      </c>
      <c r="AT142" s="676"/>
      <c r="AU142" s="676"/>
      <c r="AV142" s="676"/>
      <c r="AW142" s="676"/>
      <c r="AX142" s="676">
        <f>AX141*AX143</f>
        <v>12.5625</v>
      </c>
      <c r="AY142" s="676"/>
      <c r="AZ142" s="676"/>
      <c r="BA142" s="676"/>
      <c r="BB142" s="676"/>
      <c r="BC142" s="676">
        <f>BC141*BC143</f>
        <v>12.5625</v>
      </c>
      <c r="BD142" s="676"/>
      <c r="BE142" s="676"/>
      <c r="BF142" s="676"/>
      <c r="BG142" s="676"/>
      <c r="BH142" s="676">
        <f>BH141*BH143</f>
        <v>12.5625</v>
      </c>
      <c r="BI142" s="676"/>
      <c r="BJ142" s="676"/>
      <c r="BK142" s="676"/>
      <c r="BL142" s="676"/>
      <c r="BM142" s="677">
        <f>BM141*BM143</f>
        <v>9.1611980808654394</v>
      </c>
    </row>
    <row r="143" spans="2:65" hidden="1" outlineLevel="1">
      <c r="B143" s="229" t="s">
        <v>371</v>
      </c>
      <c r="C143" s="108"/>
      <c r="D143" s="8"/>
      <c r="E143" s="8"/>
      <c r="F143" s="223"/>
      <c r="G143" s="223"/>
      <c r="H143" s="223"/>
      <c r="I143" s="223"/>
      <c r="J143" s="8"/>
      <c r="K143" s="223"/>
      <c r="L143" s="223"/>
      <c r="M143" s="223"/>
      <c r="N143" s="223"/>
      <c r="O143" s="141"/>
      <c r="P143" s="223"/>
      <c r="Q143" s="223"/>
      <c r="R143" s="223"/>
      <c r="S143" s="223"/>
      <c r="T143" s="141"/>
      <c r="U143" s="223"/>
      <c r="V143" s="223"/>
      <c r="W143" s="223"/>
      <c r="X143" s="223"/>
      <c r="Y143" s="141"/>
      <c r="Z143" s="223"/>
      <c r="AA143" s="223"/>
      <c r="AB143" s="223"/>
      <c r="AC143" s="223"/>
      <c r="AD143" s="223">
        <v>0.11</v>
      </c>
      <c r="AE143" s="223"/>
      <c r="AF143" s="223"/>
      <c r="AG143" s="223"/>
      <c r="AH143" s="223"/>
      <c r="AI143" s="499">
        <v>0.11</v>
      </c>
      <c r="AJ143" s="223"/>
      <c r="AK143" s="223"/>
      <c r="AL143" s="223"/>
      <c r="AM143" s="223"/>
      <c r="AN143" s="678"/>
      <c r="AO143" s="678"/>
      <c r="AP143" s="678"/>
      <c r="AQ143" s="678"/>
      <c r="AR143" s="678"/>
      <c r="AS143" s="989">
        <v>8.3750000000000005E-2</v>
      </c>
      <c r="AT143" s="678"/>
      <c r="AU143" s="678"/>
      <c r="AV143" s="678"/>
      <c r="AW143" s="678"/>
      <c r="AX143" s="988">
        <f>AS143</f>
        <v>8.3750000000000005E-2</v>
      </c>
      <c r="AY143" s="988"/>
      <c r="AZ143" s="988"/>
      <c r="BA143" s="988"/>
      <c r="BB143" s="988"/>
      <c r="BC143" s="988">
        <f>AX143</f>
        <v>8.3750000000000005E-2</v>
      </c>
      <c r="BD143" s="988"/>
      <c r="BE143" s="988"/>
      <c r="BF143" s="988"/>
      <c r="BG143" s="988"/>
      <c r="BH143" s="988">
        <f>BC143</f>
        <v>8.3750000000000005E-2</v>
      </c>
      <c r="BI143" s="988"/>
      <c r="BJ143" s="988"/>
      <c r="BK143" s="988"/>
      <c r="BL143" s="988"/>
      <c r="BM143" s="990">
        <f>BH143</f>
        <v>8.3750000000000005E-2</v>
      </c>
    </row>
    <row r="144" spans="2:65" hidden="1" outlineLevel="1">
      <c r="B144" s="228" t="s">
        <v>372</v>
      </c>
      <c r="C144" s="108"/>
      <c r="D144" s="8"/>
      <c r="E144" s="8"/>
      <c r="F144" s="96"/>
      <c r="G144" s="96"/>
      <c r="H144" s="96"/>
      <c r="I144" s="96"/>
      <c r="J144" s="8"/>
      <c r="K144" s="96"/>
      <c r="L144" s="96"/>
      <c r="M144" s="96"/>
      <c r="N144" s="96"/>
      <c r="O144" s="141"/>
      <c r="P144" s="96"/>
      <c r="Q144" s="96"/>
      <c r="R144" s="96"/>
      <c r="S144" s="96"/>
      <c r="T144" s="141"/>
      <c r="U144" s="96"/>
      <c r="V144" s="96"/>
      <c r="W144" s="96"/>
      <c r="X144" s="96"/>
      <c r="Y144" s="141"/>
      <c r="Z144" s="96"/>
      <c r="AA144" s="96"/>
      <c r="AB144" s="96"/>
      <c r="AC144" s="96"/>
      <c r="AD144" s="96">
        <f>AD145*AD2</f>
        <v>0</v>
      </c>
      <c r="AE144" s="96"/>
      <c r="AF144" s="96"/>
      <c r="AG144" s="96"/>
      <c r="AH144" s="96"/>
      <c r="AI144" s="96">
        <f>AI145*AI2</f>
        <v>0</v>
      </c>
      <c r="AJ144" s="96"/>
      <c r="AK144" s="96"/>
      <c r="AL144" s="96"/>
      <c r="AM144" s="96"/>
      <c r="AN144" s="680"/>
      <c r="AO144" s="680"/>
      <c r="AP144" s="680"/>
      <c r="AQ144" s="680"/>
      <c r="AR144" s="680"/>
      <c r="AS144" s="680"/>
      <c r="AT144" s="680"/>
      <c r="AU144" s="680"/>
      <c r="AV144" s="680"/>
      <c r="AW144" s="680"/>
      <c r="AX144" s="680"/>
      <c r="AY144" s="680"/>
      <c r="AZ144" s="680"/>
      <c r="BA144" s="680"/>
      <c r="BB144" s="680"/>
      <c r="BC144" s="680"/>
      <c r="BD144" s="680"/>
      <c r="BE144" s="680"/>
      <c r="BF144" s="680"/>
      <c r="BG144" s="680"/>
      <c r="BH144" s="680">
        <f>BH145*BH6*0.75</f>
        <v>53.175060228472375</v>
      </c>
      <c r="BI144" s="680"/>
      <c r="BJ144" s="680"/>
      <c r="BK144" s="680"/>
      <c r="BL144" s="680"/>
      <c r="BM144" s="681">
        <f>BM145*BM6</f>
        <v>82.174656831967155</v>
      </c>
    </row>
    <row r="145" spans="2:65" hidden="1" outlineLevel="1">
      <c r="B145" s="229" t="s">
        <v>373</v>
      </c>
      <c r="C145" s="108"/>
      <c r="D145" s="8"/>
      <c r="E145" s="8"/>
      <c r="F145" s="224"/>
      <c r="G145" s="224"/>
      <c r="H145" s="224"/>
      <c r="I145" s="224"/>
      <c r="J145" s="8"/>
      <c r="K145" s="224"/>
      <c r="L145" s="224"/>
      <c r="M145" s="224"/>
      <c r="N145" s="224"/>
      <c r="O145" s="141"/>
      <c r="P145" s="224"/>
      <c r="Q145" s="224"/>
      <c r="R145" s="224"/>
      <c r="S145" s="224"/>
      <c r="T145" s="141"/>
      <c r="U145" s="224"/>
      <c r="V145" s="224"/>
      <c r="W145" s="224"/>
      <c r="X145" s="224"/>
      <c r="Y145" s="141"/>
      <c r="Z145" s="224"/>
      <c r="AA145" s="224"/>
      <c r="AB145" s="224"/>
      <c r="AC145" s="224"/>
      <c r="AD145" s="224">
        <v>7.4999999999999997E-2</v>
      </c>
      <c r="AE145" s="224"/>
      <c r="AF145" s="224"/>
      <c r="AG145" s="224"/>
      <c r="AH145" s="224"/>
      <c r="AI145" s="500">
        <f>AD145</f>
        <v>7.4999999999999997E-2</v>
      </c>
      <c r="AJ145" s="224"/>
      <c r="AK145" s="224"/>
      <c r="AL145" s="224"/>
      <c r="AM145" s="224"/>
      <c r="AN145" s="682"/>
      <c r="AO145" s="682"/>
      <c r="AP145" s="682"/>
      <c r="AQ145" s="682"/>
      <c r="AR145" s="682"/>
      <c r="AS145" s="682">
        <v>7.4999999999999997E-2</v>
      </c>
      <c r="AT145" s="682"/>
      <c r="AU145" s="682"/>
      <c r="AV145" s="682"/>
      <c r="AW145" s="682"/>
      <c r="AX145" s="682">
        <f>AS145</f>
        <v>7.4999999999999997E-2</v>
      </c>
      <c r="AY145" s="682"/>
      <c r="AZ145" s="682"/>
      <c r="BA145" s="682"/>
      <c r="BB145" s="682"/>
      <c r="BC145" s="682">
        <f>AX145</f>
        <v>7.4999999999999997E-2</v>
      </c>
      <c r="BD145" s="682"/>
      <c r="BE145" s="682"/>
      <c r="BF145" s="682"/>
      <c r="BG145" s="682"/>
      <c r="BH145" s="682">
        <f>BC145</f>
        <v>7.4999999999999997E-2</v>
      </c>
      <c r="BI145" s="682"/>
      <c r="BJ145" s="682"/>
      <c r="BK145" s="682"/>
      <c r="BL145" s="682"/>
      <c r="BM145" s="683">
        <f>BH145</f>
        <v>7.4999999999999997E-2</v>
      </c>
    </row>
    <row r="146" spans="2:65" hidden="1" outlineLevel="1">
      <c r="B146" s="228" t="s">
        <v>376</v>
      </c>
      <c r="C146" s="108"/>
      <c r="D146" s="8"/>
      <c r="E146" s="8"/>
      <c r="F146" s="96"/>
      <c r="G146" s="96"/>
      <c r="H146" s="96"/>
      <c r="I146" s="96"/>
      <c r="J146" s="8"/>
      <c r="K146" s="96"/>
      <c r="L146" s="96"/>
      <c r="M146" s="96"/>
      <c r="N146" s="96"/>
      <c r="O146" s="141"/>
      <c r="P146" s="96"/>
      <c r="Q146" s="96"/>
      <c r="R146" s="96"/>
      <c r="S146" s="96"/>
      <c r="T146" s="141"/>
      <c r="U146" s="96"/>
      <c r="V146" s="96"/>
      <c r="W146" s="96"/>
      <c r="X146" s="96"/>
      <c r="Y146" s="141"/>
      <c r="Z146" s="96"/>
      <c r="AA146" s="96"/>
      <c r="AB146" s="96"/>
      <c r="AC146" s="96"/>
      <c r="AD146" s="96">
        <v>0</v>
      </c>
      <c r="AE146" s="96"/>
      <c r="AF146" s="96"/>
      <c r="AG146" s="96"/>
      <c r="AH146" s="96"/>
      <c r="AI146" s="96">
        <f>IF(AI144-AI142&lt;0,0,AI144-AI142)</f>
        <v>0</v>
      </c>
      <c r="AJ146" s="96"/>
      <c r="AK146" s="96"/>
      <c r="AL146" s="96"/>
      <c r="AM146" s="96"/>
      <c r="AN146" s="602"/>
      <c r="AO146" s="602"/>
      <c r="AP146" s="602"/>
      <c r="AQ146" s="602"/>
      <c r="AR146" s="602"/>
      <c r="AS146" s="602"/>
      <c r="AT146" s="602"/>
      <c r="AU146" s="602"/>
      <c r="AV146" s="602"/>
      <c r="AW146" s="602"/>
      <c r="AX146" s="602"/>
      <c r="AY146" s="602"/>
      <c r="AZ146" s="602"/>
      <c r="BA146" s="602"/>
      <c r="BB146" s="602"/>
      <c r="BC146" s="602"/>
      <c r="BD146" s="602"/>
      <c r="BE146" s="602"/>
      <c r="BF146" s="602"/>
      <c r="BG146" s="602"/>
      <c r="BH146" s="602">
        <f>IF(BH144-BH142&lt;0,0,BH144-BH142)</f>
        <v>40.612560228472375</v>
      </c>
      <c r="BI146" s="602"/>
      <c r="BJ146" s="602"/>
      <c r="BK146" s="602"/>
      <c r="BL146" s="602"/>
      <c r="BM146" s="684">
        <f>IF(BM144-BM142&lt;0,0,BM144-BM142)</f>
        <v>73.013458751101723</v>
      </c>
    </row>
    <row r="147" spans="2:65" hidden="1" outlineLevel="1">
      <c r="B147" s="228" t="s">
        <v>377</v>
      </c>
      <c r="C147" s="108"/>
      <c r="D147" s="8"/>
      <c r="E147" s="8"/>
      <c r="F147" s="96"/>
      <c r="G147" s="96"/>
      <c r="H147" s="96"/>
      <c r="I147" s="96"/>
      <c r="J147" s="8"/>
      <c r="K147" s="96"/>
      <c r="L147" s="96"/>
      <c r="M147" s="96"/>
      <c r="N147" s="96"/>
      <c r="O147" s="141"/>
      <c r="P147" s="96"/>
      <c r="Q147" s="96"/>
      <c r="R147" s="96"/>
      <c r="S147" s="96"/>
      <c r="T147" s="141"/>
      <c r="U147" s="96"/>
      <c r="V147" s="96"/>
      <c r="W147" s="96"/>
      <c r="X147" s="96"/>
      <c r="Y147" s="141"/>
      <c r="Z147" s="96"/>
      <c r="AA147" s="96"/>
      <c r="AB147" s="96"/>
      <c r="AC147" s="96"/>
      <c r="AD147" s="96">
        <f>IF(AD146&gt;AD141,AD141,AD146)</f>
        <v>0</v>
      </c>
      <c r="AE147" s="96"/>
      <c r="AF147" s="96"/>
      <c r="AG147" s="96"/>
      <c r="AH147" s="96"/>
      <c r="AI147" s="96">
        <f>IF(AI146&gt;AI141,AI141,AI146)</f>
        <v>0</v>
      </c>
      <c r="AJ147" s="96"/>
      <c r="AK147" s="96"/>
      <c r="AL147" s="96"/>
      <c r="AM147" s="96"/>
      <c r="AN147" s="602"/>
      <c r="AO147" s="602"/>
      <c r="AP147" s="602"/>
      <c r="AQ147" s="602"/>
      <c r="AR147" s="602"/>
      <c r="AS147" s="685">
        <v>0</v>
      </c>
      <c r="AT147" s="602"/>
      <c r="AU147" s="602"/>
      <c r="AV147" s="602"/>
      <c r="AW147" s="602"/>
      <c r="AX147" s="602">
        <f>IF(AX146&gt;AX141,AX141,AX146)</f>
        <v>0</v>
      </c>
      <c r="AY147" s="602"/>
      <c r="AZ147" s="602"/>
      <c r="BA147" s="602"/>
      <c r="BB147" s="602"/>
      <c r="BC147" s="602">
        <f>IF(BC146&gt;BC141,BC141,BC146)</f>
        <v>0</v>
      </c>
      <c r="BD147" s="602"/>
      <c r="BE147" s="602"/>
      <c r="BF147" s="602"/>
      <c r="BG147" s="602"/>
      <c r="BH147" s="602">
        <f>IF(BH146&gt;BH141,BH141,BH146)</f>
        <v>40.612560228472375</v>
      </c>
      <c r="BI147" s="602"/>
      <c r="BJ147" s="602"/>
      <c r="BK147" s="602"/>
      <c r="BL147" s="602"/>
      <c r="BM147" s="684">
        <f>IF(BM146&gt;BM141,BM141,BM146)</f>
        <v>73.013458751101723</v>
      </c>
    </row>
    <row r="148" spans="2:65" hidden="1" outlineLevel="1">
      <c r="B148" s="228" t="s">
        <v>375</v>
      </c>
      <c r="C148" s="108"/>
      <c r="D148" s="8"/>
      <c r="E148" s="8"/>
      <c r="F148" s="96"/>
      <c r="G148" s="96"/>
      <c r="H148" s="96"/>
      <c r="I148" s="96"/>
      <c r="J148" s="8"/>
      <c r="K148" s="96"/>
      <c r="L148" s="96"/>
      <c r="M148" s="96"/>
      <c r="N148" s="96"/>
      <c r="O148" s="141"/>
      <c r="P148" s="96"/>
      <c r="Q148" s="96"/>
      <c r="R148" s="96"/>
      <c r="S148" s="96"/>
      <c r="T148" s="141"/>
      <c r="U148" s="96"/>
      <c r="V148" s="96"/>
      <c r="W148" s="96"/>
      <c r="X148" s="96"/>
      <c r="Y148" s="141"/>
      <c r="Z148" s="96"/>
      <c r="AA148" s="96"/>
      <c r="AB148" s="96"/>
      <c r="AC148" s="96"/>
      <c r="AD148" s="96">
        <f>BS!J34</f>
        <v>8.8219999999999992</v>
      </c>
      <c r="AE148" s="96"/>
      <c r="AF148" s="96"/>
      <c r="AG148" s="96"/>
      <c r="AH148" s="96"/>
      <c r="AI148" s="364">
        <f>BS!K34</f>
        <v>10.522</v>
      </c>
      <c r="AJ148" s="96"/>
      <c r="AK148" s="96"/>
      <c r="AL148" s="96"/>
      <c r="AM148" s="96"/>
      <c r="AN148" s="685"/>
      <c r="AO148" s="602"/>
      <c r="AP148" s="602"/>
      <c r="AQ148" s="602"/>
      <c r="AR148" s="602"/>
      <c r="AS148" s="602">
        <f>AS141-AS147</f>
        <v>150</v>
      </c>
      <c r="AT148" s="602"/>
      <c r="AU148" s="602"/>
      <c r="AV148" s="602"/>
      <c r="AW148" s="602"/>
      <c r="AX148" s="602">
        <f>AX141-AX147</f>
        <v>150</v>
      </c>
      <c r="AY148" s="602"/>
      <c r="AZ148" s="602"/>
      <c r="BA148" s="602"/>
      <c r="BB148" s="602"/>
      <c r="BC148" s="602">
        <f>BC141-BC147</f>
        <v>150</v>
      </c>
      <c r="BD148" s="602"/>
      <c r="BE148" s="602"/>
      <c r="BF148" s="602"/>
      <c r="BG148" s="602"/>
      <c r="BH148" s="602">
        <f>BH141-BH147</f>
        <v>109.38743977152762</v>
      </c>
      <c r="BI148" s="602"/>
      <c r="BJ148" s="602"/>
      <c r="BK148" s="602"/>
      <c r="BL148" s="602"/>
      <c r="BM148" s="684">
        <f>BM141-BM147</f>
        <v>36.373981020425902</v>
      </c>
    </row>
    <row r="149" spans="2:65" hidden="1" outlineLevel="1">
      <c r="B149" s="228"/>
      <c r="C149" s="108"/>
      <c r="D149" s="8"/>
      <c r="E149" s="8"/>
      <c r="F149" s="96"/>
      <c r="G149" s="96"/>
      <c r="H149" s="96"/>
      <c r="I149" s="96"/>
      <c r="J149" s="8"/>
      <c r="K149" s="96"/>
      <c r="L149" s="96"/>
      <c r="M149" s="96"/>
      <c r="N149" s="96"/>
      <c r="O149" s="141"/>
      <c r="P149" s="96"/>
      <c r="Q149" s="96"/>
      <c r="R149" s="96"/>
      <c r="S149" s="96"/>
      <c r="T149" s="141"/>
      <c r="U149" s="96"/>
      <c r="V149" s="96"/>
      <c r="W149" s="96"/>
      <c r="X149" s="96"/>
      <c r="Y149" s="141"/>
      <c r="Z149" s="96"/>
      <c r="AA149" s="96"/>
      <c r="AB149" s="96"/>
      <c r="AC149" s="96"/>
      <c r="AD149" s="222"/>
      <c r="AE149" s="96"/>
      <c r="AF149" s="96"/>
      <c r="AG149" s="96"/>
      <c r="AH149" s="96"/>
      <c r="AI149" s="141"/>
      <c r="AJ149" s="96"/>
      <c r="AK149" s="96"/>
      <c r="AL149" s="96"/>
      <c r="AM149" s="96"/>
      <c r="AN149" s="602"/>
      <c r="AO149" s="602"/>
      <c r="AP149" s="602"/>
      <c r="AQ149" s="602"/>
      <c r="AR149" s="602"/>
      <c r="AS149" s="602"/>
      <c r="AT149" s="602"/>
      <c r="AU149" s="602"/>
      <c r="AV149" s="602"/>
      <c r="AW149" s="602"/>
      <c r="AX149" s="602"/>
      <c r="AY149" s="602"/>
      <c r="AZ149" s="602"/>
      <c r="BA149" s="602"/>
      <c r="BB149" s="602"/>
      <c r="BC149" s="602"/>
      <c r="BD149" s="602"/>
      <c r="BE149" s="602"/>
      <c r="BF149" s="602"/>
      <c r="BG149" s="602"/>
      <c r="BH149" s="602"/>
      <c r="BI149" s="602"/>
      <c r="BJ149" s="602"/>
      <c r="BK149" s="602"/>
      <c r="BL149" s="602"/>
      <c r="BM149" s="684"/>
    </row>
    <row r="150" spans="2:65" hidden="1" outlineLevel="1">
      <c r="B150" s="228" t="s">
        <v>467</v>
      </c>
      <c r="C150" s="108"/>
      <c r="D150" s="8"/>
      <c r="E150" s="8"/>
      <c r="F150" s="96"/>
      <c r="G150" s="96"/>
      <c r="H150" s="96"/>
      <c r="I150" s="96"/>
      <c r="J150" s="125"/>
      <c r="K150" s="96"/>
      <c r="L150" s="96"/>
      <c r="M150" s="96"/>
      <c r="N150" s="96"/>
      <c r="O150" s="96"/>
      <c r="P150" s="96"/>
      <c r="Q150" s="96"/>
      <c r="R150" s="96"/>
      <c r="S150" s="96"/>
      <c r="T150" s="96"/>
      <c r="U150" s="96"/>
      <c r="V150" s="96"/>
      <c r="W150" s="96"/>
      <c r="X150" s="96"/>
      <c r="Y150" s="96"/>
      <c r="Z150" s="96"/>
      <c r="AA150" s="96"/>
      <c r="AB150" s="96"/>
      <c r="AC150" s="96"/>
      <c r="AD150" s="96">
        <f>AD138</f>
        <v>174.672</v>
      </c>
      <c r="AE150" s="96"/>
      <c r="AF150" s="96"/>
      <c r="AG150" s="96"/>
      <c r="AH150" s="96"/>
      <c r="AI150" s="96">
        <f>AI138</f>
        <v>162.33799999999999</v>
      </c>
      <c r="AJ150" s="96"/>
      <c r="AK150" s="96"/>
      <c r="AL150" s="96"/>
      <c r="AM150" s="96"/>
      <c r="AN150" s="602">
        <f>AN138+AN148</f>
        <v>157.928</v>
      </c>
      <c r="AO150" s="602"/>
      <c r="AP150" s="602"/>
      <c r="AQ150" s="602"/>
      <c r="AR150" s="602"/>
      <c r="AS150" s="602">
        <f>AS138+AS148</f>
        <v>177.30349499999997</v>
      </c>
      <c r="AT150" s="602"/>
      <c r="AU150" s="602"/>
      <c r="AV150" s="602"/>
      <c r="AW150" s="602"/>
      <c r="AX150" s="602">
        <f>AX138+AX148</f>
        <v>150</v>
      </c>
      <c r="AY150" s="602"/>
      <c r="AZ150" s="602"/>
      <c r="BA150" s="602"/>
      <c r="BB150" s="602"/>
      <c r="BC150" s="602">
        <f>BC138+BC148</f>
        <v>150</v>
      </c>
      <c r="BD150" s="602"/>
      <c r="BE150" s="602"/>
      <c r="BF150" s="602"/>
      <c r="BG150" s="602"/>
      <c r="BH150" s="602">
        <f>BH138+BH148</f>
        <v>109.38743977152762</v>
      </c>
      <c r="BI150" s="602"/>
      <c r="BJ150" s="602"/>
      <c r="BK150" s="602"/>
      <c r="BL150" s="602"/>
      <c r="BM150" s="684">
        <f>BM138+BM148</f>
        <v>36.373981020425902</v>
      </c>
    </row>
    <row r="151" spans="2:65" hidden="1" outlineLevel="1">
      <c r="B151" s="228" t="s">
        <v>472</v>
      </c>
      <c r="C151" s="108"/>
      <c r="D151" s="66"/>
      <c r="E151" s="66"/>
      <c r="F151" s="227"/>
      <c r="G151" s="227"/>
      <c r="H151" s="227"/>
      <c r="I151" s="227"/>
      <c r="J151" s="226"/>
      <c r="K151" s="227"/>
      <c r="L151" s="227"/>
      <c r="M151" s="227"/>
      <c r="N151" s="227"/>
      <c r="O151" s="227"/>
      <c r="P151" s="227"/>
      <c r="Q151" s="227"/>
      <c r="R151" s="227"/>
      <c r="S151" s="227"/>
      <c r="T151" s="227"/>
      <c r="U151" s="227"/>
      <c r="V151" s="227"/>
      <c r="W151" s="227"/>
      <c r="X151" s="227"/>
      <c r="Y151" s="227"/>
      <c r="Z151" s="227"/>
      <c r="AA151" s="227"/>
      <c r="AB151" s="227"/>
      <c r="AC151" s="227"/>
      <c r="AD151" s="227">
        <f>AI137</f>
        <v>3.059580000000004</v>
      </c>
      <c r="AE151" s="227"/>
      <c r="AF151" s="227"/>
      <c r="AG151" s="227"/>
      <c r="AH151" s="227"/>
      <c r="AI151" s="227">
        <f>BS!K26</f>
        <v>11.257999999999999</v>
      </c>
      <c r="AJ151" s="227"/>
      <c r="AK151" s="227"/>
      <c r="AL151" s="227"/>
      <c r="AM151" s="227"/>
      <c r="AN151" s="686">
        <f>BS!L26</f>
        <v>24.963999999999999</v>
      </c>
      <c r="AO151" s="686"/>
      <c r="AP151" s="686"/>
      <c r="AQ151" s="686"/>
      <c r="AR151" s="686"/>
      <c r="AS151" s="686">
        <f>AX137+AX147</f>
        <v>0</v>
      </c>
      <c r="AT151" s="686"/>
      <c r="AU151" s="686"/>
      <c r="AV151" s="686"/>
      <c r="AW151" s="686"/>
      <c r="AX151" s="686">
        <f>BC137+BC147</f>
        <v>0</v>
      </c>
      <c r="AY151" s="686"/>
      <c r="AZ151" s="686"/>
      <c r="BA151" s="686"/>
      <c r="BB151" s="686"/>
      <c r="BC151" s="686">
        <f>BH137+BH147</f>
        <v>40.612560228472375</v>
      </c>
      <c r="BD151" s="686"/>
      <c r="BE151" s="686"/>
      <c r="BF151" s="686"/>
      <c r="BG151" s="686"/>
      <c r="BH151" s="686">
        <f>BM137+BM147</f>
        <v>73.013458751101723</v>
      </c>
      <c r="BI151" s="686"/>
      <c r="BJ151" s="686"/>
      <c r="BK151" s="686"/>
      <c r="BL151" s="686"/>
      <c r="BM151" s="996">
        <f>150-BH151-BC151</f>
        <v>36.373981020425902</v>
      </c>
    </row>
    <row r="152" spans="2:65" hidden="1" outlineLevel="1">
      <c r="B152" s="230" t="s">
        <v>59</v>
      </c>
      <c r="C152" s="108"/>
      <c r="D152" s="8"/>
      <c r="E152" s="8"/>
      <c r="F152" s="225"/>
      <c r="G152" s="225"/>
      <c r="H152" s="225"/>
      <c r="I152" s="225"/>
      <c r="J152" s="125"/>
      <c r="K152" s="225"/>
      <c r="L152" s="225"/>
      <c r="M152" s="225"/>
      <c r="N152" s="225"/>
      <c r="O152" s="96"/>
      <c r="P152" s="225"/>
      <c r="Q152" s="225"/>
      <c r="R152" s="225"/>
      <c r="S152" s="225"/>
      <c r="T152" s="96"/>
      <c r="U152" s="225"/>
      <c r="V152" s="225"/>
      <c r="W152" s="225"/>
      <c r="X152" s="225"/>
      <c r="Y152" s="96"/>
      <c r="Z152" s="225"/>
      <c r="AA152" s="225"/>
      <c r="AB152" s="225"/>
      <c r="AC152" s="225"/>
      <c r="AD152" s="225">
        <f>BS!J26</f>
        <v>0</v>
      </c>
      <c r="AE152" s="225"/>
      <c r="AF152" s="225"/>
      <c r="AG152" s="225"/>
      <c r="AH152" s="225"/>
      <c r="AI152" s="225">
        <f>BS!K26</f>
        <v>11.257999999999999</v>
      </c>
      <c r="AJ152" s="225"/>
      <c r="AK152" s="225"/>
      <c r="AL152" s="225"/>
      <c r="AM152" s="225"/>
      <c r="AN152" s="687">
        <f>BS!L26</f>
        <v>24.963999999999999</v>
      </c>
      <c r="AO152" s="687"/>
      <c r="AP152" s="687"/>
      <c r="AQ152" s="687"/>
      <c r="AR152" s="687"/>
      <c r="AS152" s="687">
        <f>BS!M26</f>
        <v>0</v>
      </c>
      <c r="AT152" s="687"/>
      <c r="AU152" s="687"/>
      <c r="AV152" s="687"/>
      <c r="AW152" s="687"/>
      <c r="AX152" s="687">
        <f>BS!N26</f>
        <v>0</v>
      </c>
      <c r="AY152" s="687"/>
      <c r="AZ152" s="687"/>
      <c r="BA152" s="687"/>
      <c r="BB152" s="687"/>
      <c r="BC152" s="687">
        <f>BS!O26</f>
        <v>40.612560228472375</v>
      </c>
      <c r="BD152" s="687"/>
      <c r="BE152" s="687"/>
      <c r="BF152" s="687"/>
      <c r="BG152" s="687"/>
      <c r="BH152" s="687">
        <f>BS!P26</f>
        <v>73.013458751101723</v>
      </c>
      <c r="BI152" s="687"/>
      <c r="BJ152" s="687"/>
      <c r="BK152" s="687"/>
      <c r="BL152" s="687"/>
      <c r="BM152" s="688">
        <f>BS!Q26</f>
        <v>36.373981020425902</v>
      </c>
    </row>
    <row r="153" spans="2:65" hidden="1" outlineLevel="1">
      <c r="B153" s="228" t="s">
        <v>471</v>
      </c>
      <c r="C153" s="108"/>
      <c r="D153" s="8"/>
      <c r="E153" s="8"/>
      <c r="F153" s="96"/>
      <c r="G153" s="96"/>
      <c r="H153" s="96"/>
      <c r="I153" s="96"/>
      <c r="J153" s="125"/>
      <c r="K153" s="96"/>
      <c r="L153" s="96"/>
      <c r="M153" s="96"/>
      <c r="N153" s="96"/>
      <c r="O153" s="96"/>
      <c r="P153" s="96"/>
      <c r="Q153" s="96"/>
      <c r="R153" s="96"/>
      <c r="S153" s="96"/>
      <c r="T153" s="96"/>
      <c r="U153" s="96"/>
      <c r="V153" s="96"/>
      <c r="W153" s="96"/>
      <c r="X153" s="96"/>
      <c r="Y153" s="96"/>
      <c r="Z153" s="96"/>
      <c r="AA153" s="96"/>
      <c r="AB153" s="96"/>
      <c r="AC153" s="96"/>
      <c r="AD153" s="96">
        <f>AD150-AD151</f>
        <v>171.61241999999999</v>
      </c>
      <c r="AE153" s="96"/>
      <c r="AF153" s="96"/>
      <c r="AG153" s="96"/>
      <c r="AH153" s="96"/>
      <c r="AI153" s="96">
        <f>AI150-AI151</f>
        <v>151.07999999999998</v>
      </c>
      <c r="AJ153" s="96"/>
      <c r="AK153" s="96"/>
      <c r="AL153" s="96"/>
      <c r="AM153" s="96"/>
      <c r="AN153" s="602">
        <f>AN150-AN151</f>
        <v>132.964</v>
      </c>
      <c r="AO153" s="602"/>
      <c r="AP153" s="602"/>
      <c r="AQ153" s="602"/>
      <c r="AR153" s="602"/>
      <c r="AS153" s="602">
        <f>AS150-AS151</f>
        <v>177.30349499999997</v>
      </c>
      <c r="AT153" s="602"/>
      <c r="AU153" s="602"/>
      <c r="AV153" s="602"/>
      <c r="AW153" s="602"/>
      <c r="AX153" s="602">
        <f>AX150-AX151</f>
        <v>150</v>
      </c>
      <c r="AY153" s="602"/>
      <c r="AZ153" s="602"/>
      <c r="BA153" s="602"/>
      <c r="BB153" s="602"/>
      <c r="BC153" s="602">
        <f>BC150-BC151</f>
        <v>109.38743977152762</v>
      </c>
      <c r="BD153" s="602"/>
      <c r="BE153" s="602"/>
      <c r="BF153" s="602"/>
      <c r="BG153" s="602"/>
      <c r="BH153" s="602">
        <f>BH150-BH151</f>
        <v>36.373981020425902</v>
      </c>
      <c r="BI153" s="602"/>
      <c r="BJ153" s="602"/>
      <c r="BK153" s="602"/>
      <c r="BL153" s="602"/>
      <c r="BM153" s="684">
        <f>BM150-BM151</f>
        <v>0</v>
      </c>
    </row>
    <row r="154" spans="2:65" hidden="1" outlineLevel="1">
      <c r="B154" s="230" t="s">
        <v>59</v>
      </c>
      <c r="C154" s="108"/>
      <c r="D154" s="8"/>
      <c r="E154" s="8"/>
      <c r="F154" s="225"/>
      <c r="G154" s="225"/>
      <c r="H154" s="225"/>
      <c r="I154" s="225"/>
      <c r="J154" s="125"/>
      <c r="K154" s="225"/>
      <c r="L154" s="225"/>
      <c r="M154" s="225"/>
      <c r="N154" s="225"/>
      <c r="O154" s="96"/>
      <c r="P154" s="225"/>
      <c r="Q154" s="225"/>
      <c r="R154" s="225"/>
      <c r="S154" s="225"/>
      <c r="T154" s="96"/>
      <c r="U154" s="225"/>
      <c r="V154" s="225"/>
      <c r="W154" s="225"/>
      <c r="X154" s="225"/>
      <c r="Y154" s="96"/>
      <c r="Z154" s="225"/>
      <c r="AA154" s="225"/>
      <c r="AB154" s="225"/>
      <c r="AC154" s="225"/>
      <c r="AD154" s="225">
        <f>BS!J38</f>
        <v>174.672</v>
      </c>
      <c r="AE154" s="225"/>
      <c r="AF154" s="225"/>
      <c r="AG154" s="225"/>
      <c r="AH154" s="225"/>
      <c r="AI154" s="225">
        <f>BS!K38</f>
        <v>162.33799999999999</v>
      </c>
      <c r="AJ154" s="225"/>
      <c r="AK154" s="225"/>
      <c r="AL154" s="225"/>
      <c r="AM154" s="225"/>
      <c r="AN154" s="687">
        <f>BS!L38-AN159</f>
        <v>0</v>
      </c>
      <c r="AO154" s="687"/>
      <c r="AP154" s="687"/>
      <c r="AQ154" s="687"/>
      <c r="AR154" s="687"/>
      <c r="AS154" s="687">
        <f>BS!M38-AS159</f>
        <v>0</v>
      </c>
      <c r="AT154" s="687"/>
      <c r="AU154" s="687"/>
      <c r="AV154" s="687"/>
      <c r="AW154" s="687"/>
      <c r="AX154" s="687">
        <f>BS!N38-AX159</f>
        <v>25.471000000000004</v>
      </c>
      <c r="AY154" s="687"/>
      <c r="AZ154" s="687"/>
      <c r="BA154" s="687"/>
      <c r="BB154" s="687"/>
      <c r="BC154" s="687">
        <f>BS!O38-BC159</f>
        <v>0</v>
      </c>
      <c r="BD154" s="687"/>
      <c r="BE154" s="687"/>
      <c r="BF154" s="687"/>
      <c r="BG154" s="687"/>
      <c r="BH154" s="687">
        <f>BS!P38-BH159</f>
        <v>0</v>
      </c>
      <c r="BI154" s="687"/>
      <c r="BJ154" s="687"/>
      <c r="BK154" s="687"/>
      <c r="BL154" s="687"/>
      <c r="BM154" s="688">
        <f>BS!Q38-BM159</f>
        <v>0</v>
      </c>
    </row>
    <row r="155" spans="2:65" hidden="1" outlineLevel="1">
      <c r="B155" s="228"/>
      <c r="C155" s="108"/>
      <c r="D155" s="8"/>
      <c r="E155" s="8"/>
      <c r="F155" s="92"/>
      <c r="G155" s="92"/>
      <c r="H155" s="92"/>
      <c r="I155" s="92"/>
      <c r="J155" s="125"/>
      <c r="K155" s="92"/>
      <c r="L155" s="92"/>
      <c r="M155" s="92"/>
      <c r="N155" s="92"/>
      <c r="O155" s="96"/>
      <c r="P155" s="92"/>
      <c r="Q155" s="92"/>
      <c r="R155" s="92"/>
      <c r="S155" s="92"/>
      <c r="T155" s="96"/>
      <c r="U155" s="92"/>
      <c r="V155" s="92"/>
      <c r="W155" s="92"/>
      <c r="X155" s="92"/>
      <c r="Y155" s="96"/>
      <c r="Z155" s="92"/>
      <c r="AA155" s="92"/>
      <c r="AB155" s="92"/>
      <c r="AC155" s="92"/>
      <c r="AD155" s="96"/>
      <c r="AE155" s="92"/>
      <c r="AF155" s="92"/>
      <c r="AG155" s="92"/>
      <c r="AH155" s="92"/>
      <c r="AI155" s="96"/>
      <c r="AJ155" s="92"/>
      <c r="AK155" s="92"/>
      <c r="AL155" s="92"/>
      <c r="AM155" s="92"/>
      <c r="AN155" s="676"/>
      <c r="AO155" s="676"/>
      <c r="AP155" s="676"/>
      <c r="AQ155" s="676"/>
      <c r="AR155" s="676"/>
      <c r="AS155" s="676"/>
      <c r="AT155" s="676"/>
      <c r="AU155" s="676"/>
      <c r="AV155" s="676"/>
      <c r="AW155" s="676"/>
      <c r="AX155" s="676"/>
      <c r="AY155" s="676"/>
      <c r="AZ155" s="676"/>
      <c r="BA155" s="676"/>
      <c r="BB155" s="676"/>
      <c r="BC155" s="676"/>
      <c r="BD155" s="676"/>
      <c r="BE155" s="676"/>
      <c r="BF155" s="676"/>
      <c r="BG155" s="676"/>
      <c r="BH155" s="676"/>
      <c r="BI155" s="676"/>
      <c r="BJ155" s="676"/>
      <c r="BK155" s="676"/>
      <c r="BL155" s="676"/>
      <c r="BM155" s="677"/>
    </row>
    <row r="156" spans="2:65" hidden="1" outlineLevel="1">
      <c r="B156" s="228" t="s">
        <v>466</v>
      </c>
      <c r="C156" s="108"/>
      <c r="D156" s="8"/>
      <c r="E156" s="8"/>
      <c r="F156" s="92"/>
      <c r="G156" s="92"/>
      <c r="H156" s="92"/>
      <c r="I156" s="92"/>
      <c r="J156" s="125"/>
      <c r="K156" s="92"/>
      <c r="L156" s="92"/>
      <c r="M156" s="92"/>
      <c r="N156" s="92"/>
      <c r="O156" s="96"/>
      <c r="P156" s="92"/>
      <c r="Q156" s="92"/>
      <c r="R156" s="92"/>
      <c r="S156" s="92"/>
      <c r="T156" s="96"/>
      <c r="U156" s="92"/>
      <c r="V156" s="92"/>
      <c r="W156" s="92"/>
      <c r="X156" s="92"/>
      <c r="Y156" s="96"/>
      <c r="Z156" s="92"/>
      <c r="AA156" s="92"/>
      <c r="AB156" s="92"/>
      <c r="AC156" s="92"/>
      <c r="AD156" s="96"/>
      <c r="AE156" s="92"/>
      <c r="AF156" s="92"/>
      <c r="AG156" s="92"/>
      <c r="AH156" s="92"/>
      <c r="AI156" s="96"/>
      <c r="AJ156" s="92"/>
      <c r="AK156" s="92"/>
      <c r="AL156" s="92"/>
      <c r="AM156" s="92"/>
      <c r="AN156" s="689">
        <v>220.62</v>
      </c>
      <c r="AO156" s="676"/>
      <c r="AP156" s="676"/>
      <c r="AQ156" s="676"/>
      <c r="AR156" s="676"/>
      <c r="AS156" s="676">
        <f>AN156</f>
        <v>220.62</v>
      </c>
      <c r="AT156" s="676"/>
      <c r="AU156" s="676"/>
      <c r="AV156" s="676"/>
      <c r="AW156" s="676"/>
      <c r="AX156" s="676">
        <f>AS156</f>
        <v>220.62</v>
      </c>
      <c r="AY156" s="676"/>
      <c r="AZ156" s="676"/>
      <c r="BA156" s="676"/>
      <c r="BB156" s="676"/>
      <c r="BC156" s="676">
        <f>AX156</f>
        <v>220.62</v>
      </c>
      <c r="BD156" s="676"/>
      <c r="BE156" s="676"/>
      <c r="BF156" s="676"/>
      <c r="BG156" s="676"/>
      <c r="BH156" s="676">
        <f>BC156</f>
        <v>220.62</v>
      </c>
      <c r="BI156" s="676"/>
      <c r="BJ156" s="676"/>
      <c r="BK156" s="676"/>
      <c r="BL156" s="676"/>
      <c r="BM156" s="677">
        <f>BH156</f>
        <v>220.62</v>
      </c>
    </row>
    <row r="157" spans="2:65" hidden="1" outlineLevel="1">
      <c r="B157" s="229" t="s">
        <v>371</v>
      </c>
      <c r="C157" s="108"/>
      <c r="D157" s="8"/>
      <c r="E157" s="8"/>
      <c r="F157" s="92"/>
      <c r="G157" s="92"/>
      <c r="H157" s="92"/>
      <c r="I157" s="92"/>
      <c r="J157" s="125"/>
      <c r="K157" s="92"/>
      <c r="L157" s="92"/>
      <c r="M157" s="92"/>
      <c r="N157" s="92"/>
      <c r="O157" s="96"/>
      <c r="P157" s="92"/>
      <c r="Q157" s="92"/>
      <c r="R157" s="92"/>
      <c r="S157" s="92"/>
      <c r="T157" s="96"/>
      <c r="U157" s="92"/>
      <c r="V157" s="92"/>
      <c r="W157" s="92"/>
      <c r="X157" s="92"/>
      <c r="Y157" s="96"/>
      <c r="Z157" s="92"/>
      <c r="AA157" s="92"/>
      <c r="AB157" s="92"/>
      <c r="AC157" s="92"/>
      <c r="AD157" s="96"/>
      <c r="AE157" s="92"/>
      <c r="AF157" s="92"/>
      <c r="AG157" s="92"/>
      <c r="AH157" s="92"/>
      <c r="AI157" s="96"/>
      <c r="AJ157" s="92"/>
      <c r="AK157" s="92"/>
      <c r="AL157" s="92"/>
      <c r="AM157" s="92"/>
      <c r="AN157" s="690">
        <v>2.2499999999999999E-2</v>
      </c>
      <c r="AO157" s="676"/>
      <c r="AP157" s="676"/>
      <c r="AQ157" s="676"/>
      <c r="AR157" s="676"/>
      <c r="AS157" s="691">
        <f>AN157</f>
        <v>2.2499999999999999E-2</v>
      </c>
      <c r="AT157" s="692"/>
      <c r="AU157" s="692"/>
      <c r="AV157" s="692"/>
      <c r="AW157" s="692"/>
      <c r="AX157" s="691">
        <f>AS157</f>
        <v>2.2499999999999999E-2</v>
      </c>
      <c r="AY157" s="692"/>
      <c r="AZ157" s="692"/>
      <c r="BA157" s="692"/>
      <c r="BB157" s="692"/>
      <c r="BC157" s="691">
        <f>AX157</f>
        <v>2.2499999999999999E-2</v>
      </c>
      <c r="BD157" s="692"/>
      <c r="BE157" s="692"/>
      <c r="BF157" s="692"/>
      <c r="BG157" s="692"/>
      <c r="BH157" s="691">
        <f>BC157</f>
        <v>2.2499999999999999E-2</v>
      </c>
      <c r="BI157" s="692"/>
      <c r="BJ157" s="692"/>
      <c r="BK157" s="692"/>
      <c r="BL157" s="692"/>
      <c r="BM157" s="693">
        <f>BH157</f>
        <v>2.2499999999999999E-2</v>
      </c>
    </row>
    <row r="158" spans="2:65" hidden="1" outlineLevel="1">
      <c r="B158" s="228" t="s">
        <v>469</v>
      </c>
      <c r="C158" s="108"/>
      <c r="D158" s="8"/>
      <c r="E158" s="8"/>
      <c r="F158" s="92"/>
      <c r="G158" s="92"/>
      <c r="H158" s="92"/>
      <c r="I158" s="92"/>
      <c r="J158" s="125"/>
      <c r="K158" s="92"/>
      <c r="L158" s="92"/>
      <c r="M158" s="92"/>
      <c r="N158" s="92"/>
      <c r="O158" s="96"/>
      <c r="P158" s="92"/>
      <c r="Q158" s="92"/>
      <c r="R158" s="92"/>
      <c r="S158" s="92"/>
      <c r="T158" s="96"/>
      <c r="U158" s="92"/>
      <c r="V158" s="92"/>
      <c r="W158" s="92"/>
      <c r="X158" s="92"/>
      <c r="Y158" s="96"/>
      <c r="Z158" s="92"/>
      <c r="AA158" s="92"/>
      <c r="AB158" s="92"/>
      <c r="AC158" s="92"/>
      <c r="AD158" s="96"/>
      <c r="AE158" s="92"/>
      <c r="AF158" s="92"/>
      <c r="AG158" s="92"/>
      <c r="AH158" s="92"/>
      <c r="AI158" s="96"/>
      <c r="AJ158" s="92"/>
      <c r="AK158" s="92"/>
      <c r="AL158" s="92"/>
      <c r="AM158" s="92"/>
      <c r="AN158" s="676">
        <f>AN157*AN156*0.5</f>
        <v>2.4819749999999998</v>
      </c>
      <c r="AO158" s="676"/>
      <c r="AP158" s="676"/>
      <c r="AQ158" s="676"/>
      <c r="AR158" s="676"/>
      <c r="AS158" s="676">
        <f>AS157*AS156</f>
        <v>4.9639499999999996</v>
      </c>
      <c r="AT158" s="676"/>
      <c r="AU158" s="676"/>
      <c r="AV158" s="676"/>
      <c r="AW158" s="676"/>
      <c r="AX158" s="676">
        <f>AX157*AX156</f>
        <v>4.9639499999999996</v>
      </c>
      <c r="AY158" s="676"/>
      <c r="AZ158" s="676"/>
      <c r="BA158" s="676"/>
      <c r="BB158" s="676"/>
      <c r="BC158" s="676">
        <f>BC157*BC156</f>
        <v>4.9639499999999996</v>
      </c>
      <c r="BD158" s="676"/>
      <c r="BE158" s="676"/>
      <c r="BF158" s="676"/>
      <c r="BG158" s="676"/>
      <c r="BH158" s="676">
        <f>BH157*BH156</f>
        <v>4.9639499999999996</v>
      </c>
      <c r="BI158" s="676"/>
      <c r="BJ158" s="676"/>
      <c r="BK158" s="676"/>
      <c r="BL158" s="676"/>
      <c r="BM158" s="677">
        <f>BM157*BM156</f>
        <v>4.9639499999999996</v>
      </c>
    </row>
    <row r="159" spans="2:65" hidden="1" outlineLevel="1">
      <c r="B159" s="228" t="s">
        <v>470</v>
      </c>
      <c r="C159" s="108"/>
      <c r="D159" s="8"/>
      <c r="E159" s="8"/>
      <c r="F159" s="92"/>
      <c r="G159" s="92"/>
      <c r="H159" s="92"/>
      <c r="I159" s="92"/>
      <c r="J159" s="125"/>
      <c r="K159" s="92"/>
      <c r="L159" s="92"/>
      <c r="M159" s="92"/>
      <c r="N159" s="92"/>
      <c r="O159" s="96"/>
      <c r="P159" s="92"/>
      <c r="Q159" s="92"/>
      <c r="R159" s="92"/>
      <c r="S159" s="92"/>
      <c r="T159" s="96"/>
      <c r="U159" s="92"/>
      <c r="V159" s="92"/>
      <c r="W159" s="92"/>
      <c r="X159" s="92"/>
      <c r="Y159" s="96"/>
      <c r="Z159" s="92"/>
      <c r="AA159" s="92"/>
      <c r="AB159" s="92"/>
      <c r="AC159" s="92"/>
      <c r="AD159" s="96"/>
      <c r="AE159" s="92"/>
      <c r="AF159" s="92"/>
      <c r="AG159" s="92"/>
      <c r="AH159" s="92"/>
      <c r="AI159" s="96"/>
      <c r="AJ159" s="92"/>
      <c r="AK159" s="92"/>
      <c r="AL159" s="92"/>
      <c r="AM159" s="92"/>
      <c r="AN159" s="676">
        <f>AN156+AN153</f>
        <v>353.584</v>
      </c>
      <c r="AO159" s="676"/>
      <c r="AP159" s="676"/>
      <c r="AQ159" s="676"/>
      <c r="AR159" s="676"/>
      <c r="AS159" s="676">
        <f>BS!M38</f>
        <v>366.49199999999996</v>
      </c>
      <c r="AT159" s="676"/>
      <c r="AU159" s="676"/>
      <c r="AV159" s="676"/>
      <c r="AW159" s="676"/>
      <c r="AX159" s="676">
        <f>AX156+AX153</f>
        <v>370.62</v>
      </c>
      <c r="AY159" s="676"/>
      <c r="AZ159" s="676"/>
      <c r="BA159" s="676"/>
      <c r="BB159" s="676"/>
      <c r="BC159" s="676">
        <f>BC156+BC153</f>
        <v>330.00743977152763</v>
      </c>
      <c r="BD159" s="676"/>
      <c r="BE159" s="676"/>
      <c r="BF159" s="676"/>
      <c r="BG159" s="676"/>
      <c r="BH159" s="676">
        <f>BH156+BH153</f>
        <v>256.99398102042591</v>
      </c>
      <c r="BI159" s="676"/>
      <c r="BJ159" s="676"/>
      <c r="BK159" s="676"/>
      <c r="BL159" s="676"/>
      <c r="BM159" s="677">
        <f>BM156+BM153</f>
        <v>220.62</v>
      </c>
    </row>
    <row r="160" spans="2:65" hidden="1" outlineLevel="1">
      <c r="B160" s="228"/>
      <c r="C160" s="108"/>
      <c r="D160" s="8"/>
      <c r="E160" s="8"/>
      <c r="F160" s="92"/>
      <c r="G160" s="92"/>
      <c r="H160" s="92"/>
      <c r="I160" s="92"/>
      <c r="J160" s="125"/>
      <c r="K160" s="92"/>
      <c r="L160" s="92"/>
      <c r="M160" s="92"/>
      <c r="N160" s="92"/>
      <c r="O160" s="96"/>
      <c r="P160" s="92"/>
      <c r="Q160" s="92"/>
      <c r="R160" s="92"/>
      <c r="S160" s="92"/>
      <c r="T160" s="96"/>
      <c r="U160" s="92"/>
      <c r="V160" s="92"/>
      <c r="W160" s="92"/>
      <c r="X160" s="92"/>
      <c r="Y160" s="96"/>
      <c r="Z160" s="92"/>
      <c r="AA160" s="92"/>
      <c r="AB160" s="92"/>
      <c r="AC160" s="92"/>
      <c r="AD160" s="96"/>
      <c r="AE160" s="92"/>
      <c r="AF160" s="92"/>
      <c r="AG160" s="92"/>
      <c r="AH160" s="92"/>
      <c r="AI160" s="96"/>
      <c r="AJ160" s="92"/>
      <c r="AK160" s="92"/>
      <c r="AL160" s="92"/>
      <c r="AM160" s="92"/>
      <c r="AN160" s="676"/>
      <c r="AO160" s="676"/>
      <c r="AP160" s="676"/>
      <c r="AQ160" s="676"/>
      <c r="AR160" s="676"/>
      <c r="AS160" s="676"/>
      <c r="AT160" s="676"/>
      <c r="AU160" s="676"/>
      <c r="AV160" s="676"/>
      <c r="AW160" s="676"/>
      <c r="AX160" s="676"/>
      <c r="AY160" s="676"/>
      <c r="AZ160" s="676"/>
      <c r="BA160" s="676"/>
      <c r="BB160" s="676"/>
      <c r="BC160" s="676"/>
      <c r="BD160" s="676"/>
      <c r="BE160" s="676"/>
      <c r="BF160" s="676"/>
      <c r="BG160" s="676"/>
      <c r="BH160" s="676"/>
      <c r="BI160" s="676"/>
      <c r="BJ160" s="676"/>
      <c r="BK160" s="676"/>
      <c r="BL160" s="676"/>
      <c r="BM160" s="677"/>
    </row>
    <row r="161" spans="2:66" hidden="1" outlineLevel="1">
      <c r="B161" s="228" t="s">
        <v>468</v>
      </c>
      <c r="C161" s="108"/>
      <c r="D161" s="8"/>
      <c r="E161" s="8"/>
      <c r="F161" s="96"/>
      <c r="G161" s="96"/>
      <c r="H161" s="96"/>
      <c r="I161" s="96"/>
      <c r="J161" s="8"/>
      <c r="K161" s="96"/>
      <c r="L161" s="96"/>
      <c r="M161" s="96"/>
      <c r="N161" s="96"/>
      <c r="O161" s="126"/>
      <c r="P161" s="96"/>
      <c r="Q161" s="96"/>
      <c r="R161" s="96"/>
      <c r="S161" s="96"/>
      <c r="T161" s="126"/>
      <c r="U161" s="96"/>
      <c r="V161" s="96"/>
      <c r="W161" s="96"/>
      <c r="X161" s="96"/>
      <c r="Y161" s="126"/>
      <c r="Z161" s="96"/>
      <c r="AA161" s="96"/>
      <c r="AB161" s="96"/>
      <c r="AC161" s="96"/>
      <c r="AD161" s="96">
        <f>-AD132</f>
        <v>-19.25</v>
      </c>
      <c r="AE161" s="96"/>
      <c r="AF161" s="96"/>
      <c r="AG161" s="96"/>
      <c r="AH161" s="96"/>
      <c r="AI161" s="96">
        <f>-AI132</f>
        <v>-19.213919999999998</v>
      </c>
      <c r="AJ161" s="96"/>
      <c r="AK161" s="96"/>
      <c r="AL161" s="96"/>
      <c r="AM161" s="96"/>
      <c r="AN161" s="1064">
        <f>-AN132-AN158</f>
        <v>-21.577534999999997</v>
      </c>
      <c r="AO161" s="1064"/>
      <c r="AP161" s="1064"/>
      <c r="AQ161" s="1064"/>
      <c r="AR161" s="1064"/>
      <c r="AS161" s="1064">
        <f>-AS132-AS158</f>
        <v>-25.082070000000002</v>
      </c>
      <c r="AT161" s="1064"/>
      <c r="AU161" s="1064"/>
      <c r="AV161" s="1064"/>
      <c r="AW161" s="1064"/>
      <c r="AX161" s="1064">
        <f>-AX132-AX158-AX142</f>
        <v>-17.526450000000001</v>
      </c>
      <c r="AY161" s="1064"/>
      <c r="AZ161" s="1064"/>
      <c r="BA161" s="1064"/>
      <c r="BB161" s="1064"/>
      <c r="BC161" s="1064">
        <f>-BC132-BC158-BC142</f>
        <v>-17.526450000000001</v>
      </c>
      <c r="BD161" s="1064"/>
      <c r="BE161" s="1064"/>
      <c r="BF161" s="1064"/>
      <c r="BG161" s="1064"/>
      <c r="BH161" s="1064">
        <f>-BH132-BH158-BH142</f>
        <v>-17.526450000000001</v>
      </c>
      <c r="BI161" s="1064"/>
      <c r="BJ161" s="1064"/>
      <c r="BK161" s="1064"/>
      <c r="BL161" s="1064"/>
      <c r="BM161" s="1064">
        <f>-BM132-BM158-BM142</f>
        <v>-14.12514808086544</v>
      </c>
      <c r="BN161" s="153"/>
    </row>
    <row r="162" spans="2:66" hidden="1" outlineLevel="1">
      <c r="B162" s="117"/>
      <c r="C162" s="118"/>
      <c r="D162" s="120"/>
      <c r="E162" s="120"/>
      <c r="F162" s="127"/>
      <c r="G162" s="127"/>
      <c r="H162" s="127"/>
      <c r="I162" s="127"/>
      <c r="J162" s="120"/>
      <c r="K162" s="127"/>
      <c r="L162" s="127"/>
      <c r="M162" s="127"/>
      <c r="N162" s="127"/>
      <c r="O162" s="127"/>
      <c r="P162" s="127"/>
      <c r="Q162" s="127"/>
      <c r="R162" s="127"/>
      <c r="S162" s="127"/>
      <c r="T162" s="127"/>
      <c r="U162" s="127"/>
      <c r="V162" s="127"/>
      <c r="W162" s="127"/>
      <c r="X162" s="127"/>
      <c r="Y162" s="127"/>
      <c r="Z162" s="127"/>
      <c r="AA162" s="127"/>
      <c r="AB162" s="127"/>
      <c r="AC162" s="127"/>
      <c r="AD162" s="127"/>
      <c r="AE162" s="127"/>
      <c r="AF162" s="127"/>
      <c r="AG162" s="127"/>
      <c r="AH162" s="127"/>
      <c r="AI162" s="127"/>
      <c r="AJ162" s="127"/>
      <c r="AK162" s="127"/>
      <c r="AL162" s="127"/>
      <c r="AM162" s="127"/>
      <c r="AN162" s="694"/>
      <c r="AO162" s="694"/>
      <c r="AP162" s="694"/>
      <c r="AQ162" s="694"/>
      <c r="AR162" s="694"/>
      <c r="AS162" s="694"/>
      <c r="AT162" s="694"/>
      <c r="AU162" s="694"/>
      <c r="AV162" s="694"/>
      <c r="AW162" s="694"/>
      <c r="AX162" s="694"/>
      <c r="AY162" s="694"/>
      <c r="AZ162" s="694"/>
      <c r="BA162" s="694"/>
      <c r="BB162" s="694"/>
      <c r="BC162" s="694"/>
      <c r="BD162" s="694"/>
      <c r="BE162" s="694"/>
      <c r="BF162" s="694"/>
      <c r="BG162" s="694"/>
      <c r="BH162" s="694"/>
      <c r="BI162" s="694"/>
      <c r="BJ162" s="694"/>
      <c r="BK162" s="694"/>
      <c r="BL162" s="694"/>
      <c r="BM162" s="695"/>
    </row>
    <row r="163" spans="2:66" hidden="1" outlineLevel="1">
      <c r="B163" s="15"/>
      <c r="C163" s="15"/>
      <c r="T163" s="431"/>
      <c r="AD163" s="440"/>
      <c r="AN163" s="655"/>
      <c r="AO163" s="655"/>
      <c r="AP163" s="655"/>
      <c r="AQ163" s="655"/>
      <c r="AR163" s="655"/>
      <c r="AS163" s="655"/>
      <c r="AT163" s="655"/>
      <c r="AU163" s="655"/>
      <c r="AV163" s="655"/>
      <c r="AW163" s="655"/>
      <c r="AX163" s="655"/>
      <c r="AY163" s="655"/>
      <c r="AZ163" s="655"/>
      <c r="BA163" s="655"/>
      <c r="BB163" s="655"/>
      <c r="BC163" s="655"/>
      <c r="BD163" s="655"/>
      <c r="BE163" s="655"/>
      <c r="BF163" s="655"/>
      <c r="BG163" s="655"/>
      <c r="BH163" s="655"/>
      <c r="BI163" s="655"/>
      <c r="BJ163" s="655"/>
      <c r="BK163" s="655"/>
      <c r="BL163" s="655"/>
      <c r="BM163" s="655"/>
    </row>
    <row r="164" spans="2:66" hidden="1" outlineLevel="1">
      <c r="B164" s="15"/>
      <c r="C164" s="15"/>
      <c r="T164" s="431"/>
      <c r="AD164" s="440"/>
      <c r="AN164" s="655"/>
      <c r="AO164" s="655"/>
      <c r="AP164" s="655"/>
      <c r="AQ164" s="655"/>
      <c r="AR164" s="655"/>
      <c r="AS164" s="655"/>
      <c r="AT164" s="655"/>
      <c r="AU164" s="655"/>
      <c r="AV164" s="655"/>
      <c r="AW164" s="655"/>
      <c r="AX164" s="655"/>
      <c r="AY164" s="655"/>
      <c r="AZ164" s="655"/>
      <c r="BA164" s="655"/>
      <c r="BB164" s="655"/>
      <c r="BC164" s="655"/>
      <c r="BD164" s="655"/>
      <c r="BE164" s="655"/>
      <c r="BF164" s="655"/>
      <c r="BG164" s="655"/>
      <c r="BH164" s="655"/>
      <c r="BI164" s="655"/>
      <c r="BJ164" s="655"/>
      <c r="BK164" s="655"/>
      <c r="BL164" s="655"/>
      <c r="BM164" s="655"/>
    </row>
    <row r="165" spans="2:66" hidden="1" outlineLevel="1">
      <c r="B165" s="155" t="s">
        <v>91</v>
      </c>
      <c r="C165" s="232"/>
      <c r="D165" s="232"/>
      <c r="E165" s="232"/>
      <c r="F165" s="232"/>
      <c r="G165" s="232"/>
      <c r="H165" s="232"/>
      <c r="I165" s="232"/>
      <c r="J165" s="232"/>
      <c r="K165" s="232"/>
      <c r="L165" s="232"/>
      <c r="M165" s="232"/>
      <c r="N165" s="232"/>
      <c r="O165" s="232"/>
      <c r="P165" s="232"/>
      <c r="Q165" s="232"/>
      <c r="R165" s="232"/>
      <c r="S165" s="232"/>
      <c r="T165" s="232"/>
      <c r="U165" s="232"/>
      <c r="V165" s="232"/>
      <c r="W165" s="232"/>
      <c r="X165" s="232"/>
      <c r="Y165" s="232"/>
      <c r="Z165" s="232"/>
      <c r="AA165" s="232"/>
      <c r="AB165" s="232"/>
      <c r="AC165" s="232"/>
      <c r="AD165" s="232"/>
      <c r="AE165" s="232"/>
      <c r="AF165" s="232"/>
      <c r="AG165" s="232"/>
      <c r="AH165" s="232"/>
      <c r="AI165" s="232"/>
      <c r="AJ165" s="232"/>
      <c r="AK165" s="232"/>
      <c r="AL165" s="232"/>
      <c r="AM165" s="232"/>
      <c r="AN165" s="696"/>
      <c r="AO165" s="696"/>
      <c r="AP165" s="696"/>
      <c r="AQ165" s="696"/>
      <c r="AR165" s="696"/>
      <c r="AS165" s="696"/>
      <c r="AT165" s="696"/>
      <c r="AU165" s="696"/>
      <c r="AV165" s="696"/>
      <c r="AW165" s="696"/>
      <c r="AX165" s="696"/>
      <c r="AY165" s="696"/>
      <c r="AZ165" s="696"/>
      <c r="BA165" s="696"/>
      <c r="BB165" s="696"/>
      <c r="BC165" s="696"/>
      <c r="BD165" s="696"/>
      <c r="BE165" s="696"/>
      <c r="BF165" s="696"/>
      <c r="BG165" s="696"/>
      <c r="BH165" s="696"/>
      <c r="BI165" s="696"/>
      <c r="BJ165" s="696"/>
      <c r="BK165" s="696"/>
      <c r="BL165" s="696"/>
      <c r="BM165" s="697"/>
    </row>
    <row r="166" spans="2:66" hidden="1" outlineLevel="1">
      <c r="B166" s="153" t="s">
        <v>92</v>
      </c>
      <c r="C166" s="8"/>
      <c r="D166" s="441">
        <f t="shared" ref="D166:AM166" si="104">D114</f>
        <v>0</v>
      </c>
      <c r="E166" s="441">
        <f t="shared" si="104"/>
        <v>0.35</v>
      </c>
      <c r="F166" s="441">
        <f t="shared" si="104"/>
        <v>0.35</v>
      </c>
      <c r="G166" s="441">
        <f t="shared" si="104"/>
        <v>0.35</v>
      </c>
      <c r="H166" s="441">
        <f t="shared" si="104"/>
        <v>0.35</v>
      </c>
      <c r="I166" s="441">
        <f t="shared" si="104"/>
        <v>0.35</v>
      </c>
      <c r="J166" s="441">
        <f t="shared" si="104"/>
        <v>0.35</v>
      </c>
      <c r="K166" s="441">
        <f t="shared" si="104"/>
        <v>0.35</v>
      </c>
      <c r="L166" s="441">
        <f t="shared" si="104"/>
        <v>0.35</v>
      </c>
      <c r="M166" s="441">
        <f t="shared" si="104"/>
        <v>0.35</v>
      </c>
      <c r="N166" s="441">
        <f t="shared" si="104"/>
        <v>0.35</v>
      </c>
      <c r="O166" s="441">
        <f t="shared" si="104"/>
        <v>0.35</v>
      </c>
      <c r="P166" s="441">
        <f t="shared" si="104"/>
        <v>0.35</v>
      </c>
      <c r="Q166" s="441">
        <f t="shared" si="104"/>
        <v>0.35</v>
      </c>
      <c r="R166" s="441">
        <f t="shared" si="104"/>
        <v>0.35</v>
      </c>
      <c r="S166" s="441">
        <f t="shared" si="104"/>
        <v>0.35</v>
      </c>
      <c r="T166" s="441">
        <f t="shared" si="104"/>
        <v>0.35</v>
      </c>
      <c r="U166" s="441">
        <f t="shared" si="104"/>
        <v>0.35</v>
      </c>
      <c r="V166" s="441">
        <f t="shared" si="104"/>
        <v>0.35</v>
      </c>
      <c r="W166" s="441">
        <f t="shared" si="104"/>
        <v>0.35</v>
      </c>
      <c r="X166" s="441">
        <f t="shared" si="104"/>
        <v>0.35</v>
      </c>
      <c r="Y166" s="441">
        <f t="shared" si="104"/>
        <v>0.35</v>
      </c>
      <c r="Z166" s="441">
        <f t="shared" si="104"/>
        <v>0.35</v>
      </c>
      <c r="AA166" s="441">
        <f t="shared" si="104"/>
        <v>0.35</v>
      </c>
      <c r="AB166" s="441">
        <f t="shared" si="104"/>
        <v>0.35</v>
      </c>
      <c r="AC166" s="441">
        <f t="shared" si="104"/>
        <v>0.35</v>
      </c>
      <c r="AD166" s="441">
        <f t="shared" si="104"/>
        <v>0.35</v>
      </c>
      <c r="AE166" s="441">
        <f>AE114</f>
        <v>0.35</v>
      </c>
      <c r="AF166" s="441">
        <f t="shared" si="104"/>
        <v>0.35</v>
      </c>
      <c r="AG166" s="441">
        <f t="shared" si="104"/>
        <v>0.35</v>
      </c>
      <c r="AH166" s="441">
        <f t="shared" si="104"/>
        <v>0.35</v>
      </c>
      <c r="AI166" s="441">
        <f t="shared" si="104"/>
        <v>0.35</v>
      </c>
      <c r="AJ166" s="441">
        <f>AJ114</f>
        <v>0.35</v>
      </c>
      <c r="AK166" s="441">
        <f t="shared" si="104"/>
        <v>0.35</v>
      </c>
      <c r="AL166" s="441">
        <f t="shared" si="104"/>
        <v>0.35</v>
      </c>
      <c r="AM166" s="441">
        <f t="shared" si="104"/>
        <v>0.35</v>
      </c>
      <c r="AN166" s="698">
        <f>AN114</f>
        <v>0.35</v>
      </c>
      <c r="AO166" s="698">
        <f>AS166</f>
        <v>0.35</v>
      </c>
      <c r="AP166" s="698">
        <f>AO166</f>
        <v>0.35</v>
      </c>
      <c r="AQ166" s="698">
        <f t="shared" ref="AQ166:AR166" si="105">AP166</f>
        <v>0.35</v>
      </c>
      <c r="AR166" s="698">
        <f t="shared" si="105"/>
        <v>0.35</v>
      </c>
      <c r="AS166" s="698">
        <f>AS114</f>
        <v>0.35</v>
      </c>
      <c r="AT166" s="698">
        <f>AX166</f>
        <v>0.35</v>
      </c>
      <c r="AU166" s="698">
        <f>AT166</f>
        <v>0.35</v>
      </c>
      <c r="AV166" s="698">
        <f t="shared" ref="AV166:AW166" si="106">AU166</f>
        <v>0.35</v>
      </c>
      <c r="AW166" s="698">
        <f t="shared" si="106"/>
        <v>0.35</v>
      </c>
      <c r="AX166" s="698">
        <f>AX114</f>
        <v>0.35</v>
      </c>
      <c r="AY166" s="698">
        <f>BC166</f>
        <v>0.35</v>
      </c>
      <c r="AZ166" s="698">
        <f>AY166</f>
        <v>0.35</v>
      </c>
      <c r="BA166" s="698">
        <f t="shared" ref="BA166:BB166" si="107">AZ166</f>
        <v>0.35</v>
      </c>
      <c r="BB166" s="698">
        <f t="shared" si="107"/>
        <v>0.35</v>
      </c>
      <c r="BC166" s="698">
        <f>BC114</f>
        <v>0.35</v>
      </c>
      <c r="BD166" s="698"/>
      <c r="BE166" s="698"/>
      <c r="BF166" s="698"/>
      <c r="BG166" s="698"/>
      <c r="BH166" s="698">
        <f>BH114</f>
        <v>0.35</v>
      </c>
      <c r="BI166" s="698"/>
      <c r="BJ166" s="698"/>
      <c r="BK166" s="698"/>
      <c r="BL166" s="698"/>
      <c r="BM166" s="699">
        <f>BM114</f>
        <v>0.35</v>
      </c>
    </row>
    <row r="167" spans="2:66" hidden="1" outlineLevel="1">
      <c r="B167" s="153" t="s">
        <v>164</v>
      </c>
      <c r="C167" s="8"/>
      <c r="D167" s="98">
        <f>CF!D50+CF!D54</f>
        <v>0</v>
      </c>
      <c r="E167" s="98">
        <f>CF!E50+CF!E54</f>
        <v>0</v>
      </c>
      <c r="F167" s="98"/>
      <c r="G167" s="98"/>
      <c r="H167" s="98"/>
      <c r="I167" s="98"/>
      <c r="J167" s="98">
        <f>(BS!F43+BS!F44)-(BS!E43+BS!E44)</f>
        <v>13.007</v>
      </c>
      <c r="K167" s="98"/>
      <c r="L167" s="98"/>
      <c r="M167" s="98"/>
      <c r="N167" s="98"/>
      <c r="O167" s="98">
        <f>(BS!G43+BS!G44)-(BS!F43+BS!F44)</f>
        <v>514.08300000000008</v>
      </c>
      <c r="P167" s="98"/>
      <c r="Q167" s="98"/>
      <c r="R167" s="98"/>
      <c r="S167" s="98"/>
      <c r="T167" s="98">
        <f>(BS!H43+BS!H44)-(BS!G43+BS!G44)</f>
        <v>15.15199999999993</v>
      </c>
      <c r="U167" s="98"/>
      <c r="V167" s="98"/>
      <c r="W167" s="98"/>
      <c r="X167" s="98"/>
      <c r="Y167" s="98">
        <f>(BS!I43+BS!I44)-(BS!H43+BS!H44)</f>
        <v>106.82100000000003</v>
      </c>
      <c r="Z167" s="98"/>
      <c r="AA167" s="98"/>
      <c r="AB167" s="98"/>
      <c r="AC167" s="98"/>
      <c r="AD167" s="98">
        <f>(BS!J43+BS!J44)-(BS!I43+BS!I44)</f>
        <v>166.98799999999994</v>
      </c>
      <c r="AE167" s="98"/>
      <c r="AF167" s="98"/>
      <c r="AG167" s="98"/>
      <c r="AH167" s="98"/>
      <c r="AI167" s="98">
        <f>(BS!K43+BS!K44)-(BS!J43+BS!J44)</f>
        <v>239.96600000000012</v>
      </c>
      <c r="AJ167" s="98"/>
      <c r="AK167" s="98"/>
      <c r="AL167" s="98"/>
      <c r="AM167" s="98"/>
      <c r="AN167" s="700">
        <f>(BS!L43+BS!L44)-(BS!K43+BS!K44)</f>
        <v>149.30899999999997</v>
      </c>
      <c r="AO167" s="700"/>
      <c r="AP167" s="700"/>
      <c r="AQ167" s="700"/>
      <c r="AR167" s="700"/>
      <c r="AS167" s="700">
        <f>(BS!M43+BS!M44)-(BS!L43+BS!L44)</f>
        <v>53.2199999999998</v>
      </c>
      <c r="AT167" s="700"/>
      <c r="AU167" s="700"/>
      <c r="AV167" s="700"/>
      <c r="AW167" s="700"/>
      <c r="AX167" s="700">
        <f>(BS!N43+BS!N44)-(BS!M43+BS!M44)</f>
        <v>60.141000000000304</v>
      </c>
      <c r="AY167" s="700"/>
      <c r="AZ167" s="700"/>
      <c r="BA167" s="700"/>
      <c r="BB167" s="700"/>
      <c r="BC167" s="700">
        <f>(BS!O43+BS!O44)-(BS!N43+BS!N44)</f>
        <v>33.293574594698839</v>
      </c>
      <c r="BD167" s="700"/>
      <c r="BE167" s="700"/>
      <c r="BF167" s="700"/>
      <c r="BG167" s="700"/>
      <c r="BH167" s="700">
        <f>(BS!P43+BS!P44)-(BS!O43+BS!O44)</f>
        <v>34.30293172069787</v>
      </c>
      <c r="BI167" s="700"/>
      <c r="BJ167" s="700"/>
      <c r="BK167" s="700"/>
      <c r="BL167" s="700"/>
      <c r="BM167" s="701">
        <f>(BS!Q43+BS!Q44)-(BS!P43+BS!P44)</f>
        <v>35.556162842172398</v>
      </c>
    </row>
    <row r="168" spans="2:66" hidden="1" outlineLevel="1">
      <c r="B168" s="153" t="s">
        <v>93</v>
      </c>
      <c r="C168" s="8"/>
      <c r="D168" s="31">
        <v>0</v>
      </c>
      <c r="E168" s="31">
        <v>0</v>
      </c>
      <c r="F168" s="31"/>
      <c r="G168" s="31"/>
      <c r="H168" s="31"/>
      <c r="I168" s="31"/>
      <c r="J168" s="31">
        <v>0</v>
      </c>
      <c r="K168" s="31"/>
      <c r="L168" s="31"/>
      <c r="M168" s="31"/>
      <c r="N168" s="31"/>
      <c r="O168" s="31">
        <v>0</v>
      </c>
      <c r="P168" s="31"/>
      <c r="Q168" s="31"/>
      <c r="R168" s="31"/>
      <c r="S168" s="31"/>
      <c r="T168" s="31">
        <v>0</v>
      </c>
      <c r="U168" s="31"/>
      <c r="V168" s="31"/>
      <c r="W168" s="31"/>
      <c r="X168" s="31"/>
      <c r="Y168" s="31">
        <v>0</v>
      </c>
      <c r="Z168" s="31"/>
      <c r="AA168" s="31"/>
      <c r="AB168" s="31"/>
      <c r="AC168" s="31"/>
      <c r="AD168" s="31">
        <v>0</v>
      </c>
      <c r="AE168" s="31"/>
      <c r="AF168" s="31"/>
      <c r="AG168" s="31"/>
      <c r="AH168" s="31"/>
      <c r="AI168" s="519">
        <v>0</v>
      </c>
      <c r="AJ168" s="31"/>
      <c r="AK168" s="31"/>
      <c r="AL168" s="31"/>
      <c r="AM168" s="31"/>
      <c r="AN168" s="702">
        <v>0</v>
      </c>
      <c r="AO168" s="702"/>
      <c r="AP168" s="702"/>
      <c r="AQ168" s="702"/>
      <c r="AR168" s="702"/>
      <c r="AS168" s="702">
        <v>0</v>
      </c>
      <c r="AT168" s="702"/>
      <c r="AU168" s="702"/>
      <c r="AV168" s="702"/>
      <c r="AW168" s="702"/>
      <c r="AX168" s="702">
        <v>0</v>
      </c>
      <c r="AY168" s="702"/>
      <c r="AZ168" s="702"/>
      <c r="BA168" s="702"/>
      <c r="BB168" s="702"/>
      <c r="BC168" s="702">
        <v>0</v>
      </c>
      <c r="BD168" s="702"/>
      <c r="BE168" s="702"/>
      <c r="BF168" s="702"/>
      <c r="BG168" s="702"/>
      <c r="BH168" s="702">
        <v>0</v>
      </c>
      <c r="BI168" s="702"/>
      <c r="BJ168" s="702"/>
      <c r="BK168" s="702"/>
      <c r="BL168" s="702"/>
      <c r="BM168" s="703">
        <v>0</v>
      </c>
    </row>
    <row r="169" spans="2:66" hidden="1" outlineLevel="1">
      <c r="B169" s="411" t="s">
        <v>94</v>
      </c>
      <c r="C169" s="120"/>
      <c r="D169" s="221">
        <v>0</v>
      </c>
      <c r="E169" s="221">
        <v>0</v>
      </c>
      <c r="F169" s="221"/>
      <c r="G169" s="221"/>
      <c r="H169" s="221"/>
      <c r="I169" s="221"/>
      <c r="J169" s="221">
        <v>0</v>
      </c>
      <c r="K169" s="221"/>
      <c r="L169" s="221"/>
      <c r="M169" s="221"/>
      <c r="N169" s="221"/>
      <c r="O169" s="221">
        <v>0</v>
      </c>
      <c r="P169" s="221"/>
      <c r="Q169" s="221"/>
      <c r="R169" s="221"/>
      <c r="S169" s="221"/>
      <c r="T169" s="221">
        <v>0</v>
      </c>
      <c r="U169" s="221"/>
      <c r="V169" s="221"/>
      <c r="W169" s="221"/>
      <c r="X169" s="221"/>
      <c r="Y169" s="221">
        <v>0</v>
      </c>
      <c r="Z169" s="221"/>
      <c r="AA169" s="221"/>
      <c r="AB169" s="221"/>
      <c r="AC169" s="221"/>
      <c r="AD169" s="221">
        <v>0</v>
      </c>
      <c r="AE169" s="221"/>
      <c r="AF169" s="221"/>
      <c r="AG169" s="221"/>
      <c r="AH169" s="221"/>
      <c r="AI169" s="520">
        <v>0</v>
      </c>
      <c r="AJ169" s="221"/>
      <c r="AK169" s="221"/>
      <c r="AL169" s="221"/>
      <c r="AM169" s="221"/>
      <c r="AN169" s="704">
        <v>0</v>
      </c>
      <c r="AO169" s="704"/>
      <c r="AP169" s="704"/>
      <c r="AQ169" s="704"/>
      <c r="AR169" s="704"/>
      <c r="AS169" s="704">
        <v>0</v>
      </c>
      <c r="AT169" s="704"/>
      <c r="AU169" s="704"/>
      <c r="AV169" s="704"/>
      <c r="AW169" s="704"/>
      <c r="AX169" s="704">
        <v>0</v>
      </c>
      <c r="AY169" s="704"/>
      <c r="AZ169" s="704"/>
      <c r="BA169" s="704"/>
      <c r="BB169" s="704"/>
      <c r="BC169" s="704">
        <v>0</v>
      </c>
      <c r="BD169" s="704"/>
      <c r="BE169" s="704"/>
      <c r="BF169" s="704"/>
      <c r="BG169" s="704"/>
      <c r="BH169" s="704">
        <v>0</v>
      </c>
      <c r="BI169" s="704"/>
      <c r="BJ169" s="704"/>
      <c r="BK169" s="704"/>
      <c r="BL169" s="704"/>
      <c r="BM169" s="705">
        <v>0</v>
      </c>
    </row>
    <row r="170" spans="2:66" hidden="1" outlineLevel="1">
      <c r="AN170" s="655"/>
      <c r="AO170" s="655"/>
      <c r="AP170" s="655"/>
      <c r="AQ170" s="655"/>
      <c r="AR170" s="655"/>
      <c r="AS170" s="655"/>
      <c r="AT170" s="655"/>
      <c r="AU170" s="655"/>
      <c r="AV170" s="655"/>
      <c r="AW170" s="655"/>
      <c r="AX170" s="655"/>
      <c r="AY170" s="655"/>
      <c r="AZ170" s="655"/>
      <c r="BA170" s="655"/>
      <c r="BB170" s="655"/>
      <c r="BC170" s="655"/>
      <c r="BD170" s="655"/>
      <c r="BE170" s="655"/>
      <c r="BF170" s="655"/>
      <c r="BG170" s="655"/>
      <c r="BH170" s="655"/>
      <c r="BI170" s="655"/>
      <c r="BJ170" s="655"/>
      <c r="BK170" s="655"/>
      <c r="BL170" s="655"/>
      <c r="BM170" s="655"/>
    </row>
    <row r="171" spans="2:66" hidden="1" outlineLevel="1">
      <c r="AN171" s="655"/>
      <c r="AO171" s="655"/>
      <c r="AP171" s="655"/>
      <c r="AQ171" s="655"/>
      <c r="AR171" s="655"/>
      <c r="AS171" s="655"/>
      <c r="AT171" s="655"/>
      <c r="AU171" s="655"/>
      <c r="AV171" s="655"/>
      <c r="AW171" s="655"/>
      <c r="AX171" s="655"/>
      <c r="AY171" s="655"/>
      <c r="AZ171" s="655"/>
      <c r="BA171" s="655"/>
      <c r="BB171" s="655"/>
      <c r="BC171" s="655"/>
      <c r="BD171" s="655"/>
      <c r="BE171" s="655"/>
      <c r="BF171" s="655"/>
      <c r="BG171" s="655"/>
      <c r="BH171" s="655"/>
      <c r="BI171" s="655"/>
      <c r="BJ171" s="655"/>
      <c r="BK171" s="655"/>
      <c r="BL171" s="655"/>
      <c r="BM171" s="655"/>
    </row>
    <row r="172" spans="2:66" hidden="1" outlineLevel="1" collapsed="1">
      <c r="B172" s="25" t="s">
        <v>1</v>
      </c>
      <c r="AN172" s="655"/>
      <c r="AO172" s="655"/>
      <c r="AP172" s="655"/>
      <c r="AQ172" s="655"/>
      <c r="AR172" s="655"/>
      <c r="AS172" s="655"/>
      <c r="AT172" s="655"/>
      <c r="AU172" s="655"/>
      <c r="AV172" s="655"/>
      <c r="AW172" s="655"/>
      <c r="AX172" s="655"/>
      <c r="AY172" s="655"/>
      <c r="AZ172" s="655"/>
      <c r="BA172" s="655"/>
      <c r="BB172" s="655"/>
      <c r="BC172" s="655"/>
      <c r="BD172" s="655"/>
      <c r="BE172" s="655"/>
      <c r="BF172" s="655"/>
      <c r="BG172" s="655"/>
      <c r="BH172" s="655"/>
      <c r="BI172" s="655"/>
      <c r="BJ172" s="655"/>
      <c r="BK172" s="655"/>
      <c r="BL172" s="655"/>
      <c r="BM172" s="655"/>
    </row>
    <row r="173" spans="2:66" hidden="1" outlineLevel="1">
      <c r="AN173" s="655"/>
      <c r="AO173" s="655"/>
      <c r="AP173" s="655"/>
      <c r="AQ173" s="655"/>
      <c r="AR173" s="655"/>
      <c r="AS173" s="655"/>
      <c r="AT173" s="655"/>
      <c r="AU173" s="655"/>
      <c r="AV173" s="655"/>
      <c r="AW173" s="655"/>
      <c r="AX173" s="655"/>
      <c r="AY173" s="655"/>
      <c r="AZ173" s="655"/>
      <c r="BA173" s="655"/>
      <c r="BB173" s="655"/>
      <c r="BC173" s="655"/>
      <c r="BD173" s="655"/>
      <c r="BE173" s="655"/>
      <c r="BF173" s="655"/>
      <c r="BG173" s="655"/>
      <c r="BH173" s="655"/>
      <c r="BI173" s="655"/>
      <c r="BJ173" s="655"/>
      <c r="BK173" s="655"/>
      <c r="BL173" s="655"/>
      <c r="BM173" s="655"/>
    </row>
    <row r="174" spans="2:66" hidden="1" outlineLevel="1">
      <c r="B174" s="25" t="s">
        <v>280</v>
      </c>
      <c r="D174" s="73"/>
      <c r="E174" s="73"/>
      <c r="F174" s="73"/>
      <c r="G174" s="73"/>
      <c r="H174" s="73"/>
      <c r="I174" s="73"/>
      <c r="J174" s="73"/>
      <c r="K174" s="73"/>
      <c r="L174" s="73"/>
      <c r="M174" s="73"/>
      <c r="N174" s="73"/>
      <c r="O174" s="73"/>
      <c r="P174" s="73"/>
      <c r="Q174" s="73"/>
      <c r="R174" s="73"/>
      <c r="S174" s="73"/>
      <c r="T174" s="162"/>
      <c r="U174" s="73"/>
      <c r="V174" s="73"/>
      <c r="W174" s="73"/>
      <c r="X174" s="73"/>
      <c r="Y174" s="73"/>
      <c r="Z174" s="73"/>
      <c r="AA174" s="73"/>
      <c r="AB174" s="73"/>
      <c r="AC174" s="73"/>
      <c r="AD174" s="73"/>
      <c r="AE174" s="73"/>
      <c r="AF174" s="73"/>
      <c r="AG174" s="73"/>
      <c r="AH174" s="73"/>
      <c r="AI174" s="73"/>
      <c r="AJ174" s="73"/>
      <c r="AK174" s="73"/>
      <c r="AL174" s="73"/>
      <c r="AM174" s="73"/>
      <c r="AN174" s="655"/>
      <c r="AO174" s="655"/>
      <c r="AP174" s="655"/>
      <c r="AQ174" s="655"/>
      <c r="AR174" s="655"/>
      <c r="AS174" s="655"/>
      <c r="AT174" s="655"/>
      <c r="AU174" s="655"/>
      <c r="AV174" s="655"/>
      <c r="AW174" s="655"/>
      <c r="AX174" s="655"/>
      <c r="AY174" s="655"/>
      <c r="AZ174" s="655"/>
      <c r="BA174" s="655"/>
      <c r="BB174" s="655"/>
      <c r="BC174" s="655"/>
      <c r="BD174" s="655"/>
      <c r="BE174" s="655"/>
      <c r="BF174" s="655"/>
      <c r="BG174" s="655"/>
      <c r="BH174" s="655"/>
      <c r="BI174" s="655"/>
      <c r="BJ174" s="655"/>
      <c r="BK174" s="655"/>
      <c r="BL174" s="655"/>
      <c r="BM174" s="655"/>
    </row>
    <row r="175" spans="2:66" hidden="1" outlineLevel="1">
      <c r="B175" s="155" t="s">
        <v>281</v>
      </c>
      <c r="C175" s="232"/>
      <c r="D175" s="156" t="s">
        <v>294</v>
      </c>
      <c r="E175" s="156" t="s">
        <v>294</v>
      </c>
      <c r="F175" s="156"/>
      <c r="G175" s="156"/>
      <c r="H175" s="156"/>
      <c r="I175" s="156"/>
      <c r="J175" s="156" t="s">
        <v>295</v>
      </c>
      <c r="K175" s="156"/>
      <c r="L175" s="156"/>
      <c r="M175" s="156"/>
      <c r="N175" s="156"/>
      <c r="O175" s="156"/>
      <c r="P175" s="156"/>
      <c r="Q175" s="156"/>
      <c r="R175" s="156"/>
      <c r="S175" s="156"/>
      <c r="T175" s="156" t="s">
        <v>296</v>
      </c>
      <c r="U175" s="156"/>
      <c r="V175" s="156"/>
      <c r="W175" s="156"/>
      <c r="X175" s="156"/>
      <c r="Y175" s="156" t="s">
        <v>297</v>
      </c>
      <c r="Z175" s="156"/>
      <c r="AA175" s="156"/>
      <c r="AB175" s="156"/>
      <c r="AC175" s="156"/>
      <c r="AD175" s="156"/>
      <c r="AE175" s="156"/>
      <c r="AF175" s="156"/>
      <c r="AG175" s="156"/>
      <c r="AH175" s="156"/>
      <c r="AI175" s="156"/>
      <c r="AJ175" s="156"/>
      <c r="AK175" s="156"/>
      <c r="AL175" s="156"/>
      <c r="AM175" s="156"/>
      <c r="AN175" s="696" t="s">
        <v>298</v>
      </c>
      <c r="AO175" s="696"/>
      <c r="AP175" s="696"/>
      <c r="AQ175" s="696"/>
      <c r="AR175" s="696"/>
      <c r="AS175" s="696"/>
      <c r="AT175" s="696"/>
      <c r="AU175" s="696"/>
      <c r="AV175" s="696"/>
      <c r="AW175" s="696"/>
      <c r="AX175" s="696"/>
      <c r="AY175" s="696"/>
      <c r="AZ175" s="696"/>
      <c r="BA175" s="696"/>
      <c r="BB175" s="696"/>
      <c r="BC175" s="696"/>
      <c r="BD175" s="696"/>
      <c r="BE175" s="696"/>
      <c r="BF175" s="696"/>
      <c r="BG175" s="696"/>
      <c r="BH175" s="696"/>
      <c r="BI175" s="696"/>
      <c r="BJ175" s="696"/>
      <c r="BK175" s="696"/>
      <c r="BL175" s="696"/>
      <c r="BM175" s="697"/>
    </row>
    <row r="176" spans="2:66" hidden="1" outlineLevel="1">
      <c r="B176" s="153"/>
      <c r="C176" s="8"/>
      <c r="D176" s="157"/>
      <c r="E176" s="157" t="s">
        <v>299</v>
      </c>
      <c r="F176" s="157"/>
      <c r="G176" s="157"/>
      <c r="H176" s="157"/>
      <c r="I176" s="157"/>
      <c r="J176" s="157" t="s">
        <v>300</v>
      </c>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c r="AH176" s="157"/>
      <c r="AI176" s="157"/>
      <c r="AJ176" s="157"/>
      <c r="AK176" s="157"/>
      <c r="AL176" s="157"/>
      <c r="AM176" s="157"/>
      <c r="AN176" s="706"/>
      <c r="AO176" s="706"/>
      <c r="AP176" s="706"/>
      <c r="AQ176" s="706"/>
      <c r="AR176" s="706"/>
      <c r="AS176" s="706"/>
      <c r="AT176" s="706"/>
      <c r="AU176" s="706"/>
      <c r="AV176" s="706"/>
      <c r="AW176" s="706"/>
      <c r="AX176" s="706"/>
      <c r="AY176" s="706"/>
      <c r="AZ176" s="706"/>
      <c r="BA176" s="706"/>
      <c r="BB176" s="706"/>
      <c r="BC176" s="706"/>
      <c r="BD176" s="706"/>
      <c r="BE176" s="706"/>
      <c r="BF176" s="706"/>
      <c r="BG176" s="706"/>
      <c r="BH176" s="706"/>
      <c r="BI176" s="706"/>
      <c r="BJ176" s="706"/>
      <c r="BK176" s="706"/>
      <c r="BL176" s="706"/>
      <c r="BM176" s="707"/>
    </row>
    <row r="177" spans="2:66" hidden="1" outlineLevel="1">
      <c r="B177" s="411"/>
      <c r="C177" s="120"/>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162"/>
      <c r="AK177" s="162"/>
      <c r="AL177" s="162"/>
      <c r="AM177" s="162"/>
      <c r="AN177" s="708"/>
      <c r="AO177" s="708"/>
      <c r="AP177" s="708"/>
      <c r="AQ177" s="708"/>
      <c r="AR177" s="708"/>
      <c r="AS177" s="708"/>
      <c r="AT177" s="708"/>
      <c r="AU177" s="708"/>
      <c r="AV177" s="708"/>
      <c r="AW177" s="708"/>
      <c r="AX177" s="708"/>
      <c r="AY177" s="708"/>
      <c r="AZ177" s="708"/>
      <c r="BA177" s="708"/>
      <c r="BB177" s="708"/>
      <c r="BC177" s="708"/>
      <c r="BD177" s="708"/>
      <c r="BE177" s="708"/>
      <c r="BF177" s="708"/>
      <c r="BG177" s="708"/>
      <c r="BH177" s="708"/>
      <c r="BI177" s="708"/>
      <c r="BJ177" s="708"/>
      <c r="BK177" s="708"/>
      <c r="BL177" s="708"/>
      <c r="BM177" s="709"/>
      <c r="BN177" s="73" t="s">
        <v>301</v>
      </c>
    </row>
    <row r="178" spans="2:66" hidden="1" outlineLevel="1">
      <c r="B178" s="155" t="s">
        <v>282</v>
      </c>
      <c r="C178" s="232"/>
      <c r="D178" s="89">
        <v>50</v>
      </c>
      <c r="E178" s="89">
        <v>20</v>
      </c>
      <c r="F178" s="89"/>
      <c r="G178" s="89"/>
      <c r="H178" s="89"/>
      <c r="I178" s="89"/>
      <c r="J178" s="89">
        <v>20</v>
      </c>
      <c r="K178" s="89"/>
      <c r="L178" s="89"/>
      <c r="M178" s="89"/>
      <c r="N178" s="89"/>
      <c r="O178" s="89"/>
      <c r="P178" s="89"/>
      <c r="Q178" s="89"/>
      <c r="R178" s="89"/>
      <c r="S178" s="89"/>
      <c r="T178" s="89">
        <v>20</v>
      </c>
      <c r="U178" s="89"/>
      <c r="V178" s="89"/>
      <c r="W178" s="89"/>
      <c r="X178" s="89"/>
      <c r="Y178" s="89">
        <v>85</v>
      </c>
      <c r="Z178" s="89"/>
      <c r="AA178" s="89"/>
      <c r="AB178" s="89"/>
      <c r="AC178" s="89"/>
      <c r="AD178" s="156">
        <v>0</v>
      </c>
      <c r="AE178" s="89"/>
      <c r="AF178" s="89"/>
      <c r="AG178" s="89"/>
      <c r="AH178" s="89"/>
      <c r="AI178" s="89">
        <v>0</v>
      </c>
      <c r="AJ178" s="89"/>
      <c r="AK178" s="89"/>
      <c r="AL178" s="89"/>
      <c r="AM178" s="89"/>
      <c r="AN178" s="710"/>
      <c r="AO178" s="710"/>
      <c r="AP178" s="710"/>
      <c r="AQ178" s="710"/>
      <c r="AR178" s="710"/>
      <c r="AS178" s="710"/>
      <c r="AT178" s="710"/>
      <c r="AU178" s="710"/>
      <c r="AV178" s="710"/>
      <c r="AW178" s="710"/>
      <c r="AX178" s="710"/>
      <c r="AY178" s="710"/>
      <c r="AZ178" s="710"/>
      <c r="BA178" s="710"/>
      <c r="BB178" s="710"/>
      <c r="BC178" s="710"/>
      <c r="BD178" s="710"/>
      <c r="BE178" s="710"/>
      <c r="BF178" s="710"/>
      <c r="BG178" s="710"/>
      <c r="BH178" s="710"/>
      <c r="BI178" s="710"/>
      <c r="BJ178" s="710"/>
      <c r="BK178" s="710"/>
      <c r="BL178" s="710"/>
      <c r="BM178" s="711"/>
      <c r="BN178" s="442">
        <f>SUM(IS!D178:AS179)</f>
        <v>214</v>
      </c>
    </row>
    <row r="179" spans="2:66" hidden="1" outlineLevel="1">
      <c r="B179" s="153" t="s">
        <v>282</v>
      </c>
      <c r="C179" s="8"/>
      <c r="D179" s="143">
        <v>9</v>
      </c>
      <c r="E179" s="143">
        <v>10</v>
      </c>
      <c r="F179" s="157"/>
      <c r="G179" s="157"/>
      <c r="H179" s="157"/>
      <c r="I179" s="157"/>
      <c r="J179" s="143"/>
      <c r="K179" s="157"/>
      <c r="L179" s="157"/>
      <c r="M179" s="157"/>
      <c r="N179" s="157"/>
      <c r="O179" s="143"/>
      <c r="P179" s="157"/>
      <c r="Q179" s="157"/>
      <c r="R179" s="157"/>
      <c r="S179" s="157"/>
      <c r="T179" s="157">
        <v>0</v>
      </c>
      <c r="U179" s="157"/>
      <c r="V179" s="157"/>
      <c r="W179" s="157"/>
      <c r="X179" s="157"/>
      <c r="Y179" s="157">
        <v>0</v>
      </c>
      <c r="Z179" s="157"/>
      <c r="AA179" s="157"/>
      <c r="AB179" s="157"/>
      <c r="AC179" s="157"/>
      <c r="AD179" s="157">
        <v>0</v>
      </c>
      <c r="AE179" s="157"/>
      <c r="AF179" s="157"/>
      <c r="AG179" s="157"/>
      <c r="AH179" s="157"/>
      <c r="AI179" s="157">
        <v>0</v>
      </c>
      <c r="AJ179" s="157"/>
      <c r="AK179" s="157"/>
      <c r="AL179" s="157"/>
      <c r="AM179" s="157"/>
      <c r="AN179" s="706">
        <v>0</v>
      </c>
      <c r="AO179" s="706"/>
      <c r="AP179" s="706"/>
      <c r="AQ179" s="706"/>
      <c r="AR179" s="706"/>
      <c r="AS179" s="706"/>
      <c r="AT179" s="706"/>
      <c r="AU179" s="706"/>
      <c r="AV179" s="706"/>
      <c r="AW179" s="706"/>
      <c r="AX179" s="706"/>
      <c r="AY179" s="706"/>
      <c r="AZ179" s="706"/>
      <c r="BA179" s="706"/>
      <c r="BB179" s="706"/>
      <c r="BC179" s="706"/>
      <c r="BD179" s="706"/>
      <c r="BE179" s="706"/>
      <c r="BF179" s="706"/>
      <c r="BG179" s="706"/>
      <c r="BH179" s="706"/>
      <c r="BI179" s="706"/>
      <c r="BJ179" s="706"/>
      <c r="BK179" s="706"/>
      <c r="BL179" s="706"/>
      <c r="BM179" s="707"/>
    </row>
    <row r="180" spans="2:66" hidden="1" outlineLevel="1">
      <c r="B180" s="153" t="s">
        <v>283</v>
      </c>
      <c r="C180" s="8"/>
      <c r="D180" s="157">
        <v>5</v>
      </c>
      <c r="E180" s="157">
        <v>5</v>
      </c>
      <c r="F180" s="157"/>
      <c r="G180" s="157"/>
      <c r="H180" s="157"/>
      <c r="I180" s="157"/>
      <c r="J180" s="157">
        <v>4</v>
      </c>
      <c r="K180" s="157"/>
      <c r="L180" s="157"/>
      <c r="M180" s="157"/>
      <c r="N180" s="157"/>
      <c r="O180" s="157">
        <v>0</v>
      </c>
      <c r="P180" s="157"/>
      <c r="Q180" s="157"/>
      <c r="R180" s="157"/>
      <c r="S180" s="157"/>
      <c r="T180" s="157">
        <v>1</v>
      </c>
      <c r="U180" s="157"/>
      <c r="V180" s="157"/>
      <c r="W180" s="157"/>
      <c r="X180" s="157"/>
      <c r="Y180" s="157"/>
      <c r="Z180" s="157"/>
      <c r="AA180" s="157"/>
      <c r="AB180" s="157"/>
      <c r="AC180" s="157"/>
      <c r="AD180" s="157"/>
      <c r="AE180" s="157"/>
      <c r="AF180" s="157"/>
      <c r="AG180" s="157"/>
      <c r="AH180" s="157"/>
      <c r="AI180" s="157"/>
      <c r="AJ180" s="157"/>
      <c r="AK180" s="157"/>
      <c r="AL180" s="157"/>
      <c r="AM180" s="157"/>
      <c r="AN180" s="706">
        <v>4</v>
      </c>
      <c r="AO180" s="706"/>
      <c r="AP180" s="706"/>
      <c r="AQ180" s="706"/>
      <c r="AR180" s="706"/>
      <c r="AS180" s="706"/>
      <c r="AT180" s="706"/>
      <c r="AU180" s="706"/>
      <c r="AV180" s="706"/>
      <c r="AW180" s="706"/>
      <c r="AX180" s="706"/>
      <c r="AY180" s="706"/>
      <c r="AZ180" s="706"/>
      <c r="BA180" s="706"/>
      <c r="BB180" s="706"/>
      <c r="BC180" s="706"/>
      <c r="BD180" s="706"/>
      <c r="BE180" s="706"/>
      <c r="BF180" s="706"/>
      <c r="BG180" s="706"/>
      <c r="BH180" s="706"/>
      <c r="BI180" s="706"/>
      <c r="BJ180" s="706"/>
      <c r="BK180" s="706"/>
      <c r="BL180" s="706"/>
      <c r="BM180" s="707"/>
    </row>
    <row r="181" spans="2:66" hidden="1" outlineLevel="1">
      <c r="B181" s="153" t="s">
        <v>283</v>
      </c>
      <c r="C181" s="8"/>
      <c r="D181" s="157"/>
      <c r="E181" s="157">
        <v>4</v>
      </c>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c r="AF181" s="157"/>
      <c r="AG181" s="157"/>
      <c r="AH181" s="157"/>
      <c r="AI181" s="157"/>
      <c r="AJ181" s="157"/>
      <c r="AK181" s="157"/>
      <c r="AL181" s="157"/>
      <c r="AM181" s="157"/>
      <c r="AN181" s="706"/>
      <c r="AO181" s="706"/>
      <c r="AP181" s="706"/>
      <c r="AQ181" s="706"/>
      <c r="AR181" s="706"/>
      <c r="AS181" s="706"/>
      <c r="AT181" s="706"/>
      <c r="AU181" s="706"/>
      <c r="AV181" s="706"/>
      <c r="AW181" s="706"/>
      <c r="AX181" s="706"/>
      <c r="AY181" s="706"/>
      <c r="AZ181" s="706"/>
      <c r="BA181" s="706"/>
      <c r="BB181" s="706"/>
      <c r="BC181" s="706"/>
      <c r="BD181" s="706"/>
      <c r="BE181" s="706"/>
      <c r="BF181" s="706"/>
      <c r="BG181" s="706"/>
      <c r="BH181" s="706"/>
      <c r="BI181" s="706"/>
      <c r="BJ181" s="706"/>
      <c r="BK181" s="706"/>
      <c r="BL181" s="706"/>
      <c r="BM181" s="707"/>
    </row>
    <row r="182" spans="2:66" hidden="1" outlineLevel="1">
      <c r="B182" s="411" t="s">
        <v>284</v>
      </c>
      <c r="C182" s="120"/>
      <c r="D182" s="163">
        <f>D178+D179</f>
        <v>59</v>
      </c>
      <c r="E182" s="163">
        <f>E178+E179</f>
        <v>30</v>
      </c>
      <c r="F182" s="163"/>
      <c r="G182" s="163"/>
      <c r="H182" s="163"/>
      <c r="I182" s="163"/>
      <c r="J182" s="163">
        <f>J178+J179</f>
        <v>20</v>
      </c>
      <c r="K182" s="163"/>
      <c r="L182" s="163"/>
      <c r="M182" s="163"/>
      <c r="N182" s="163"/>
      <c r="O182" s="163">
        <f>O178+O179</f>
        <v>0</v>
      </c>
      <c r="P182" s="163"/>
      <c r="Q182" s="163"/>
      <c r="R182" s="163"/>
      <c r="S182" s="163"/>
      <c r="T182" s="163">
        <f>T178+T179</f>
        <v>20</v>
      </c>
      <c r="U182" s="163"/>
      <c r="V182" s="163"/>
      <c r="W182" s="163"/>
      <c r="X182" s="163"/>
      <c r="Y182" s="163">
        <f>Y178+Y179</f>
        <v>85</v>
      </c>
      <c r="Z182" s="163"/>
      <c r="AA182" s="163"/>
      <c r="AB182" s="163"/>
      <c r="AC182" s="163"/>
      <c r="AD182" s="163">
        <f>AD178+AD179</f>
        <v>0</v>
      </c>
      <c r="AE182" s="163"/>
      <c r="AF182" s="163"/>
      <c r="AG182" s="163"/>
      <c r="AH182" s="163"/>
      <c r="AI182" s="163">
        <f>AI178+AI179</f>
        <v>0</v>
      </c>
      <c r="AJ182" s="163"/>
      <c r="AK182" s="163"/>
      <c r="AL182" s="163"/>
      <c r="AM182" s="163"/>
      <c r="AN182" s="712">
        <f>AN178+AN179</f>
        <v>0</v>
      </c>
      <c r="AO182" s="712"/>
      <c r="AP182" s="712"/>
      <c r="AQ182" s="712"/>
      <c r="AR182" s="712"/>
      <c r="AS182" s="712"/>
      <c r="AT182" s="712"/>
      <c r="AU182" s="712"/>
      <c r="AV182" s="712"/>
      <c r="AW182" s="712"/>
      <c r="AX182" s="712"/>
      <c r="AY182" s="712"/>
      <c r="AZ182" s="712"/>
      <c r="BA182" s="712"/>
      <c r="BB182" s="712"/>
      <c r="BC182" s="712"/>
      <c r="BD182" s="712"/>
      <c r="BE182" s="712"/>
      <c r="BF182" s="712"/>
      <c r="BG182" s="712"/>
      <c r="BH182" s="712"/>
      <c r="BI182" s="712"/>
      <c r="BJ182" s="712"/>
      <c r="BK182" s="712"/>
      <c r="BL182" s="712"/>
      <c r="BM182" s="713"/>
    </row>
    <row r="183" spans="2:66" hidden="1" outlineLevel="1">
      <c r="B183" s="153" t="s">
        <v>285</v>
      </c>
      <c r="C183" s="8"/>
      <c r="D183" s="143">
        <f>D182/D180</f>
        <v>11.8</v>
      </c>
      <c r="E183" s="143">
        <f>($D$182/$D$180)+($E$178/$E$180)</f>
        <v>15.8</v>
      </c>
      <c r="F183" s="157"/>
      <c r="G183" s="157"/>
      <c r="H183" s="157"/>
      <c r="I183" s="157"/>
      <c r="J183" s="143">
        <f>($D$182/$D$180)+($E$178/$E$180)</f>
        <v>15.8</v>
      </c>
      <c r="K183" s="157"/>
      <c r="L183" s="157"/>
      <c r="M183" s="157"/>
      <c r="N183" s="157"/>
      <c r="O183" s="143">
        <f>($D$182/$D$180)+($E$178/$E$180)</f>
        <v>15.8</v>
      </c>
      <c r="P183" s="157"/>
      <c r="Q183" s="157"/>
      <c r="R183" s="157"/>
      <c r="S183" s="157"/>
      <c r="T183" s="143">
        <f>($D$182/$D$180)+($E$178/$E$180)</f>
        <v>15.8</v>
      </c>
      <c r="U183" s="157"/>
      <c r="V183" s="157"/>
      <c r="W183" s="157"/>
      <c r="X183" s="157"/>
      <c r="Y183" s="143">
        <f>($E$178/$E$180)</f>
        <v>4</v>
      </c>
      <c r="Z183" s="157"/>
      <c r="AA183" s="157"/>
      <c r="AB183" s="157"/>
      <c r="AC183" s="157"/>
      <c r="AD183" s="157"/>
      <c r="AE183" s="157"/>
      <c r="AF183" s="157"/>
      <c r="AG183" s="157"/>
      <c r="AH183" s="157"/>
      <c r="AI183" s="143"/>
      <c r="AJ183" s="157"/>
      <c r="AK183" s="157"/>
      <c r="AL183" s="157"/>
      <c r="AM183" s="157"/>
      <c r="AN183" s="706"/>
      <c r="AO183" s="706"/>
      <c r="AP183" s="706"/>
      <c r="AQ183" s="706"/>
      <c r="AR183" s="706"/>
      <c r="AS183" s="706"/>
      <c r="AT183" s="706"/>
      <c r="AU183" s="706"/>
      <c r="AV183" s="706"/>
      <c r="AW183" s="706"/>
      <c r="AX183" s="706"/>
      <c r="AY183" s="706"/>
      <c r="AZ183" s="706"/>
      <c r="BA183" s="706"/>
      <c r="BB183" s="706"/>
      <c r="BC183" s="706"/>
      <c r="BD183" s="706"/>
      <c r="BE183" s="706"/>
      <c r="BF183" s="706"/>
      <c r="BG183" s="706"/>
      <c r="BH183" s="706"/>
      <c r="BI183" s="706"/>
      <c r="BJ183" s="706"/>
      <c r="BK183" s="706"/>
      <c r="BL183" s="706"/>
      <c r="BM183" s="707"/>
    </row>
    <row r="184" spans="2:66" hidden="1" outlineLevel="1">
      <c r="B184" s="153" t="s">
        <v>285</v>
      </c>
      <c r="C184" s="8"/>
      <c r="D184" s="143"/>
      <c r="E184" s="143">
        <f>$E$179/$E$181</f>
        <v>2.5</v>
      </c>
      <c r="F184" s="157"/>
      <c r="G184" s="157"/>
      <c r="H184" s="157"/>
      <c r="I184" s="157"/>
      <c r="J184" s="143">
        <f>$E$179/$E$181</f>
        <v>2.5</v>
      </c>
      <c r="K184" s="157"/>
      <c r="L184" s="157"/>
      <c r="M184" s="157"/>
      <c r="N184" s="157"/>
      <c r="O184" s="143">
        <f>$E$179/$E$181</f>
        <v>2.5</v>
      </c>
      <c r="P184" s="157"/>
      <c r="Q184" s="157"/>
      <c r="R184" s="157"/>
      <c r="S184" s="157"/>
      <c r="T184" s="143">
        <f>$E$179/$E$181</f>
        <v>2.5</v>
      </c>
      <c r="U184" s="157"/>
      <c r="V184" s="157"/>
      <c r="W184" s="157"/>
      <c r="X184" s="157"/>
      <c r="Y184" s="143">
        <f>E179-(SUM(E184:T184))</f>
        <v>0</v>
      </c>
      <c r="Z184" s="157"/>
      <c r="AA184" s="157"/>
      <c r="AB184" s="157"/>
      <c r="AC184" s="157"/>
      <c r="AD184" s="157"/>
      <c r="AE184" s="157"/>
      <c r="AF184" s="157"/>
      <c r="AG184" s="157"/>
      <c r="AH184" s="157"/>
      <c r="AI184" s="157"/>
      <c r="AJ184" s="157"/>
      <c r="AK184" s="157"/>
      <c r="AL184" s="157"/>
      <c r="AM184" s="157"/>
      <c r="AN184" s="706"/>
      <c r="AO184" s="706"/>
      <c r="AP184" s="706"/>
      <c r="AQ184" s="706"/>
      <c r="AR184" s="706"/>
      <c r="AS184" s="706"/>
      <c r="AT184" s="706"/>
      <c r="AU184" s="706"/>
      <c r="AV184" s="706"/>
      <c r="AW184" s="706"/>
      <c r="AX184" s="706"/>
      <c r="AY184" s="706"/>
      <c r="AZ184" s="706"/>
      <c r="BA184" s="706"/>
      <c r="BB184" s="706"/>
      <c r="BC184" s="706"/>
      <c r="BD184" s="706"/>
      <c r="BE184" s="706"/>
      <c r="BF184" s="706"/>
      <c r="BG184" s="706"/>
      <c r="BH184" s="706"/>
      <c r="BI184" s="706"/>
      <c r="BJ184" s="706"/>
      <c r="BK184" s="706"/>
      <c r="BL184" s="706"/>
      <c r="BM184" s="707"/>
    </row>
    <row r="185" spans="2:66" hidden="1" outlineLevel="1">
      <c r="B185" s="153" t="s">
        <v>285</v>
      </c>
      <c r="C185" s="8"/>
      <c r="D185" s="143"/>
      <c r="E185" s="143"/>
      <c r="F185" s="157"/>
      <c r="G185" s="157"/>
      <c r="H185" s="157"/>
      <c r="I185" s="157"/>
      <c r="J185" s="143">
        <f>$J$178/$J$180</f>
        <v>5</v>
      </c>
      <c r="K185" s="157"/>
      <c r="L185" s="157"/>
      <c r="M185" s="157"/>
      <c r="N185" s="157"/>
      <c r="O185" s="143">
        <f>$J$178/$J$180</f>
        <v>5</v>
      </c>
      <c r="P185" s="157"/>
      <c r="Q185" s="157"/>
      <c r="R185" s="157"/>
      <c r="S185" s="157"/>
      <c r="T185" s="143">
        <f>$J$178/$J$180</f>
        <v>5</v>
      </c>
      <c r="U185" s="157"/>
      <c r="V185" s="157"/>
      <c r="W185" s="157"/>
      <c r="X185" s="157"/>
      <c r="Y185" s="143">
        <f>$J$178/$J$180</f>
        <v>5</v>
      </c>
      <c r="Z185" s="157"/>
      <c r="AA185" s="157"/>
      <c r="AB185" s="157"/>
      <c r="AC185" s="157"/>
      <c r="AD185" s="157"/>
      <c r="AE185" s="157"/>
      <c r="AF185" s="157"/>
      <c r="AG185" s="157"/>
      <c r="AH185" s="157"/>
      <c r="AI185" s="157"/>
      <c r="AJ185" s="157"/>
      <c r="AK185" s="157"/>
      <c r="AL185" s="157"/>
      <c r="AM185" s="157"/>
      <c r="AN185" s="706"/>
      <c r="AO185" s="706"/>
      <c r="AP185" s="706"/>
      <c r="AQ185" s="706"/>
      <c r="AR185" s="706"/>
      <c r="AS185" s="706"/>
      <c r="AT185" s="706"/>
      <c r="AU185" s="706"/>
      <c r="AV185" s="706"/>
      <c r="AW185" s="706"/>
      <c r="AX185" s="706"/>
      <c r="AY185" s="706"/>
      <c r="AZ185" s="706"/>
      <c r="BA185" s="706"/>
      <c r="BB185" s="706"/>
      <c r="BC185" s="706"/>
      <c r="BD185" s="706"/>
      <c r="BE185" s="706"/>
      <c r="BF185" s="706"/>
      <c r="BG185" s="706"/>
      <c r="BH185" s="706"/>
      <c r="BI185" s="706"/>
      <c r="BJ185" s="706"/>
      <c r="BK185" s="706"/>
      <c r="BL185" s="706"/>
      <c r="BM185" s="707"/>
    </row>
    <row r="186" spans="2:66" hidden="1" outlineLevel="1">
      <c r="B186" s="153" t="s">
        <v>285</v>
      </c>
      <c r="C186" s="8"/>
      <c r="D186" s="143"/>
      <c r="E186" s="143"/>
      <c r="F186" s="157"/>
      <c r="G186" s="157"/>
      <c r="H186" s="157"/>
      <c r="I186" s="157"/>
      <c r="J186" s="143"/>
      <c r="K186" s="157"/>
      <c r="L186" s="157"/>
      <c r="M186" s="157"/>
      <c r="N186" s="157"/>
      <c r="O186" s="143"/>
      <c r="P186" s="157"/>
      <c r="Q186" s="157"/>
      <c r="R186" s="157"/>
      <c r="S186" s="157"/>
      <c r="T186" s="143"/>
      <c r="U186" s="157"/>
      <c r="V186" s="157"/>
      <c r="W186" s="157"/>
      <c r="X186" s="157"/>
      <c r="Y186" s="143"/>
      <c r="Z186" s="157"/>
      <c r="AA186" s="157"/>
      <c r="AB186" s="157"/>
      <c r="AC186" s="157"/>
      <c r="AD186" s="157"/>
      <c r="AE186" s="157"/>
      <c r="AF186" s="157"/>
      <c r="AG186" s="157"/>
      <c r="AH186" s="157"/>
      <c r="AI186" s="157"/>
      <c r="AJ186" s="157"/>
      <c r="AK186" s="157"/>
      <c r="AL186" s="157"/>
      <c r="AM186" s="157"/>
      <c r="AN186" s="706"/>
      <c r="AO186" s="706"/>
      <c r="AP186" s="706"/>
      <c r="AQ186" s="706"/>
      <c r="AR186" s="706"/>
      <c r="AS186" s="706"/>
      <c r="AT186" s="706"/>
      <c r="AU186" s="706"/>
      <c r="AV186" s="706"/>
      <c r="AW186" s="706"/>
      <c r="AX186" s="706"/>
      <c r="AY186" s="706"/>
      <c r="AZ186" s="706"/>
      <c r="BA186" s="706"/>
      <c r="BB186" s="706"/>
      <c r="BC186" s="706"/>
      <c r="BD186" s="706"/>
      <c r="BE186" s="706"/>
      <c r="BF186" s="706"/>
      <c r="BG186" s="706"/>
      <c r="BH186" s="706"/>
      <c r="BI186" s="706"/>
      <c r="BJ186" s="706"/>
      <c r="BK186" s="706"/>
      <c r="BL186" s="706"/>
      <c r="BM186" s="707"/>
    </row>
    <row r="187" spans="2:66" hidden="1" outlineLevel="1">
      <c r="B187" s="153" t="s">
        <v>285</v>
      </c>
      <c r="C187" s="8"/>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43"/>
      <c r="AL187" s="143"/>
      <c r="AM187" s="143"/>
      <c r="AN187" s="714"/>
      <c r="AO187" s="714"/>
      <c r="AP187" s="714"/>
      <c r="AQ187" s="714"/>
      <c r="AR187" s="714"/>
      <c r="AS187" s="714"/>
      <c r="AT187" s="714"/>
      <c r="AU187" s="714"/>
      <c r="AV187" s="714"/>
      <c r="AW187" s="714"/>
      <c r="AX187" s="714"/>
      <c r="AY187" s="714"/>
      <c r="AZ187" s="714"/>
      <c r="BA187" s="714"/>
      <c r="BB187" s="714"/>
      <c r="BC187" s="714"/>
      <c r="BD187" s="714"/>
      <c r="BE187" s="714"/>
      <c r="BF187" s="714"/>
      <c r="BG187" s="714"/>
      <c r="BH187" s="714"/>
      <c r="BI187" s="714"/>
      <c r="BJ187" s="714"/>
      <c r="BK187" s="714"/>
      <c r="BL187" s="714"/>
      <c r="BM187" s="715"/>
    </row>
    <row r="188" spans="2:66" hidden="1" outlineLevel="1">
      <c r="B188" s="153" t="s">
        <v>285</v>
      </c>
      <c r="C188" s="8"/>
      <c r="D188" s="143"/>
      <c r="E188" s="143"/>
      <c r="F188" s="143"/>
      <c r="G188" s="143"/>
      <c r="H188" s="143"/>
      <c r="I188" s="143"/>
      <c r="J188" s="143"/>
      <c r="K188" s="143"/>
      <c r="L188" s="143"/>
      <c r="M188" s="143"/>
      <c r="N188" s="143"/>
      <c r="O188" s="143"/>
      <c r="P188" s="143"/>
      <c r="Q188" s="143"/>
      <c r="R188" s="143"/>
      <c r="S188" s="143"/>
      <c r="T188" s="143">
        <f>$T$178/$T$180</f>
        <v>20</v>
      </c>
      <c r="U188" s="143"/>
      <c r="V188" s="143"/>
      <c r="W188" s="143"/>
      <c r="X188" s="143"/>
      <c r="Y188" s="143"/>
      <c r="Z188" s="143"/>
      <c r="AA188" s="143"/>
      <c r="AB188" s="143"/>
      <c r="AC188" s="143"/>
      <c r="AD188" s="143"/>
      <c r="AE188" s="143"/>
      <c r="AF188" s="143"/>
      <c r="AG188" s="143"/>
      <c r="AH188" s="143"/>
      <c r="AI188" s="143"/>
      <c r="AJ188" s="143"/>
      <c r="AK188" s="143"/>
      <c r="AL188" s="143"/>
      <c r="AM188" s="143"/>
      <c r="AN188" s="714"/>
      <c r="AO188" s="714"/>
      <c r="AP188" s="714"/>
      <c r="AQ188" s="714"/>
      <c r="AR188" s="714"/>
      <c r="AS188" s="714"/>
      <c r="AT188" s="714"/>
      <c r="AU188" s="714"/>
      <c r="AV188" s="714"/>
      <c r="AW188" s="714"/>
      <c r="AX188" s="714"/>
      <c r="AY188" s="714"/>
      <c r="AZ188" s="714"/>
      <c r="BA188" s="714"/>
      <c r="BB188" s="714"/>
      <c r="BC188" s="714"/>
      <c r="BD188" s="714"/>
      <c r="BE188" s="714"/>
      <c r="BF188" s="714"/>
      <c r="BG188" s="714"/>
      <c r="BH188" s="714"/>
      <c r="BI188" s="714"/>
      <c r="BJ188" s="714"/>
      <c r="BK188" s="714"/>
      <c r="BL188" s="714"/>
      <c r="BM188" s="715"/>
    </row>
    <row r="189" spans="2:66" hidden="1" outlineLevel="1">
      <c r="B189" s="153" t="s">
        <v>285</v>
      </c>
      <c r="C189" s="8"/>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f>Y178</f>
        <v>85</v>
      </c>
      <c r="Z189" s="143"/>
      <c r="AA189" s="143"/>
      <c r="AB189" s="143"/>
      <c r="AC189" s="143"/>
      <c r="AD189" s="143"/>
      <c r="AE189" s="143"/>
      <c r="AF189" s="143"/>
      <c r="AG189" s="143"/>
      <c r="AH189" s="143"/>
      <c r="AI189" s="143"/>
      <c r="AJ189" s="143"/>
      <c r="AK189" s="143"/>
      <c r="AL189" s="143"/>
      <c r="AM189" s="143"/>
      <c r="AN189" s="714"/>
      <c r="AO189" s="714"/>
      <c r="AP189" s="714"/>
      <c r="AQ189" s="714"/>
      <c r="AR189" s="714"/>
      <c r="AS189" s="714"/>
      <c r="AT189" s="714"/>
      <c r="AU189" s="714"/>
      <c r="AV189" s="714"/>
      <c r="AW189" s="714"/>
      <c r="AX189" s="714"/>
      <c r="AY189" s="714"/>
      <c r="AZ189" s="714"/>
      <c r="BA189" s="714"/>
      <c r="BB189" s="714"/>
      <c r="BC189" s="714"/>
      <c r="BD189" s="714"/>
      <c r="BE189" s="714"/>
      <c r="BF189" s="714"/>
      <c r="BG189" s="714"/>
      <c r="BH189" s="714"/>
      <c r="BI189" s="714"/>
      <c r="BJ189" s="714"/>
      <c r="BK189" s="714"/>
      <c r="BL189" s="714"/>
      <c r="BM189" s="715"/>
    </row>
    <row r="190" spans="2:66" hidden="1" outlineLevel="1">
      <c r="B190" s="153"/>
      <c r="C190" s="8"/>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43"/>
      <c r="AL190" s="143"/>
      <c r="AM190" s="143"/>
      <c r="AN190" s="714"/>
      <c r="AO190" s="714"/>
      <c r="AP190" s="714"/>
      <c r="AQ190" s="714"/>
      <c r="AR190" s="714"/>
      <c r="AS190" s="714"/>
      <c r="AT190" s="714"/>
      <c r="AU190" s="714"/>
      <c r="AV190" s="714"/>
      <c r="AW190" s="714"/>
      <c r="AX190" s="714"/>
      <c r="AY190" s="714"/>
      <c r="AZ190" s="714"/>
      <c r="BA190" s="714"/>
      <c r="BB190" s="714"/>
      <c r="BC190" s="714"/>
      <c r="BD190" s="714"/>
      <c r="BE190" s="714"/>
      <c r="BF190" s="714"/>
      <c r="BG190" s="714"/>
      <c r="BH190" s="714"/>
      <c r="BI190" s="714"/>
      <c r="BJ190" s="714"/>
      <c r="BK190" s="714"/>
      <c r="BL190" s="714"/>
      <c r="BM190" s="715"/>
    </row>
    <row r="191" spans="2:66" hidden="1" outlineLevel="1">
      <c r="B191" s="153" t="s">
        <v>286</v>
      </c>
      <c r="C191" s="8"/>
      <c r="D191" s="143">
        <v>15.8</v>
      </c>
      <c r="E191" s="143">
        <v>17.846</v>
      </c>
      <c r="F191" s="143"/>
      <c r="G191" s="143"/>
      <c r="H191" s="143"/>
      <c r="I191" s="143"/>
      <c r="J191" s="143">
        <f>O183+O184+O185</f>
        <v>23.3</v>
      </c>
      <c r="K191" s="143"/>
      <c r="L191" s="143"/>
      <c r="M191" s="143"/>
      <c r="N191" s="143"/>
      <c r="O191" s="143">
        <f>T183+T184+T185+T186+T187</f>
        <v>23.3</v>
      </c>
      <c r="P191" s="143"/>
      <c r="Q191" s="143"/>
      <c r="R191" s="143"/>
      <c r="S191" s="143"/>
      <c r="T191" s="143">
        <f>SUM(Y183:Y188)</f>
        <v>9</v>
      </c>
      <c r="U191" s="143"/>
      <c r="V191" s="143"/>
      <c r="W191" s="143"/>
      <c r="X191" s="143"/>
      <c r="Y191" s="143">
        <f>SUM(AD187:AD188)</f>
        <v>0</v>
      </c>
      <c r="Z191" s="143"/>
      <c r="AA191" s="143"/>
      <c r="AB191" s="143"/>
      <c r="AC191" s="143"/>
      <c r="AD191" s="143">
        <f>SUM(AI187:AI188)</f>
        <v>0</v>
      </c>
      <c r="AE191" s="143"/>
      <c r="AF191" s="143"/>
      <c r="AG191" s="143"/>
      <c r="AH191" s="143"/>
      <c r="AI191" s="143">
        <f>SUM(AN187:AN188)</f>
        <v>0</v>
      </c>
      <c r="AJ191" s="143"/>
      <c r="AK191" s="143"/>
      <c r="AL191" s="143"/>
      <c r="AM191" s="143"/>
      <c r="AN191" s="714">
        <f>SUM(AS187:AS188)</f>
        <v>0</v>
      </c>
      <c r="AO191" s="714"/>
      <c r="AP191" s="714"/>
      <c r="AQ191" s="714"/>
      <c r="AR191" s="714"/>
      <c r="AS191" s="714">
        <f>AN191</f>
        <v>0</v>
      </c>
      <c r="AT191" s="714"/>
      <c r="AU191" s="714"/>
      <c r="AV191" s="714"/>
      <c r="AW191" s="714"/>
      <c r="AX191" s="714">
        <f>AS191</f>
        <v>0</v>
      </c>
      <c r="AY191" s="714"/>
      <c r="AZ191" s="714"/>
      <c r="BA191" s="714"/>
      <c r="BB191" s="714"/>
      <c r="BC191" s="714">
        <f>AX191</f>
        <v>0</v>
      </c>
      <c r="BD191" s="714"/>
      <c r="BE191" s="714"/>
      <c r="BF191" s="714"/>
      <c r="BG191" s="714"/>
      <c r="BH191" s="714">
        <f>BC191</f>
        <v>0</v>
      </c>
      <c r="BI191" s="714"/>
      <c r="BJ191" s="714"/>
      <c r="BK191" s="714"/>
      <c r="BL191" s="714"/>
      <c r="BM191" s="715">
        <f>BH191</f>
        <v>0</v>
      </c>
    </row>
    <row r="192" spans="2:66" hidden="1" outlineLevel="1">
      <c r="B192" s="411" t="s">
        <v>287</v>
      </c>
      <c r="C192" s="120"/>
      <c r="D192" s="163">
        <v>58.591999999999999</v>
      </c>
      <c r="E192" s="163">
        <v>48.207999999999998</v>
      </c>
      <c r="F192" s="163"/>
      <c r="G192" s="163"/>
      <c r="H192" s="163"/>
      <c r="I192" s="163"/>
      <c r="J192" s="163">
        <f>E193+J178+J179-SUM(J183:J191)</f>
        <v>39.454000000000001</v>
      </c>
      <c r="K192" s="163"/>
      <c r="L192" s="163"/>
      <c r="M192" s="163"/>
      <c r="N192" s="163"/>
      <c r="O192" s="163">
        <f>J193+O178+O179-SUM(O183:O191)</f>
        <v>16.154000000000003</v>
      </c>
      <c r="P192" s="163"/>
      <c r="Q192" s="163"/>
      <c r="R192" s="163"/>
      <c r="S192" s="163"/>
      <c r="T192" s="163">
        <f>O193+T178+T179-SUM(T183:T191)</f>
        <v>7.1540000000000106</v>
      </c>
      <c r="U192" s="163"/>
      <c r="V192" s="163"/>
      <c r="W192" s="163"/>
      <c r="X192" s="163"/>
      <c r="Y192" s="163">
        <f>T193+Y178+Y179-SUM(Y183:Y191)</f>
        <v>7.1540000000000106</v>
      </c>
      <c r="Z192" s="163"/>
      <c r="AA192" s="163"/>
      <c r="AB192" s="163"/>
      <c r="AC192" s="163"/>
      <c r="AD192" s="521">
        <v>0</v>
      </c>
      <c r="AE192" s="163"/>
      <c r="AF192" s="163"/>
      <c r="AG192" s="163"/>
      <c r="AH192" s="163"/>
      <c r="AI192" s="521">
        <v>0</v>
      </c>
      <c r="AJ192" s="163"/>
      <c r="AK192" s="163"/>
      <c r="AL192" s="163"/>
      <c r="AM192" s="163"/>
      <c r="AN192" s="712">
        <f>AI193+AN178+AN179-SUM(AN183:AN191)</f>
        <v>0</v>
      </c>
      <c r="AO192" s="712"/>
      <c r="AP192" s="712"/>
      <c r="AQ192" s="712"/>
      <c r="AR192" s="712"/>
      <c r="AS192" s="712">
        <f>AN193+AS178+AS179-SUM(AS183:AS191)</f>
        <v>0</v>
      </c>
      <c r="AT192" s="712"/>
      <c r="AU192" s="712"/>
      <c r="AV192" s="712"/>
      <c r="AW192" s="712"/>
      <c r="AX192" s="712">
        <f>AS193+AX178+AX179-SUM(AX183:AX191)</f>
        <v>0</v>
      </c>
      <c r="AY192" s="712"/>
      <c r="AZ192" s="712"/>
      <c r="BA192" s="712"/>
      <c r="BB192" s="712"/>
      <c r="BC192" s="712">
        <f>AX193+BC178+BC179-SUM(BC183:BC191)</f>
        <v>0</v>
      </c>
      <c r="BD192" s="712"/>
      <c r="BE192" s="712"/>
      <c r="BF192" s="712"/>
      <c r="BG192" s="712"/>
      <c r="BH192" s="712">
        <f>BC193+BH178+BH179-SUM(BH183:BH191)</f>
        <v>0</v>
      </c>
      <c r="BI192" s="712"/>
      <c r="BJ192" s="712"/>
      <c r="BK192" s="712"/>
      <c r="BL192" s="712"/>
      <c r="BM192" s="713">
        <f>BH193+BM178+BM179-SUM(BM183:BM191)</f>
        <v>0</v>
      </c>
    </row>
    <row r="193" spans="2:66" hidden="1" outlineLevel="1">
      <c r="B193" s="153" t="s">
        <v>288</v>
      </c>
      <c r="C193" s="8"/>
      <c r="D193" s="143">
        <f>D191+D192</f>
        <v>74.391999999999996</v>
      </c>
      <c r="E193" s="143">
        <f>E191+E192</f>
        <v>66.054000000000002</v>
      </c>
      <c r="F193" s="143"/>
      <c r="G193" s="143"/>
      <c r="H193" s="143"/>
      <c r="I193" s="143"/>
      <c r="J193" s="143">
        <f>J191+J192</f>
        <v>62.754000000000005</v>
      </c>
      <c r="K193" s="143"/>
      <c r="L193" s="143"/>
      <c r="M193" s="143"/>
      <c r="N193" s="143"/>
      <c r="O193" s="143">
        <f>O191+O192</f>
        <v>39.454000000000008</v>
      </c>
      <c r="P193" s="143"/>
      <c r="Q193" s="143"/>
      <c r="R193" s="143"/>
      <c r="S193" s="143"/>
      <c r="T193" s="143">
        <f>T191+T192</f>
        <v>16.154000000000011</v>
      </c>
      <c r="U193" s="143"/>
      <c r="V193" s="143"/>
      <c r="W193" s="143"/>
      <c r="X193" s="143"/>
      <c r="Y193" s="143">
        <f>Y191+Y192</f>
        <v>7.1540000000000106</v>
      </c>
      <c r="Z193" s="143"/>
      <c r="AA193" s="143"/>
      <c r="AB193" s="143"/>
      <c r="AC193" s="143"/>
      <c r="AD193" s="143">
        <f>AD191+AD192</f>
        <v>0</v>
      </c>
      <c r="AE193" s="143"/>
      <c r="AF193" s="143"/>
      <c r="AG193" s="143"/>
      <c r="AH193" s="143"/>
      <c r="AI193" s="143">
        <f>AI191+AI192</f>
        <v>0</v>
      </c>
      <c r="AJ193" s="143"/>
      <c r="AK193" s="143"/>
      <c r="AL193" s="143"/>
      <c r="AM193" s="143"/>
      <c r="AN193" s="714">
        <f>AN191+AN192</f>
        <v>0</v>
      </c>
      <c r="AO193" s="714"/>
      <c r="AP193" s="714"/>
      <c r="AQ193" s="714"/>
      <c r="AR193" s="714"/>
      <c r="AS193" s="714">
        <f>AS191+AS192</f>
        <v>0</v>
      </c>
      <c r="AT193" s="714"/>
      <c r="AU193" s="714"/>
      <c r="AV193" s="714"/>
      <c r="AW193" s="714"/>
      <c r="AX193" s="714">
        <f>AX191+AX192</f>
        <v>0</v>
      </c>
      <c r="AY193" s="714"/>
      <c r="AZ193" s="714"/>
      <c r="BA193" s="714"/>
      <c r="BB193" s="714"/>
      <c r="BC193" s="714">
        <f>BC191+BC192</f>
        <v>0</v>
      </c>
      <c r="BD193" s="714"/>
      <c r="BE193" s="714"/>
      <c r="BF193" s="714"/>
      <c r="BG193" s="714"/>
      <c r="BH193" s="714">
        <f>BH191+BH192</f>
        <v>0</v>
      </c>
      <c r="BI193" s="714"/>
      <c r="BJ193" s="714"/>
      <c r="BK193" s="714"/>
      <c r="BL193" s="714"/>
      <c r="BM193" s="715">
        <f>BM191+BM192</f>
        <v>0</v>
      </c>
    </row>
    <row r="194" spans="2:66" hidden="1" outlineLevel="1">
      <c r="B194" s="154" t="s">
        <v>289</v>
      </c>
      <c r="C194" s="429"/>
      <c r="D194" s="206">
        <f>D183</f>
        <v>11.8</v>
      </c>
      <c r="E194" s="206">
        <f>SUM(E183:E188)</f>
        <v>18.3</v>
      </c>
      <c r="F194" s="206"/>
      <c r="G194" s="206"/>
      <c r="H194" s="206"/>
      <c r="I194" s="206"/>
      <c r="J194" s="206">
        <f>SUM(J183:J188)</f>
        <v>23.3</v>
      </c>
      <c r="K194" s="206"/>
      <c r="L194" s="206"/>
      <c r="M194" s="206"/>
      <c r="N194" s="206"/>
      <c r="O194" s="206">
        <f>SUM(O183:O188)</f>
        <v>23.3</v>
      </c>
      <c r="P194" s="206"/>
      <c r="Q194" s="206"/>
      <c r="R194" s="206"/>
      <c r="S194" s="206"/>
      <c r="T194" s="206">
        <f>SUM(T183:T188)</f>
        <v>43.3</v>
      </c>
      <c r="U194" s="206"/>
      <c r="V194" s="206"/>
      <c r="W194" s="206"/>
      <c r="X194" s="206"/>
      <c r="Y194" s="206">
        <f>SUM(Y183:Y189)</f>
        <v>94</v>
      </c>
      <c r="Z194" s="206"/>
      <c r="AA194" s="206"/>
      <c r="AB194" s="206"/>
      <c r="AC194" s="206"/>
      <c r="AD194" s="206">
        <f>SUM(AD183:AD189)</f>
        <v>0</v>
      </c>
      <c r="AE194" s="206"/>
      <c r="AF194" s="206"/>
      <c r="AG194" s="206"/>
      <c r="AH194" s="206"/>
      <c r="AI194" s="206">
        <f>SUM(AI183:AI189)</f>
        <v>0</v>
      </c>
      <c r="AJ194" s="206"/>
      <c r="AK194" s="206"/>
      <c r="AL194" s="206"/>
      <c r="AM194" s="206"/>
      <c r="AN194" s="716">
        <f>SUM(AN183:AN190)</f>
        <v>0</v>
      </c>
      <c r="AO194" s="716"/>
      <c r="AP194" s="716"/>
      <c r="AQ194" s="716"/>
      <c r="AR194" s="716"/>
      <c r="AS194" s="716">
        <f>SUM(AS183:AS190)+AS178</f>
        <v>0</v>
      </c>
      <c r="AT194" s="716"/>
      <c r="AU194" s="716"/>
      <c r="AV194" s="716"/>
      <c r="AW194" s="716"/>
      <c r="AX194" s="716">
        <f>SUM(AX183:AX190)+AX178</f>
        <v>0</v>
      </c>
      <c r="AY194" s="716"/>
      <c r="AZ194" s="716"/>
      <c r="BA194" s="716"/>
      <c r="BB194" s="716"/>
      <c r="BC194" s="716">
        <f>SUM(BC183:BC190)+BC178</f>
        <v>0</v>
      </c>
      <c r="BD194" s="716"/>
      <c r="BE194" s="716"/>
      <c r="BF194" s="716"/>
      <c r="BG194" s="716"/>
      <c r="BH194" s="716">
        <f>SUM(BH183:BH190)+BH178</f>
        <v>0</v>
      </c>
      <c r="BI194" s="716"/>
      <c r="BJ194" s="716"/>
      <c r="BK194" s="716"/>
      <c r="BL194" s="716"/>
      <c r="BM194" s="717">
        <f>SUM(BM183:BM190)+BM178</f>
        <v>0</v>
      </c>
    </row>
    <row r="195" spans="2:66" hidden="1" outlineLevel="1">
      <c r="B195" s="8"/>
      <c r="D195" s="442"/>
      <c r="E195" s="442"/>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655"/>
      <c r="AO195" s="655"/>
      <c r="AP195" s="655"/>
      <c r="AQ195" s="655"/>
      <c r="AR195" s="655"/>
      <c r="AS195" s="655"/>
      <c r="AT195" s="655"/>
      <c r="AU195" s="655"/>
      <c r="AV195" s="655"/>
      <c r="AW195" s="655"/>
      <c r="AX195" s="655"/>
      <c r="AY195" s="655"/>
      <c r="AZ195" s="655"/>
      <c r="BA195" s="655"/>
      <c r="BB195" s="655"/>
      <c r="BC195" s="655"/>
      <c r="BD195" s="655"/>
      <c r="BE195" s="655"/>
      <c r="BF195" s="655"/>
      <c r="BG195" s="655"/>
      <c r="BH195" s="655"/>
      <c r="BI195" s="655"/>
      <c r="BJ195" s="655"/>
      <c r="BK195" s="655"/>
      <c r="BL195" s="655"/>
      <c r="BM195" s="655"/>
    </row>
    <row r="196" spans="2:66" hidden="1" outlineLevel="2">
      <c r="B196" s="25" t="s">
        <v>290</v>
      </c>
      <c r="D196" s="73"/>
      <c r="E196" s="73"/>
      <c r="F196" s="73"/>
      <c r="G196" s="73"/>
      <c r="H196" s="73"/>
      <c r="I196" s="73"/>
      <c r="J196" s="73"/>
      <c r="K196" s="73"/>
      <c r="L196" s="73"/>
      <c r="M196" s="73"/>
      <c r="N196" s="73"/>
      <c r="O196" s="443"/>
      <c r="P196" s="73"/>
      <c r="Q196" s="73"/>
      <c r="R196" s="73"/>
      <c r="S196" s="73"/>
      <c r="T196" s="162"/>
      <c r="U196" s="73"/>
      <c r="V196" s="73"/>
      <c r="W196" s="73"/>
      <c r="X196" s="73"/>
      <c r="Y196" s="73"/>
      <c r="Z196" s="73"/>
      <c r="AA196" s="73"/>
      <c r="AB196" s="73"/>
      <c r="AC196" s="73"/>
      <c r="AD196" s="73"/>
      <c r="AE196" s="73"/>
      <c r="AF196" s="73"/>
      <c r="AG196" s="73"/>
      <c r="AH196" s="73"/>
      <c r="AI196" s="73"/>
      <c r="AJ196" s="73"/>
      <c r="AK196" s="73"/>
      <c r="AL196" s="73"/>
      <c r="AM196" s="73"/>
      <c r="AN196" s="655"/>
      <c r="AO196" s="655"/>
      <c r="AP196" s="655"/>
      <c r="AQ196" s="655"/>
      <c r="AR196" s="655"/>
      <c r="AS196" s="655"/>
      <c r="AT196" s="655"/>
      <c r="AU196" s="655"/>
      <c r="AV196" s="655"/>
      <c r="AW196" s="655"/>
      <c r="AX196" s="655"/>
      <c r="AY196" s="655"/>
      <c r="AZ196" s="655"/>
      <c r="BA196" s="655"/>
      <c r="BB196" s="655"/>
      <c r="BC196" s="655"/>
      <c r="BD196" s="655"/>
      <c r="BE196" s="655"/>
      <c r="BF196" s="655"/>
      <c r="BG196" s="655"/>
      <c r="BH196" s="655"/>
      <c r="BI196" s="655"/>
      <c r="BJ196" s="655"/>
      <c r="BK196" s="655"/>
      <c r="BL196" s="655"/>
      <c r="BM196" s="655"/>
    </row>
    <row r="197" spans="2:66" hidden="1" outlineLevel="2">
      <c r="B197" s="155" t="s">
        <v>281</v>
      </c>
      <c r="C197" s="232"/>
      <c r="D197" s="156"/>
      <c r="E197" s="156"/>
      <c r="F197" s="156"/>
      <c r="G197" s="156"/>
      <c r="H197" s="156"/>
      <c r="I197" s="156"/>
      <c r="J197" s="156" t="s">
        <v>294</v>
      </c>
      <c r="K197" s="156"/>
      <c r="L197" s="156"/>
      <c r="M197" s="156"/>
      <c r="N197" s="156"/>
      <c r="O197" s="156" t="s">
        <v>317</v>
      </c>
      <c r="P197" s="156"/>
      <c r="Q197" s="156"/>
      <c r="R197" s="156"/>
      <c r="S197" s="156"/>
      <c r="T197" s="156" t="s">
        <v>296</v>
      </c>
      <c r="U197" s="156"/>
      <c r="V197" s="156"/>
      <c r="W197" s="156"/>
      <c r="X197" s="156"/>
      <c r="Y197" s="156"/>
      <c r="Z197" s="156"/>
      <c r="AA197" s="156"/>
      <c r="AB197" s="156"/>
      <c r="AC197" s="156"/>
      <c r="AD197" s="156" t="s">
        <v>297</v>
      </c>
      <c r="AE197" s="156"/>
      <c r="AF197" s="156"/>
      <c r="AG197" s="156"/>
      <c r="AH197" s="156"/>
      <c r="AI197" s="156"/>
      <c r="AJ197" s="156"/>
      <c r="AK197" s="156"/>
      <c r="AL197" s="156"/>
      <c r="AM197" s="156"/>
      <c r="AN197" s="696"/>
      <c r="AO197" s="696"/>
      <c r="AP197" s="696"/>
      <c r="AQ197" s="696"/>
      <c r="AR197" s="696"/>
      <c r="AS197" s="696"/>
      <c r="AT197" s="696"/>
      <c r="AU197" s="696"/>
      <c r="AV197" s="696"/>
      <c r="AW197" s="696"/>
      <c r="AX197" s="696"/>
      <c r="AY197" s="696"/>
      <c r="AZ197" s="696"/>
      <c r="BA197" s="696"/>
      <c r="BB197" s="696"/>
      <c r="BC197" s="696"/>
      <c r="BD197" s="696"/>
      <c r="BE197" s="696"/>
      <c r="BF197" s="696"/>
      <c r="BG197" s="696"/>
      <c r="BH197" s="696"/>
      <c r="BI197" s="696"/>
      <c r="BJ197" s="696"/>
      <c r="BK197" s="696"/>
      <c r="BL197" s="696"/>
      <c r="BM197" s="697"/>
    </row>
    <row r="198" spans="2:66" hidden="1" outlineLevel="2">
      <c r="B198" s="153"/>
      <c r="C198" s="8"/>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706"/>
      <c r="AO198" s="706"/>
      <c r="AP198" s="706"/>
      <c r="AQ198" s="706"/>
      <c r="AR198" s="706"/>
      <c r="AS198" s="706"/>
      <c r="AT198" s="706"/>
      <c r="AU198" s="706"/>
      <c r="AV198" s="706"/>
      <c r="AW198" s="706"/>
      <c r="AX198" s="706"/>
      <c r="AY198" s="706"/>
      <c r="AZ198" s="706"/>
      <c r="BA198" s="706"/>
      <c r="BB198" s="706"/>
      <c r="BC198" s="706"/>
      <c r="BD198" s="706"/>
      <c r="BE198" s="706"/>
      <c r="BF198" s="706"/>
      <c r="BG198" s="706"/>
      <c r="BH198" s="706"/>
      <c r="BI198" s="706"/>
      <c r="BJ198" s="706"/>
      <c r="BK198" s="706"/>
      <c r="BL198" s="706"/>
      <c r="BM198" s="707"/>
    </row>
    <row r="199" spans="2:66" hidden="1" outlineLevel="2">
      <c r="B199" s="411"/>
      <c r="C199" s="120"/>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162"/>
      <c r="AK199" s="162"/>
      <c r="AL199" s="162"/>
      <c r="AM199" s="162"/>
      <c r="AN199" s="708"/>
      <c r="AO199" s="708"/>
      <c r="AP199" s="708"/>
      <c r="AQ199" s="708"/>
      <c r="AR199" s="708"/>
      <c r="AS199" s="708"/>
      <c r="AT199" s="708"/>
      <c r="AU199" s="708"/>
      <c r="AV199" s="708"/>
      <c r="AW199" s="708"/>
      <c r="AX199" s="708"/>
      <c r="AY199" s="708"/>
      <c r="AZ199" s="708"/>
      <c r="BA199" s="708"/>
      <c r="BB199" s="708"/>
      <c r="BC199" s="708"/>
      <c r="BD199" s="708"/>
      <c r="BE199" s="708"/>
      <c r="BF199" s="708"/>
      <c r="BG199" s="708"/>
      <c r="BH199" s="708"/>
      <c r="BI199" s="708"/>
      <c r="BJ199" s="708"/>
      <c r="BK199" s="708"/>
      <c r="BL199" s="708"/>
      <c r="BM199" s="709"/>
      <c r="BN199" s="73" t="s">
        <v>301</v>
      </c>
    </row>
    <row r="200" spans="2:66" hidden="1" outlineLevel="2">
      <c r="B200" s="155" t="s">
        <v>282</v>
      </c>
      <c r="C200" s="232"/>
      <c r="D200" s="156"/>
      <c r="E200" s="156"/>
      <c r="F200" s="156"/>
      <c r="G200" s="156"/>
      <c r="H200" s="156"/>
      <c r="I200" s="156"/>
      <c r="J200" s="89">
        <v>45</v>
      </c>
      <c r="K200" s="156"/>
      <c r="L200" s="156"/>
      <c r="M200" s="156"/>
      <c r="N200" s="156"/>
      <c r="O200" s="89">
        <v>15</v>
      </c>
      <c r="P200" s="156"/>
      <c r="Q200" s="156"/>
      <c r="R200" s="156"/>
      <c r="S200" s="156"/>
      <c r="T200" s="89"/>
      <c r="U200" s="156"/>
      <c r="V200" s="156"/>
      <c r="W200" s="156"/>
      <c r="X200" s="156"/>
      <c r="Y200" s="89"/>
      <c r="Z200" s="156"/>
      <c r="AA200" s="156"/>
      <c r="AB200" s="156"/>
      <c r="AC200" s="156"/>
      <c r="AD200" s="522">
        <v>17</v>
      </c>
      <c r="AE200" s="156"/>
      <c r="AF200" s="156"/>
      <c r="AG200" s="156"/>
      <c r="AH200" s="156"/>
      <c r="AI200" s="156"/>
      <c r="AJ200" s="156"/>
      <c r="AK200" s="156"/>
      <c r="AL200" s="156"/>
      <c r="AM200" s="156"/>
      <c r="AN200" s="696"/>
      <c r="AO200" s="696"/>
      <c r="AP200" s="696"/>
      <c r="AQ200" s="696"/>
      <c r="AR200" s="696"/>
      <c r="AS200" s="696"/>
      <c r="AT200" s="696"/>
      <c r="AU200" s="696"/>
      <c r="AV200" s="696"/>
      <c r="AW200" s="696"/>
      <c r="AX200" s="696"/>
      <c r="AY200" s="696"/>
      <c r="AZ200" s="696"/>
      <c r="BA200" s="696"/>
      <c r="BB200" s="696"/>
      <c r="BC200" s="696"/>
      <c r="BD200" s="696"/>
      <c r="BE200" s="696"/>
      <c r="BF200" s="696"/>
      <c r="BG200" s="696"/>
      <c r="BH200" s="696"/>
      <c r="BI200" s="696"/>
      <c r="BJ200" s="696"/>
      <c r="BK200" s="696"/>
      <c r="BL200" s="696"/>
      <c r="BM200" s="697"/>
      <c r="BN200" s="442">
        <f>SUM(IS!J200:AS200)</f>
        <v>77</v>
      </c>
    </row>
    <row r="201" spans="2:66" hidden="1" outlineLevel="2">
      <c r="B201" s="153" t="s">
        <v>283</v>
      </c>
      <c r="C201" s="8"/>
      <c r="D201" s="157"/>
      <c r="E201" s="157"/>
      <c r="F201" s="157"/>
      <c r="G201" s="157"/>
      <c r="H201" s="157"/>
      <c r="I201" s="157"/>
      <c r="J201" s="157">
        <v>4.2</v>
      </c>
      <c r="K201" s="157"/>
      <c r="L201" s="157"/>
      <c r="M201" s="157"/>
      <c r="N201" s="157"/>
      <c r="O201" s="157">
        <v>3.25</v>
      </c>
      <c r="P201" s="157"/>
      <c r="Q201" s="157"/>
      <c r="R201" s="157"/>
      <c r="S201" s="157"/>
      <c r="T201" s="157"/>
      <c r="U201" s="157"/>
      <c r="V201" s="157"/>
      <c r="W201" s="157"/>
      <c r="X201" s="157"/>
      <c r="Y201" s="157"/>
      <c r="Z201" s="157"/>
      <c r="AA201" s="157"/>
      <c r="AB201" s="157"/>
      <c r="AC201" s="157"/>
      <c r="AD201" s="519">
        <v>2</v>
      </c>
      <c r="AE201" s="157"/>
      <c r="AF201" s="157"/>
      <c r="AG201" s="157"/>
      <c r="AH201" s="157"/>
      <c r="AI201" s="157"/>
      <c r="AJ201" s="157"/>
      <c r="AK201" s="157"/>
      <c r="AL201" s="157"/>
      <c r="AM201" s="157"/>
      <c r="AN201" s="706"/>
      <c r="AO201" s="706"/>
      <c r="AP201" s="706"/>
      <c r="AQ201" s="706"/>
      <c r="AR201" s="706"/>
      <c r="AS201" s="706"/>
      <c r="AT201" s="706"/>
      <c r="AU201" s="706"/>
      <c r="AV201" s="706"/>
      <c r="AW201" s="706"/>
      <c r="AX201" s="706"/>
      <c r="AY201" s="706"/>
      <c r="AZ201" s="706"/>
      <c r="BA201" s="706"/>
      <c r="BB201" s="706"/>
      <c r="BC201" s="706"/>
      <c r="BD201" s="706"/>
      <c r="BE201" s="706"/>
      <c r="BF201" s="706"/>
      <c r="BG201" s="706"/>
      <c r="BH201" s="706"/>
      <c r="BI201" s="706"/>
      <c r="BJ201" s="706"/>
      <c r="BK201" s="706"/>
      <c r="BL201" s="706"/>
      <c r="BM201" s="707"/>
    </row>
    <row r="202" spans="2:66" hidden="1" outlineLevel="2">
      <c r="B202" s="411" t="s">
        <v>284</v>
      </c>
      <c r="C202" s="120"/>
      <c r="D202" s="162"/>
      <c r="E202" s="162"/>
      <c r="F202" s="162"/>
      <c r="G202" s="162"/>
      <c r="H202" s="162"/>
      <c r="I202" s="162"/>
      <c r="J202" s="163">
        <f>J200</f>
        <v>45</v>
      </c>
      <c r="K202" s="162"/>
      <c r="L202" s="162"/>
      <c r="M202" s="162"/>
      <c r="N202" s="162"/>
      <c r="O202" s="163">
        <f>O200</f>
        <v>15</v>
      </c>
      <c r="P202" s="162"/>
      <c r="Q202" s="162"/>
      <c r="R202" s="162"/>
      <c r="S202" s="162"/>
      <c r="T202" s="163">
        <f>T200</f>
        <v>0</v>
      </c>
      <c r="U202" s="162"/>
      <c r="V202" s="162"/>
      <c r="W202" s="162"/>
      <c r="X202" s="162"/>
      <c r="Y202" s="163"/>
      <c r="Z202" s="162"/>
      <c r="AA202" s="162"/>
      <c r="AB202" s="162"/>
      <c r="AC202" s="162"/>
      <c r="AD202" s="163">
        <f>AD200</f>
        <v>17</v>
      </c>
      <c r="AE202" s="162"/>
      <c r="AF202" s="162"/>
      <c r="AG202" s="162"/>
      <c r="AH202" s="162"/>
      <c r="AI202" s="162"/>
      <c r="AJ202" s="162"/>
      <c r="AK202" s="162"/>
      <c r="AL202" s="162"/>
      <c r="AM202" s="162"/>
      <c r="AN202" s="708"/>
      <c r="AO202" s="708"/>
      <c r="AP202" s="708"/>
      <c r="AQ202" s="708"/>
      <c r="AR202" s="708"/>
      <c r="AS202" s="708"/>
      <c r="AT202" s="708"/>
      <c r="AU202" s="708"/>
      <c r="AV202" s="708"/>
      <c r="AW202" s="708"/>
      <c r="AX202" s="708"/>
      <c r="AY202" s="708"/>
      <c r="AZ202" s="708"/>
      <c r="BA202" s="708"/>
      <c r="BB202" s="708"/>
      <c r="BC202" s="708"/>
      <c r="BD202" s="708"/>
      <c r="BE202" s="708"/>
      <c r="BF202" s="708"/>
      <c r="BG202" s="708"/>
      <c r="BH202" s="708"/>
      <c r="BI202" s="708"/>
      <c r="BJ202" s="708"/>
      <c r="BK202" s="708"/>
      <c r="BL202" s="708"/>
      <c r="BM202" s="709"/>
    </row>
    <row r="203" spans="2:66" hidden="1" outlineLevel="2">
      <c r="B203" s="153" t="s">
        <v>285</v>
      </c>
      <c r="C203" s="8"/>
      <c r="D203" s="157"/>
      <c r="E203" s="157"/>
      <c r="F203" s="143"/>
      <c r="G203" s="143"/>
      <c r="H203" s="143"/>
      <c r="I203" s="143"/>
      <c r="J203" s="143">
        <f>$J$200/$J$201</f>
        <v>10.714285714285714</v>
      </c>
      <c r="K203" s="143"/>
      <c r="L203" s="143"/>
      <c r="M203" s="143"/>
      <c r="N203" s="143"/>
      <c r="O203" s="143">
        <f>$J$200/$J$201</f>
        <v>10.714285714285714</v>
      </c>
      <c r="P203" s="143"/>
      <c r="Q203" s="143"/>
      <c r="R203" s="143"/>
      <c r="S203" s="143"/>
      <c r="T203" s="143">
        <f>$J$200/$J$201</f>
        <v>10.714285714285714</v>
      </c>
      <c r="U203" s="143"/>
      <c r="V203" s="143"/>
      <c r="W203" s="143"/>
      <c r="X203" s="143"/>
      <c r="Y203" s="143"/>
      <c r="Z203" s="143"/>
      <c r="AA203" s="143"/>
      <c r="AB203" s="143"/>
      <c r="AC203" s="143"/>
      <c r="AD203" s="143">
        <f>$J$200/$J$201/6</f>
        <v>1.7857142857142856</v>
      </c>
      <c r="AE203" s="143"/>
      <c r="AF203" s="143"/>
      <c r="AG203" s="143"/>
      <c r="AH203" s="143"/>
      <c r="AI203" s="143"/>
      <c r="AJ203" s="143"/>
      <c r="AK203" s="143"/>
      <c r="AL203" s="143"/>
      <c r="AM203" s="143"/>
      <c r="AN203" s="714"/>
      <c r="AO203" s="714"/>
      <c r="AP203" s="714"/>
      <c r="AQ203" s="714"/>
      <c r="AR203" s="714"/>
      <c r="AS203" s="714"/>
      <c r="AT203" s="714"/>
      <c r="AU203" s="714"/>
      <c r="AV203" s="714"/>
      <c r="AW203" s="714"/>
      <c r="AX203" s="714"/>
      <c r="AY203" s="714"/>
      <c r="AZ203" s="714"/>
      <c r="BA203" s="714"/>
      <c r="BB203" s="714"/>
      <c r="BC203" s="714"/>
      <c r="BD203" s="714"/>
      <c r="BE203" s="714"/>
      <c r="BF203" s="714"/>
      <c r="BG203" s="714"/>
      <c r="BH203" s="714"/>
      <c r="BI203" s="714"/>
      <c r="BJ203" s="714"/>
      <c r="BK203" s="714"/>
      <c r="BL203" s="714"/>
      <c r="BM203" s="715"/>
    </row>
    <row r="204" spans="2:66" hidden="1" outlineLevel="2">
      <c r="B204" s="153" t="s">
        <v>285</v>
      </c>
      <c r="C204" s="8"/>
      <c r="D204" s="157"/>
      <c r="E204" s="157"/>
      <c r="F204" s="143"/>
      <c r="G204" s="143"/>
      <c r="H204" s="143"/>
      <c r="I204" s="143"/>
      <c r="J204" s="143"/>
      <c r="K204" s="143"/>
      <c r="L204" s="143"/>
      <c r="M204" s="143"/>
      <c r="N204" s="143"/>
      <c r="O204" s="143">
        <f>$O$200/$O$201</f>
        <v>4.615384615384615</v>
      </c>
      <c r="P204" s="143"/>
      <c r="Q204" s="143"/>
      <c r="R204" s="143"/>
      <c r="S204" s="143"/>
      <c r="T204" s="143">
        <f>$O$200/$O$201</f>
        <v>4.615384615384615</v>
      </c>
      <c r="U204" s="143"/>
      <c r="V204" s="143"/>
      <c r="W204" s="143"/>
      <c r="X204" s="143"/>
      <c r="Y204" s="143"/>
      <c r="Z204" s="143"/>
      <c r="AA204" s="143"/>
      <c r="AB204" s="143"/>
      <c r="AC204" s="143"/>
      <c r="AD204" s="143">
        <f>$O$200/$O$201/4</f>
        <v>1.1538461538461537</v>
      </c>
      <c r="AE204" s="143"/>
      <c r="AF204" s="143"/>
      <c r="AG204" s="143"/>
      <c r="AH204" s="143"/>
      <c r="AI204" s="143"/>
      <c r="AJ204" s="143"/>
      <c r="AK204" s="143"/>
      <c r="AL204" s="143"/>
      <c r="AM204" s="143"/>
      <c r="AN204" s="714"/>
      <c r="AO204" s="714"/>
      <c r="AP204" s="714"/>
      <c r="AQ204" s="714"/>
      <c r="AR204" s="714"/>
      <c r="AS204" s="714"/>
      <c r="AT204" s="714"/>
      <c r="AU204" s="714"/>
      <c r="AV204" s="714"/>
      <c r="AW204" s="714"/>
      <c r="AX204" s="714"/>
      <c r="AY204" s="714"/>
      <c r="AZ204" s="714"/>
      <c r="BA204" s="714"/>
      <c r="BB204" s="714"/>
      <c r="BC204" s="714"/>
      <c r="BD204" s="714"/>
      <c r="BE204" s="714"/>
      <c r="BF204" s="714"/>
      <c r="BG204" s="714"/>
      <c r="BH204" s="714"/>
      <c r="BI204" s="714"/>
      <c r="BJ204" s="714"/>
      <c r="BK204" s="714"/>
      <c r="BL204" s="714"/>
      <c r="BM204" s="715"/>
    </row>
    <row r="205" spans="2:66" hidden="1" outlineLevel="2">
      <c r="B205" s="153" t="s">
        <v>285</v>
      </c>
      <c r="C205" s="8"/>
      <c r="D205" s="157"/>
      <c r="E205" s="157"/>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43"/>
      <c r="AL205" s="143"/>
      <c r="AM205" s="143"/>
      <c r="AN205" s="714"/>
      <c r="AO205" s="714"/>
      <c r="AP205" s="714"/>
      <c r="AQ205" s="714"/>
      <c r="AR205" s="714"/>
      <c r="AS205" s="714"/>
      <c r="AT205" s="714"/>
      <c r="AU205" s="714"/>
      <c r="AV205" s="714"/>
      <c r="AW205" s="714"/>
      <c r="AX205" s="714"/>
      <c r="AY205" s="714"/>
      <c r="AZ205" s="714"/>
      <c r="BA205" s="714"/>
      <c r="BB205" s="714"/>
      <c r="BC205" s="714"/>
      <c r="BD205" s="714"/>
      <c r="BE205" s="714"/>
      <c r="BF205" s="714"/>
      <c r="BG205" s="714"/>
      <c r="BH205" s="714"/>
      <c r="BI205" s="714"/>
      <c r="BJ205" s="714"/>
      <c r="BK205" s="714"/>
      <c r="BL205" s="714"/>
      <c r="BM205" s="715"/>
    </row>
    <row r="206" spans="2:66" hidden="1" outlineLevel="2">
      <c r="B206" s="153" t="s">
        <v>285</v>
      </c>
      <c r="C206" s="8"/>
      <c r="D206" s="157"/>
      <c r="E206" s="157"/>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f>$AD$200/$AD$201</f>
        <v>8.5</v>
      </c>
      <c r="AE206" s="143"/>
      <c r="AF206" s="143"/>
      <c r="AG206" s="143"/>
      <c r="AH206" s="143"/>
      <c r="AI206" s="143">
        <f>$AD$200/$AD$201</f>
        <v>8.5</v>
      </c>
      <c r="AJ206" s="143"/>
      <c r="AK206" s="143"/>
      <c r="AL206" s="143"/>
      <c r="AM206" s="143"/>
      <c r="AN206" s="714"/>
      <c r="AO206" s="714"/>
      <c r="AP206" s="714"/>
      <c r="AQ206" s="714"/>
      <c r="AR206" s="714"/>
      <c r="AS206" s="714"/>
      <c r="AT206" s="714"/>
      <c r="AU206" s="714"/>
      <c r="AV206" s="714"/>
      <c r="AW206" s="714"/>
      <c r="AX206" s="714"/>
      <c r="AY206" s="714"/>
      <c r="AZ206" s="714"/>
      <c r="BA206" s="714"/>
      <c r="BB206" s="714"/>
      <c r="BC206" s="714"/>
      <c r="BD206" s="714"/>
      <c r="BE206" s="714"/>
      <c r="BF206" s="714"/>
      <c r="BG206" s="714"/>
      <c r="BH206" s="714"/>
      <c r="BI206" s="714"/>
      <c r="BJ206" s="714"/>
      <c r="BK206" s="714"/>
      <c r="BL206" s="714"/>
      <c r="BM206" s="715"/>
    </row>
    <row r="207" spans="2:66" hidden="1" outlineLevel="2">
      <c r="B207" s="153" t="s">
        <v>285</v>
      </c>
      <c r="C207" s="8"/>
      <c r="D207" s="157"/>
      <c r="E207" s="157"/>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43"/>
      <c r="AL207" s="143"/>
      <c r="AM207" s="143"/>
      <c r="AN207" s="714"/>
      <c r="AO207" s="714"/>
      <c r="AP207" s="714"/>
      <c r="AQ207" s="714"/>
      <c r="AR207" s="714"/>
      <c r="AS207" s="714"/>
      <c r="AT207" s="714"/>
      <c r="AU207" s="714"/>
      <c r="AV207" s="714"/>
      <c r="AW207" s="714"/>
      <c r="AX207" s="714"/>
      <c r="AY207" s="714"/>
      <c r="AZ207" s="714"/>
      <c r="BA207" s="714"/>
      <c r="BB207" s="714"/>
      <c r="BC207" s="714"/>
      <c r="BD207" s="714"/>
      <c r="BE207" s="714"/>
      <c r="BF207" s="714"/>
      <c r="BG207" s="714"/>
      <c r="BH207" s="714"/>
      <c r="BI207" s="714"/>
      <c r="BJ207" s="714"/>
      <c r="BK207" s="714"/>
      <c r="BL207" s="714"/>
      <c r="BM207" s="715"/>
    </row>
    <row r="208" spans="2:66" hidden="1" outlineLevel="2">
      <c r="B208" s="153" t="s">
        <v>286</v>
      </c>
      <c r="C208" s="8"/>
      <c r="D208" s="157"/>
      <c r="E208" s="157"/>
      <c r="F208" s="143"/>
      <c r="G208" s="143"/>
      <c r="H208" s="143"/>
      <c r="I208" s="143"/>
      <c r="J208" s="143">
        <f>O203</f>
        <v>10.714285714285714</v>
      </c>
      <c r="K208" s="143"/>
      <c r="L208" s="143"/>
      <c r="M208" s="143"/>
      <c r="N208" s="143"/>
      <c r="O208" s="143">
        <f>T203+T204</f>
        <v>15.329670329670328</v>
      </c>
      <c r="P208" s="143"/>
      <c r="Q208" s="143"/>
      <c r="R208" s="143"/>
      <c r="S208" s="143"/>
      <c r="T208" s="143">
        <f>SUM(Y203:Y205)</f>
        <v>0</v>
      </c>
      <c r="U208" s="143"/>
      <c r="V208" s="143"/>
      <c r="W208" s="143"/>
      <c r="X208" s="143"/>
      <c r="Y208" s="143">
        <f>SUM(AD203:AD205)</f>
        <v>2.9395604395604393</v>
      </c>
      <c r="Z208" s="143"/>
      <c r="AA208" s="143"/>
      <c r="AB208" s="143"/>
      <c r="AC208" s="143"/>
      <c r="AD208" s="143">
        <f>SUM(AI205:AI206)</f>
        <v>8.5</v>
      </c>
      <c r="AE208" s="143"/>
      <c r="AF208" s="143"/>
      <c r="AG208" s="143"/>
      <c r="AH208" s="143"/>
      <c r="AI208" s="143">
        <f>SUM(AN205:AN206)</f>
        <v>0</v>
      </c>
      <c r="AJ208" s="143"/>
      <c r="AK208" s="143"/>
      <c r="AL208" s="143"/>
      <c r="AM208" s="143"/>
      <c r="AN208" s="714">
        <f>SUM(AS205:AS206)</f>
        <v>0</v>
      </c>
      <c r="AO208" s="714"/>
      <c r="AP208" s="714"/>
      <c r="AQ208" s="714"/>
      <c r="AR208" s="714"/>
      <c r="AS208" s="714">
        <f>AN208</f>
        <v>0</v>
      </c>
      <c r="AT208" s="714"/>
      <c r="AU208" s="714"/>
      <c r="AV208" s="714"/>
      <c r="AW208" s="714"/>
      <c r="AX208" s="714">
        <f>AS208</f>
        <v>0</v>
      </c>
      <c r="AY208" s="714"/>
      <c r="AZ208" s="714"/>
      <c r="BA208" s="714"/>
      <c r="BB208" s="714"/>
      <c r="BC208" s="714">
        <f>AX208</f>
        <v>0</v>
      </c>
      <c r="BD208" s="714"/>
      <c r="BE208" s="714"/>
      <c r="BF208" s="714"/>
      <c r="BG208" s="714"/>
      <c r="BH208" s="714">
        <f>BC208</f>
        <v>0</v>
      </c>
      <c r="BI208" s="714"/>
      <c r="BJ208" s="714"/>
      <c r="BK208" s="714"/>
      <c r="BL208" s="714"/>
      <c r="BM208" s="715">
        <f>BH208</f>
        <v>0</v>
      </c>
    </row>
    <row r="209" spans="2:66" hidden="1" outlineLevel="2">
      <c r="B209" s="411" t="s">
        <v>287</v>
      </c>
      <c r="C209" s="120"/>
      <c r="D209" s="162"/>
      <c r="E209" s="162"/>
      <c r="F209" s="163"/>
      <c r="G209" s="163"/>
      <c r="H209" s="163"/>
      <c r="I209" s="163"/>
      <c r="J209" s="163">
        <f>J202-J208-J203</f>
        <v>23.571428571428569</v>
      </c>
      <c r="K209" s="163"/>
      <c r="L209" s="163"/>
      <c r="M209" s="163"/>
      <c r="N209" s="163"/>
      <c r="O209" s="163">
        <f>J210+O202-SUM(O203:O208)</f>
        <v>18.626373626373628</v>
      </c>
      <c r="P209" s="163"/>
      <c r="Q209" s="163"/>
      <c r="R209" s="163"/>
      <c r="S209" s="163"/>
      <c r="T209" s="163">
        <f>O210+T202-SUM(T203:T208)</f>
        <v>18.626373626373628</v>
      </c>
      <c r="U209" s="163"/>
      <c r="V209" s="163"/>
      <c r="W209" s="163"/>
      <c r="X209" s="163"/>
      <c r="Y209" s="163">
        <f>T210+Y202-SUM(Y203:Y208)</f>
        <v>15.686813186813188</v>
      </c>
      <c r="Z209" s="163"/>
      <c r="AA209" s="163"/>
      <c r="AB209" s="163"/>
      <c r="AC209" s="163"/>
      <c r="AD209" s="163">
        <f>Y210+AD202-SUM(AD203:AD208)</f>
        <v>15.68681318681319</v>
      </c>
      <c r="AE209" s="163"/>
      <c r="AF209" s="163"/>
      <c r="AG209" s="163"/>
      <c r="AH209" s="163"/>
      <c r="AI209" s="163">
        <f>AD210+AI202-SUM(AI203:AI208)</f>
        <v>15.68681318681319</v>
      </c>
      <c r="AJ209" s="163"/>
      <c r="AK209" s="163"/>
      <c r="AL209" s="163"/>
      <c r="AM209" s="163"/>
      <c r="AN209" s="712">
        <f>AI210+AN202-SUM(AN203:AN208)</f>
        <v>15.68681318681319</v>
      </c>
      <c r="AO209" s="712"/>
      <c r="AP209" s="712"/>
      <c r="AQ209" s="712"/>
      <c r="AR209" s="712"/>
      <c r="AS209" s="712">
        <f>AN210+AS202-SUM(AS203:AS208)</f>
        <v>15.68681318681319</v>
      </c>
      <c r="AT209" s="712"/>
      <c r="AU209" s="712"/>
      <c r="AV209" s="712"/>
      <c r="AW209" s="712"/>
      <c r="AX209" s="712">
        <f>AS210+AX202-SUM(AX203:AX208)</f>
        <v>15.68681318681319</v>
      </c>
      <c r="AY209" s="712"/>
      <c r="AZ209" s="712"/>
      <c r="BA209" s="712"/>
      <c r="BB209" s="712"/>
      <c r="BC209" s="712">
        <f>AX210+BC202-SUM(BC203:BC208)</f>
        <v>15.68681318681319</v>
      </c>
      <c r="BD209" s="712"/>
      <c r="BE209" s="712"/>
      <c r="BF209" s="712"/>
      <c r="BG209" s="712"/>
      <c r="BH209" s="712">
        <f>BC210+BH202-SUM(BH203:BH208)</f>
        <v>15.68681318681319</v>
      </c>
      <c r="BI209" s="712"/>
      <c r="BJ209" s="712"/>
      <c r="BK209" s="712"/>
      <c r="BL209" s="712"/>
      <c r="BM209" s="713">
        <f>BH210+BM202-SUM(BM203:BM208)</f>
        <v>15.68681318681319</v>
      </c>
    </row>
    <row r="210" spans="2:66" hidden="1" outlineLevel="2">
      <c r="B210" s="155" t="s">
        <v>288</v>
      </c>
      <c r="C210" s="232"/>
      <c r="D210" s="156"/>
      <c r="E210" s="156"/>
      <c r="F210" s="89"/>
      <c r="G210" s="89"/>
      <c r="H210" s="89"/>
      <c r="I210" s="89"/>
      <c r="J210" s="89">
        <f>J208+J209</f>
        <v>34.285714285714285</v>
      </c>
      <c r="K210" s="89"/>
      <c r="L210" s="89"/>
      <c r="M210" s="89"/>
      <c r="N210" s="89"/>
      <c r="O210" s="89">
        <f>O208+O209</f>
        <v>33.956043956043956</v>
      </c>
      <c r="P210" s="89"/>
      <c r="Q210" s="89"/>
      <c r="R210" s="89"/>
      <c r="S210" s="89"/>
      <c r="T210" s="89">
        <f>T208+T209</f>
        <v>18.626373626373628</v>
      </c>
      <c r="U210" s="89"/>
      <c r="V210" s="89"/>
      <c r="W210" s="89"/>
      <c r="X210" s="89"/>
      <c r="Y210" s="89">
        <f>Y208+Y209</f>
        <v>18.626373626373628</v>
      </c>
      <c r="Z210" s="89"/>
      <c r="AA210" s="89"/>
      <c r="AB210" s="89"/>
      <c r="AC210" s="89"/>
      <c r="AD210" s="89">
        <f>AD208+AD209</f>
        <v>24.18681318681319</v>
      </c>
      <c r="AE210" s="89"/>
      <c r="AF210" s="89"/>
      <c r="AG210" s="89"/>
      <c r="AH210" s="89"/>
      <c r="AI210" s="89">
        <f>AI208+AI209</f>
        <v>15.68681318681319</v>
      </c>
      <c r="AJ210" s="89"/>
      <c r="AK210" s="89"/>
      <c r="AL210" s="89"/>
      <c r="AM210" s="89"/>
      <c r="AN210" s="710">
        <f>AN208+AN209</f>
        <v>15.68681318681319</v>
      </c>
      <c r="AO210" s="710"/>
      <c r="AP210" s="710"/>
      <c r="AQ210" s="710"/>
      <c r="AR210" s="710"/>
      <c r="AS210" s="710">
        <f>AS208+AS209</f>
        <v>15.68681318681319</v>
      </c>
      <c r="AT210" s="710"/>
      <c r="AU210" s="710"/>
      <c r="AV210" s="710"/>
      <c r="AW210" s="710"/>
      <c r="AX210" s="710">
        <f>AX208+AX209</f>
        <v>15.68681318681319</v>
      </c>
      <c r="AY210" s="710"/>
      <c r="AZ210" s="710"/>
      <c r="BA210" s="710"/>
      <c r="BB210" s="710"/>
      <c r="BC210" s="710">
        <f>BC208+BC209</f>
        <v>15.68681318681319</v>
      </c>
      <c r="BD210" s="710"/>
      <c r="BE210" s="710"/>
      <c r="BF210" s="710"/>
      <c r="BG210" s="710"/>
      <c r="BH210" s="710">
        <f>BH208+BH209</f>
        <v>15.68681318681319</v>
      </c>
      <c r="BI210" s="710"/>
      <c r="BJ210" s="710"/>
      <c r="BK210" s="710"/>
      <c r="BL210" s="710"/>
      <c r="BM210" s="711">
        <f>BM208+BM209</f>
        <v>15.68681318681319</v>
      </c>
    </row>
    <row r="211" spans="2:66" hidden="1" outlineLevel="2">
      <c r="B211" s="154" t="s">
        <v>289</v>
      </c>
      <c r="C211" s="429"/>
      <c r="D211" s="391"/>
      <c r="E211" s="391"/>
      <c r="F211" s="206"/>
      <c r="G211" s="206"/>
      <c r="H211" s="206"/>
      <c r="I211" s="206"/>
      <c r="J211" s="206">
        <f>SUM(J203:J206)</f>
        <v>10.714285714285714</v>
      </c>
      <c r="K211" s="206"/>
      <c r="L211" s="206"/>
      <c r="M211" s="206"/>
      <c r="N211" s="206"/>
      <c r="O211" s="206">
        <f>SUM(O203:O206)</f>
        <v>15.329670329670328</v>
      </c>
      <c r="P211" s="206"/>
      <c r="Q211" s="206"/>
      <c r="R211" s="206"/>
      <c r="S211" s="206"/>
      <c r="T211" s="206">
        <f>SUM(T203:T206)</f>
        <v>15.329670329670328</v>
      </c>
      <c r="U211" s="206"/>
      <c r="V211" s="206"/>
      <c r="W211" s="206"/>
      <c r="X211" s="206"/>
      <c r="Y211" s="206">
        <f>SUM(Y203:Y206)</f>
        <v>0</v>
      </c>
      <c r="Z211" s="206"/>
      <c r="AA211" s="206"/>
      <c r="AB211" s="206"/>
      <c r="AC211" s="206"/>
      <c r="AD211" s="206">
        <f>SUM(AD203:AD206)</f>
        <v>11.43956043956044</v>
      </c>
      <c r="AE211" s="206"/>
      <c r="AF211" s="206"/>
      <c r="AG211" s="206"/>
      <c r="AH211" s="206"/>
      <c r="AI211" s="206">
        <f>SUM(AI203:AI206)</f>
        <v>8.5</v>
      </c>
      <c r="AJ211" s="206"/>
      <c r="AK211" s="206"/>
      <c r="AL211" s="206"/>
      <c r="AM211" s="206"/>
      <c r="AN211" s="716">
        <f>SUM(AN203:AN206)</f>
        <v>0</v>
      </c>
      <c r="AO211" s="716"/>
      <c r="AP211" s="716"/>
      <c r="AQ211" s="716"/>
      <c r="AR211" s="716"/>
      <c r="AS211" s="716">
        <f>SUM(AS203:AS206)</f>
        <v>0</v>
      </c>
      <c r="AT211" s="716"/>
      <c r="AU211" s="716"/>
      <c r="AV211" s="716"/>
      <c r="AW211" s="716"/>
      <c r="AX211" s="716">
        <f>SUM(AX203:AX206)</f>
        <v>0</v>
      </c>
      <c r="AY211" s="716"/>
      <c r="AZ211" s="716"/>
      <c r="BA211" s="716"/>
      <c r="BB211" s="716"/>
      <c r="BC211" s="716">
        <f>SUM(BC203:BC206)</f>
        <v>0</v>
      </c>
      <c r="BD211" s="716"/>
      <c r="BE211" s="716"/>
      <c r="BF211" s="716"/>
      <c r="BG211" s="716"/>
      <c r="BH211" s="716">
        <f>SUM(BH203:BH206)</f>
        <v>0</v>
      </c>
      <c r="BI211" s="716"/>
      <c r="BJ211" s="716"/>
      <c r="BK211" s="716"/>
      <c r="BL211" s="716"/>
      <c r="BM211" s="717">
        <f>SUM(BM203:BM206)</f>
        <v>0</v>
      </c>
    </row>
    <row r="212" spans="2:66" hidden="1" outlineLevel="1">
      <c r="B212" s="15"/>
      <c r="C212" s="15"/>
      <c r="D212" s="136"/>
      <c r="E212" s="136"/>
      <c r="F212" s="207"/>
      <c r="G212" s="207"/>
      <c r="H212" s="207"/>
      <c r="I212" s="207"/>
      <c r="J212" s="207"/>
      <c r="K212" s="207"/>
      <c r="L212" s="207"/>
      <c r="M212" s="207"/>
      <c r="N212" s="207"/>
      <c r="O212" s="207"/>
      <c r="P212" s="207"/>
      <c r="Q212" s="207"/>
      <c r="R212" s="207"/>
      <c r="S212" s="207"/>
      <c r="T212" s="207"/>
      <c r="U212" s="207"/>
      <c r="V212" s="207"/>
      <c r="W212" s="207"/>
      <c r="X212" s="207"/>
      <c r="Y212" s="207"/>
      <c r="Z212" s="207"/>
      <c r="AA212" s="207"/>
      <c r="AB212" s="207"/>
      <c r="AC212" s="207"/>
      <c r="AD212" s="207"/>
      <c r="AE212" s="207"/>
      <c r="AF212" s="207"/>
      <c r="AG212" s="207"/>
      <c r="AH212" s="207"/>
      <c r="AI212" s="207"/>
      <c r="AJ212" s="207"/>
      <c r="AK212" s="207"/>
      <c r="AL212" s="207"/>
      <c r="AM212" s="207"/>
      <c r="AN212" s="718"/>
      <c r="AO212" s="718"/>
      <c r="AP212" s="718"/>
      <c r="AQ212" s="718"/>
      <c r="AR212" s="718"/>
      <c r="AS212" s="718"/>
      <c r="AT212" s="718"/>
      <c r="AU212" s="718"/>
      <c r="AV212" s="718"/>
      <c r="AW212" s="718"/>
      <c r="AX212" s="718"/>
      <c r="AY212" s="718"/>
      <c r="AZ212" s="718"/>
      <c r="BA212" s="718"/>
      <c r="BB212" s="718"/>
      <c r="BC212" s="718"/>
      <c r="BD212" s="718"/>
      <c r="BE212" s="718"/>
      <c r="BF212" s="718"/>
      <c r="BG212" s="718"/>
      <c r="BH212" s="718"/>
      <c r="BI212" s="718"/>
      <c r="BJ212" s="718"/>
      <c r="BK212" s="718"/>
      <c r="BL212" s="718"/>
      <c r="BM212" s="718"/>
    </row>
    <row r="213" spans="2:66" hidden="1" outlineLevel="2">
      <c r="B213" s="25" t="s">
        <v>291</v>
      </c>
      <c r="C213" s="15"/>
      <c r="D213" s="136"/>
      <c r="E213" s="136"/>
      <c r="F213" s="207"/>
      <c r="G213" s="207"/>
      <c r="H213" s="207"/>
      <c r="I213" s="207"/>
      <c r="J213" s="206"/>
      <c r="K213" s="207"/>
      <c r="L213" s="207"/>
      <c r="M213" s="207"/>
      <c r="N213" s="207"/>
      <c r="O213" s="444"/>
      <c r="P213" s="207"/>
      <c r="Q213" s="207"/>
      <c r="R213" s="207"/>
      <c r="S213" s="207"/>
      <c r="T213" s="207"/>
      <c r="U213" s="207"/>
      <c r="V213" s="207"/>
      <c r="W213" s="207"/>
      <c r="X213" s="207"/>
      <c r="Y213" s="207"/>
      <c r="Z213" s="207"/>
      <c r="AA213" s="207"/>
      <c r="AB213" s="207"/>
      <c r="AC213" s="207"/>
      <c r="AD213" s="207"/>
      <c r="AE213" s="207"/>
      <c r="AF213" s="207"/>
      <c r="AG213" s="207"/>
      <c r="AH213" s="207"/>
      <c r="AI213" s="207"/>
      <c r="AJ213" s="207"/>
      <c r="AK213" s="207"/>
      <c r="AL213" s="207"/>
      <c r="AM213" s="207"/>
      <c r="AN213" s="718"/>
      <c r="AO213" s="718"/>
      <c r="AP213" s="718"/>
      <c r="AQ213" s="718"/>
      <c r="AR213" s="718"/>
      <c r="AS213" s="718"/>
      <c r="AT213" s="718"/>
      <c r="AU213" s="718"/>
      <c r="AV213" s="718"/>
      <c r="AW213" s="718"/>
      <c r="AX213" s="718"/>
      <c r="AY213" s="718"/>
      <c r="AZ213" s="718"/>
      <c r="BA213" s="718"/>
      <c r="BB213" s="718"/>
      <c r="BC213" s="718"/>
      <c r="BD213" s="718"/>
      <c r="BE213" s="718"/>
      <c r="BF213" s="718"/>
      <c r="BG213" s="718"/>
      <c r="BH213" s="718"/>
      <c r="BI213" s="718"/>
      <c r="BJ213" s="718"/>
      <c r="BK213" s="718"/>
      <c r="BL213" s="718"/>
      <c r="BM213" s="718"/>
    </row>
    <row r="214" spans="2:66" hidden="1" outlineLevel="2">
      <c r="B214" s="155" t="s">
        <v>281</v>
      </c>
      <c r="C214" s="232"/>
      <c r="D214" s="156"/>
      <c r="E214" s="156"/>
      <c r="F214" s="156"/>
      <c r="G214" s="156"/>
      <c r="H214" s="156"/>
      <c r="I214" s="156"/>
      <c r="J214" s="156" t="s">
        <v>294</v>
      </c>
      <c r="K214" s="156"/>
      <c r="L214" s="156"/>
      <c r="M214" s="156"/>
      <c r="N214" s="156"/>
      <c r="O214" s="156"/>
      <c r="P214" s="156"/>
      <c r="Q214" s="156"/>
      <c r="R214" s="156"/>
      <c r="S214" s="156"/>
      <c r="T214" s="156"/>
      <c r="U214" s="156"/>
      <c r="V214" s="156"/>
      <c r="W214" s="156"/>
      <c r="X214" s="156"/>
      <c r="Y214" s="156"/>
      <c r="Z214" s="156"/>
      <c r="AA214" s="156"/>
      <c r="AB214" s="156"/>
      <c r="AC214" s="156"/>
      <c r="AD214" s="156"/>
      <c r="AE214" s="156"/>
      <c r="AF214" s="156"/>
      <c r="AG214" s="156"/>
      <c r="AH214" s="156"/>
      <c r="AI214" s="156" t="s">
        <v>302</v>
      </c>
      <c r="AJ214" s="156"/>
      <c r="AK214" s="156"/>
      <c r="AL214" s="156"/>
      <c r="AM214" s="156"/>
      <c r="AN214" s="696" t="s">
        <v>296</v>
      </c>
      <c r="AO214" s="696"/>
      <c r="AP214" s="696"/>
      <c r="AQ214" s="696"/>
      <c r="AR214" s="696"/>
      <c r="AS214" s="696" t="s">
        <v>297</v>
      </c>
      <c r="AT214" s="696"/>
      <c r="AU214" s="696"/>
      <c r="AV214" s="696"/>
      <c r="AW214" s="696"/>
      <c r="AX214" s="696"/>
      <c r="AY214" s="696"/>
      <c r="AZ214" s="696"/>
      <c r="BA214" s="696"/>
      <c r="BB214" s="696"/>
      <c r="BC214" s="696"/>
      <c r="BD214" s="696"/>
      <c r="BE214" s="696"/>
      <c r="BF214" s="696"/>
      <c r="BG214" s="696"/>
      <c r="BH214" s="696"/>
      <c r="BI214" s="696"/>
      <c r="BJ214" s="696"/>
      <c r="BK214" s="696"/>
      <c r="BL214" s="696"/>
      <c r="BM214" s="697"/>
    </row>
    <row r="215" spans="2:66" hidden="1" outlineLevel="2">
      <c r="B215" s="153"/>
      <c r="C215" s="8"/>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7"/>
      <c r="AJ215" s="157"/>
      <c r="AK215" s="157"/>
      <c r="AL215" s="157"/>
      <c r="AM215" s="157"/>
      <c r="AN215" s="706"/>
      <c r="AO215" s="706"/>
      <c r="AP215" s="706"/>
      <c r="AQ215" s="706"/>
      <c r="AR215" s="706"/>
      <c r="AS215" s="706"/>
      <c r="AT215" s="706"/>
      <c r="AU215" s="706"/>
      <c r="AV215" s="706"/>
      <c r="AW215" s="706"/>
      <c r="AX215" s="706"/>
      <c r="AY215" s="706"/>
      <c r="AZ215" s="706"/>
      <c r="BA215" s="706"/>
      <c r="BB215" s="706"/>
      <c r="BC215" s="706"/>
      <c r="BD215" s="706"/>
      <c r="BE215" s="706"/>
      <c r="BF215" s="706"/>
      <c r="BG215" s="706"/>
      <c r="BH215" s="706"/>
      <c r="BI215" s="706"/>
      <c r="BJ215" s="706"/>
      <c r="BK215" s="706"/>
      <c r="BL215" s="706"/>
      <c r="BM215" s="707"/>
    </row>
    <row r="216" spans="2:66" hidden="1" outlineLevel="2">
      <c r="B216" s="411"/>
      <c r="C216" s="120"/>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162"/>
      <c r="AK216" s="162"/>
      <c r="AL216" s="162"/>
      <c r="AM216" s="162"/>
      <c r="AN216" s="708"/>
      <c r="AO216" s="708"/>
      <c r="AP216" s="708"/>
      <c r="AQ216" s="708"/>
      <c r="AR216" s="708"/>
      <c r="AS216" s="708"/>
      <c r="AT216" s="708"/>
      <c r="AU216" s="708"/>
      <c r="AV216" s="708"/>
      <c r="AW216" s="708"/>
      <c r="AX216" s="708"/>
      <c r="AY216" s="708"/>
      <c r="AZ216" s="708"/>
      <c r="BA216" s="708"/>
      <c r="BB216" s="708"/>
      <c r="BC216" s="708"/>
      <c r="BD216" s="708"/>
      <c r="BE216" s="708"/>
      <c r="BF216" s="708"/>
      <c r="BG216" s="708"/>
      <c r="BH216" s="708"/>
      <c r="BI216" s="708"/>
      <c r="BJ216" s="708"/>
      <c r="BK216" s="708"/>
      <c r="BL216" s="708"/>
      <c r="BM216" s="709"/>
      <c r="BN216" s="73" t="s">
        <v>301</v>
      </c>
    </row>
    <row r="217" spans="2:66" hidden="1" outlineLevel="2">
      <c r="B217" s="155" t="s">
        <v>282</v>
      </c>
      <c r="C217" s="232"/>
      <c r="D217" s="156"/>
      <c r="E217" s="156"/>
      <c r="F217" s="89"/>
      <c r="G217" s="89"/>
      <c r="H217" s="89"/>
      <c r="I217" s="89"/>
      <c r="J217" s="89">
        <v>30</v>
      </c>
      <c r="K217" s="89"/>
      <c r="L217" s="89"/>
      <c r="M217" s="89"/>
      <c r="N217" s="89"/>
      <c r="O217" s="89"/>
      <c r="P217" s="89"/>
      <c r="Q217" s="89"/>
      <c r="R217" s="89"/>
      <c r="S217" s="89"/>
      <c r="T217" s="89"/>
      <c r="U217" s="89"/>
      <c r="V217" s="89"/>
      <c r="W217" s="89"/>
      <c r="X217" s="89"/>
      <c r="Y217" s="89"/>
      <c r="Z217" s="89"/>
      <c r="AA217" s="89"/>
      <c r="AB217" s="89"/>
      <c r="AC217" s="89"/>
      <c r="AD217" s="89"/>
      <c r="AE217" s="89"/>
      <c r="AF217" s="89"/>
      <c r="AG217" s="89"/>
      <c r="AH217" s="89"/>
      <c r="AI217" s="89">
        <v>15</v>
      </c>
      <c r="AJ217" s="89"/>
      <c r="AK217" s="89"/>
      <c r="AL217" s="89"/>
      <c r="AM217" s="89"/>
      <c r="AN217" s="710">
        <v>15</v>
      </c>
      <c r="AO217" s="710"/>
      <c r="AP217" s="710"/>
      <c r="AQ217" s="710"/>
      <c r="AR217" s="710"/>
      <c r="AS217" s="710">
        <v>15</v>
      </c>
      <c r="AT217" s="710"/>
      <c r="AU217" s="710"/>
      <c r="AV217" s="710"/>
      <c r="AW217" s="710"/>
      <c r="AX217" s="710"/>
      <c r="AY217" s="710"/>
      <c r="AZ217" s="710"/>
      <c r="BA217" s="710"/>
      <c r="BB217" s="710"/>
      <c r="BC217" s="710"/>
      <c r="BD217" s="710"/>
      <c r="BE217" s="710"/>
      <c r="BF217" s="710"/>
      <c r="BG217" s="710"/>
      <c r="BH217" s="710"/>
      <c r="BI217" s="710"/>
      <c r="BJ217" s="710"/>
      <c r="BK217" s="710"/>
      <c r="BL217" s="710"/>
      <c r="BM217" s="711"/>
      <c r="BN217" s="442">
        <f>SUM(IS!J217:AS217)</f>
        <v>75</v>
      </c>
    </row>
    <row r="218" spans="2:66" hidden="1" outlineLevel="2">
      <c r="B218" s="153" t="s">
        <v>283</v>
      </c>
      <c r="C218" s="8"/>
      <c r="D218" s="157"/>
      <c r="E218" s="157"/>
      <c r="F218" s="157"/>
      <c r="G218" s="157"/>
      <c r="H218" s="157"/>
      <c r="I218" s="157"/>
      <c r="J218" s="157">
        <v>10</v>
      </c>
      <c r="K218" s="157"/>
      <c r="L218" s="157"/>
      <c r="M218" s="157"/>
      <c r="N218" s="157"/>
      <c r="O218" s="157">
        <v>5</v>
      </c>
      <c r="P218" s="157"/>
      <c r="Q218" s="157"/>
      <c r="R218" s="157"/>
      <c r="S218" s="157"/>
      <c r="T218" s="157">
        <v>4</v>
      </c>
      <c r="U218" s="157"/>
      <c r="V218" s="157"/>
      <c r="W218" s="157"/>
      <c r="X218" s="157"/>
      <c r="Y218" s="157">
        <v>3</v>
      </c>
      <c r="Z218" s="157"/>
      <c r="AA218" s="157"/>
      <c r="AB218" s="157"/>
      <c r="AC218" s="157"/>
      <c r="AD218" s="157">
        <v>2</v>
      </c>
      <c r="AE218" s="157"/>
      <c r="AF218" s="157"/>
      <c r="AG218" s="157"/>
      <c r="AH218" s="157"/>
      <c r="AI218" s="157">
        <v>1</v>
      </c>
      <c r="AJ218" s="157"/>
      <c r="AK218" s="157"/>
      <c r="AL218" s="157"/>
      <c r="AM218" s="157"/>
      <c r="AN218" s="706"/>
      <c r="AO218" s="706"/>
      <c r="AP218" s="706"/>
      <c r="AQ218" s="706"/>
      <c r="AR218" s="706"/>
      <c r="AS218" s="706"/>
      <c r="AT218" s="706"/>
      <c r="AU218" s="706"/>
      <c r="AV218" s="706"/>
      <c r="AW218" s="706"/>
      <c r="AX218" s="706"/>
      <c r="AY218" s="706"/>
      <c r="AZ218" s="706"/>
      <c r="BA218" s="706"/>
      <c r="BB218" s="706"/>
      <c r="BC218" s="706"/>
      <c r="BD218" s="706"/>
      <c r="BE218" s="706"/>
      <c r="BF218" s="706"/>
      <c r="BG218" s="706"/>
      <c r="BH218" s="706"/>
      <c r="BI218" s="706"/>
      <c r="BJ218" s="706"/>
      <c r="BK218" s="706"/>
      <c r="BL218" s="706"/>
      <c r="BM218" s="707"/>
    </row>
    <row r="219" spans="2:66" hidden="1" outlineLevel="2">
      <c r="B219" s="411" t="s">
        <v>284</v>
      </c>
      <c r="C219" s="120"/>
      <c r="D219" s="162"/>
      <c r="E219" s="162"/>
      <c r="F219" s="163"/>
      <c r="G219" s="163"/>
      <c r="H219" s="163"/>
      <c r="I219" s="163"/>
      <c r="J219" s="163">
        <f>J217</f>
        <v>30</v>
      </c>
      <c r="K219" s="163"/>
      <c r="L219" s="163"/>
      <c r="M219" s="163"/>
      <c r="N219" s="163"/>
      <c r="O219" s="163"/>
      <c r="P219" s="163"/>
      <c r="Q219" s="163"/>
      <c r="R219" s="163"/>
      <c r="S219" s="163"/>
      <c r="T219" s="163">
        <f>T217</f>
        <v>0</v>
      </c>
      <c r="U219" s="163"/>
      <c r="V219" s="163"/>
      <c r="W219" s="163"/>
      <c r="X219" s="163"/>
      <c r="Y219" s="163">
        <f>Y217</f>
        <v>0</v>
      </c>
      <c r="Z219" s="163"/>
      <c r="AA219" s="163"/>
      <c r="AB219" s="163"/>
      <c r="AC219" s="163"/>
      <c r="AD219" s="163">
        <f>AD217</f>
        <v>0</v>
      </c>
      <c r="AE219" s="163"/>
      <c r="AF219" s="163"/>
      <c r="AG219" s="163"/>
      <c r="AH219" s="163"/>
      <c r="AI219" s="163">
        <f>AI217</f>
        <v>15</v>
      </c>
      <c r="AJ219" s="163"/>
      <c r="AK219" s="163"/>
      <c r="AL219" s="163"/>
      <c r="AM219" s="163"/>
      <c r="AN219" s="712">
        <f>AN217</f>
        <v>15</v>
      </c>
      <c r="AO219" s="712"/>
      <c r="AP219" s="712"/>
      <c r="AQ219" s="712"/>
      <c r="AR219" s="712"/>
      <c r="AS219" s="712">
        <f>AS217</f>
        <v>15</v>
      </c>
      <c r="AT219" s="712"/>
      <c r="AU219" s="712"/>
      <c r="AV219" s="712"/>
      <c r="AW219" s="712"/>
      <c r="AX219" s="712"/>
      <c r="AY219" s="712"/>
      <c r="AZ219" s="712"/>
      <c r="BA219" s="712"/>
      <c r="BB219" s="712"/>
      <c r="BC219" s="712"/>
      <c r="BD219" s="712"/>
      <c r="BE219" s="712"/>
      <c r="BF219" s="712"/>
      <c r="BG219" s="712"/>
      <c r="BH219" s="712"/>
      <c r="BI219" s="712"/>
      <c r="BJ219" s="712"/>
      <c r="BK219" s="712"/>
      <c r="BL219" s="712"/>
      <c r="BM219" s="713"/>
    </row>
    <row r="220" spans="2:66" hidden="1" outlineLevel="2">
      <c r="B220" s="153" t="s">
        <v>285</v>
      </c>
      <c r="C220" s="8"/>
      <c r="D220" s="157"/>
      <c r="E220" s="157"/>
      <c r="F220" s="143"/>
      <c r="G220" s="143"/>
      <c r="H220" s="143"/>
      <c r="I220" s="143"/>
      <c r="J220" s="143">
        <f>$J$217/$J$218/12</f>
        <v>0.25</v>
      </c>
      <c r="K220" s="143"/>
      <c r="L220" s="143"/>
      <c r="M220" s="143"/>
      <c r="N220" s="143"/>
      <c r="O220" s="143">
        <f>$J$217/$J$218</f>
        <v>3</v>
      </c>
      <c r="P220" s="143"/>
      <c r="Q220" s="143"/>
      <c r="R220" s="143"/>
      <c r="S220" s="143"/>
      <c r="T220" s="143">
        <f>$J$217/$J$218</f>
        <v>3</v>
      </c>
      <c r="U220" s="143"/>
      <c r="V220" s="143"/>
      <c r="W220" s="143"/>
      <c r="X220" s="143"/>
      <c r="Y220" s="143">
        <f>$J$217/$J$218</f>
        <v>3</v>
      </c>
      <c r="Z220" s="143"/>
      <c r="AA220" s="143"/>
      <c r="AB220" s="143"/>
      <c r="AC220" s="143"/>
      <c r="AD220" s="143">
        <f>$J$217/$J$218</f>
        <v>3</v>
      </c>
      <c r="AE220" s="143"/>
      <c r="AF220" s="143"/>
      <c r="AG220" s="143"/>
      <c r="AH220" s="143"/>
      <c r="AI220" s="143">
        <f>$J$217/$J$218</f>
        <v>3</v>
      </c>
      <c r="AJ220" s="143"/>
      <c r="AK220" s="143"/>
      <c r="AL220" s="143"/>
      <c r="AM220" s="143"/>
      <c r="AN220" s="714">
        <f>$J$217/$J$218</f>
        <v>3</v>
      </c>
      <c r="AO220" s="714"/>
      <c r="AP220" s="714"/>
      <c r="AQ220" s="714"/>
      <c r="AR220" s="714"/>
      <c r="AS220" s="714">
        <f>$J$217/$J$218</f>
        <v>3</v>
      </c>
      <c r="AT220" s="714"/>
      <c r="AU220" s="714"/>
      <c r="AV220" s="714"/>
      <c r="AW220" s="714"/>
      <c r="AX220" s="714">
        <f>$J$217/$J$218</f>
        <v>3</v>
      </c>
      <c r="AY220" s="714"/>
      <c r="AZ220" s="714"/>
      <c r="BA220" s="714"/>
      <c r="BB220" s="714"/>
      <c r="BC220" s="714">
        <f>$J$217/$J$218</f>
        <v>3</v>
      </c>
      <c r="BD220" s="714"/>
      <c r="BE220" s="714"/>
      <c r="BF220" s="714"/>
      <c r="BG220" s="714"/>
      <c r="BH220" s="714">
        <f>30-SUM(J220:BC220)</f>
        <v>2.75</v>
      </c>
      <c r="BI220" s="714"/>
      <c r="BJ220" s="714"/>
      <c r="BK220" s="714"/>
      <c r="BL220" s="714"/>
      <c r="BM220" s="715"/>
    </row>
    <row r="221" spans="2:66" hidden="1" outlineLevel="2">
      <c r="B221" s="153" t="s">
        <v>285</v>
      </c>
      <c r="C221" s="8"/>
      <c r="D221" s="157"/>
      <c r="E221" s="157"/>
      <c r="F221" s="143"/>
      <c r="G221" s="143"/>
      <c r="H221" s="143"/>
      <c r="I221" s="143"/>
      <c r="J221" s="143"/>
      <c r="K221" s="143"/>
      <c r="L221" s="143"/>
      <c r="M221" s="143"/>
      <c r="N221" s="143"/>
      <c r="O221" s="143"/>
      <c r="P221" s="143"/>
      <c r="Q221" s="143"/>
      <c r="R221" s="143"/>
      <c r="S221" s="143"/>
      <c r="T221" s="143">
        <f>$T$217/$T$218</f>
        <v>0</v>
      </c>
      <c r="U221" s="143"/>
      <c r="V221" s="143"/>
      <c r="W221" s="143"/>
      <c r="X221" s="143"/>
      <c r="Y221" s="143">
        <f>$T$217/$T$218</f>
        <v>0</v>
      </c>
      <c r="Z221" s="143"/>
      <c r="AA221" s="143"/>
      <c r="AB221" s="143"/>
      <c r="AC221" s="143"/>
      <c r="AD221" s="143">
        <f>$T$217/$T$218</f>
        <v>0</v>
      </c>
      <c r="AE221" s="143"/>
      <c r="AF221" s="143"/>
      <c r="AG221" s="143"/>
      <c r="AH221" s="143"/>
      <c r="AI221" s="143">
        <f>$T$217/$T$218</f>
        <v>0</v>
      </c>
      <c r="AJ221" s="143"/>
      <c r="AK221" s="143"/>
      <c r="AL221" s="143"/>
      <c r="AM221" s="143"/>
      <c r="AN221" s="714"/>
      <c r="AO221" s="714"/>
      <c r="AP221" s="714"/>
      <c r="AQ221" s="714"/>
      <c r="AR221" s="714"/>
      <c r="AS221" s="714"/>
      <c r="AT221" s="714"/>
      <c r="AU221" s="714"/>
      <c r="AV221" s="714"/>
      <c r="AW221" s="714"/>
      <c r="AX221" s="714"/>
      <c r="AY221" s="714"/>
      <c r="AZ221" s="714"/>
      <c r="BA221" s="714"/>
      <c r="BB221" s="714"/>
      <c r="BC221" s="714"/>
      <c r="BD221" s="714"/>
      <c r="BE221" s="714"/>
      <c r="BF221" s="714"/>
      <c r="BG221" s="714"/>
      <c r="BH221" s="714"/>
      <c r="BI221" s="714"/>
      <c r="BJ221" s="714"/>
      <c r="BK221" s="714"/>
      <c r="BL221" s="714"/>
      <c r="BM221" s="715"/>
    </row>
    <row r="222" spans="2:66" hidden="1" outlineLevel="2">
      <c r="B222" s="153" t="s">
        <v>285</v>
      </c>
      <c r="C222" s="8"/>
      <c r="D222" s="157"/>
      <c r="E222" s="157"/>
      <c r="F222" s="143"/>
      <c r="G222" s="143"/>
      <c r="H222" s="143"/>
      <c r="I222" s="143"/>
      <c r="J222" s="143"/>
      <c r="K222" s="143"/>
      <c r="L222" s="143"/>
      <c r="M222" s="143"/>
      <c r="N222" s="143"/>
      <c r="O222" s="143"/>
      <c r="P222" s="143"/>
      <c r="Q222" s="143"/>
      <c r="R222" s="143"/>
      <c r="S222" s="143"/>
      <c r="T222" s="143"/>
      <c r="U222" s="143"/>
      <c r="V222" s="143"/>
      <c r="W222" s="143"/>
      <c r="X222" s="143"/>
      <c r="Y222" s="143">
        <f>$Y$217/$Y$218</f>
        <v>0</v>
      </c>
      <c r="Z222" s="143"/>
      <c r="AA222" s="143"/>
      <c r="AB222" s="143"/>
      <c r="AC222" s="143"/>
      <c r="AD222" s="143">
        <f>$Y$217/$Y$218</f>
        <v>0</v>
      </c>
      <c r="AE222" s="143"/>
      <c r="AF222" s="143"/>
      <c r="AG222" s="143"/>
      <c r="AH222" s="143"/>
      <c r="AI222" s="143">
        <f>$Y$217/$Y$218</f>
        <v>0</v>
      </c>
      <c r="AJ222" s="143"/>
      <c r="AK222" s="143"/>
      <c r="AL222" s="143"/>
      <c r="AM222" s="143"/>
      <c r="AN222" s="714"/>
      <c r="AO222" s="714"/>
      <c r="AP222" s="714"/>
      <c r="AQ222" s="714"/>
      <c r="AR222" s="714"/>
      <c r="AS222" s="714"/>
      <c r="AT222" s="714"/>
      <c r="AU222" s="714"/>
      <c r="AV222" s="714"/>
      <c r="AW222" s="714"/>
      <c r="AX222" s="714"/>
      <c r="AY222" s="714"/>
      <c r="AZ222" s="714"/>
      <c r="BA222" s="714"/>
      <c r="BB222" s="714"/>
      <c r="BC222" s="714"/>
      <c r="BD222" s="714"/>
      <c r="BE222" s="714"/>
      <c r="BF222" s="714"/>
      <c r="BG222" s="714"/>
      <c r="BH222" s="714"/>
      <c r="BI222" s="714"/>
      <c r="BJ222" s="714"/>
      <c r="BK222" s="714"/>
      <c r="BL222" s="714"/>
      <c r="BM222" s="715"/>
    </row>
    <row r="223" spans="2:66" hidden="1" outlineLevel="2">
      <c r="B223" s="153" t="s">
        <v>285</v>
      </c>
      <c r="C223" s="8"/>
      <c r="D223" s="157"/>
      <c r="E223" s="157"/>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f>$AD$219/$AD$218</f>
        <v>0</v>
      </c>
      <c r="AE223" s="143"/>
      <c r="AF223" s="143"/>
      <c r="AG223" s="143"/>
      <c r="AH223" s="143"/>
      <c r="AI223" s="143">
        <f>AI219</f>
        <v>15</v>
      </c>
      <c r="AJ223" s="143"/>
      <c r="AK223" s="143"/>
      <c r="AL223" s="143"/>
      <c r="AM223" s="143"/>
      <c r="AN223" s="714"/>
      <c r="AO223" s="714"/>
      <c r="AP223" s="714"/>
      <c r="AQ223" s="714"/>
      <c r="AR223" s="714"/>
      <c r="AS223" s="714"/>
      <c r="AT223" s="714"/>
      <c r="AU223" s="714"/>
      <c r="AV223" s="714"/>
      <c r="AW223" s="714"/>
      <c r="AX223" s="714"/>
      <c r="AY223" s="714"/>
      <c r="AZ223" s="714"/>
      <c r="BA223" s="714"/>
      <c r="BB223" s="714"/>
      <c r="BC223" s="714"/>
      <c r="BD223" s="714"/>
      <c r="BE223" s="714"/>
      <c r="BF223" s="714"/>
      <c r="BG223" s="714"/>
      <c r="BH223" s="714"/>
      <c r="BI223" s="714"/>
      <c r="BJ223" s="714"/>
      <c r="BK223" s="714"/>
      <c r="BL223" s="714"/>
      <c r="BM223" s="715"/>
    </row>
    <row r="224" spans="2:66" hidden="1" outlineLevel="2">
      <c r="B224" s="153" t="s">
        <v>285</v>
      </c>
      <c r="C224" s="8"/>
      <c r="D224" s="157"/>
      <c r="E224" s="157"/>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43"/>
      <c r="AL224" s="143"/>
      <c r="AM224" s="143"/>
      <c r="AN224" s="714">
        <f>AN217</f>
        <v>15</v>
      </c>
      <c r="AO224" s="714"/>
      <c r="AP224" s="714"/>
      <c r="AQ224" s="714"/>
      <c r="AR224" s="714"/>
      <c r="AS224" s="714"/>
      <c r="AT224" s="714"/>
      <c r="AU224" s="714"/>
      <c r="AV224" s="714"/>
      <c r="AW224" s="714"/>
      <c r="AX224" s="714"/>
      <c r="AY224" s="714"/>
      <c r="AZ224" s="714"/>
      <c r="BA224" s="714"/>
      <c r="BB224" s="714"/>
      <c r="BC224" s="714"/>
      <c r="BD224" s="714"/>
      <c r="BE224" s="714"/>
      <c r="BF224" s="714"/>
      <c r="BG224" s="714"/>
      <c r="BH224" s="714"/>
      <c r="BI224" s="714"/>
      <c r="BJ224" s="714"/>
      <c r="BK224" s="714"/>
      <c r="BL224" s="714"/>
      <c r="BM224" s="715"/>
    </row>
    <row r="225" spans="2:65" hidden="1" outlineLevel="2">
      <c r="B225" s="153" t="s">
        <v>285</v>
      </c>
      <c r="C225" s="8"/>
      <c r="D225" s="157"/>
      <c r="E225" s="157"/>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43"/>
      <c r="AL225" s="143"/>
      <c r="AM225" s="143"/>
      <c r="AN225" s="714"/>
      <c r="AO225" s="714"/>
      <c r="AP225" s="714"/>
      <c r="AQ225" s="714"/>
      <c r="AR225" s="714"/>
      <c r="AS225" s="714">
        <f>AS217</f>
        <v>15</v>
      </c>
      <c r="AT225" s="714"/>
      <c r="AU225" s="714"/>
      <c r="AV225" s="714"/>
      <c r="AW225" s="714"/>
      <c r="AX225" s="714"/>
      <c r="AY225" s="714"/>
      <c r="AZ225" s="714"/>
      <c r="BA225" s="714"/>
      <c r="BB225" s="714"/>
      <c r="BC225" s="714"/>
      <c r="BD225" s="714"/>
      <c r="BE225" s="714"/>
      <c r="BF225" s="714"/>
      <c r="BG225" s="714"/>
      <c r="BH225" s="714"/>
      <c r="BI225" s="714"/>
      <c r="BJ225" s="714"/>
      <c r="BK225" s="714"/>
      <c r="BL225" s="714"/>
      <c r="BM225" s="715"/>
    </row>
    <row r="226" spans="2:65" hidden="1" outlineLevel="2">
      <c r="B226" s="153" t="s">
        <v>286</v>
      </c>
      <c r="C226" s="8"/>
      <c r="D226" s="157"/>
      <c r="E226" s="157"/>
      <c r="F226" s="143"/>
      <c r="G226" s="143"/>
      <c r="H226" s="143"/>
      <c r="I226" s="143"/>
      <c r="J226" s="143">
        <f>O220</f>
        <v>3</v>
      </c>
      <c r="K226" s="143"/>
      <c r="L226" s="143"/>
      <c r="M226" s="143"/>
      <c r="N226" s="143"/>
      <c r="O226" s="143">
        <f>T220</f>
        <v>3</v>
      </c>
      <c r="P226" s="143"/>
      <c r="Q226" s="143"/>
      <c r="R226" s="143"/>
      <c r="S226" s="143"/>
      <c r="T226" s="143">
        <f>Y220+Y221</f>
        <v>3</v>
      </c>
      <c r="U226" s="143"/>
      <c r="V226" s="143"/>
      <c r="W226" s="143"/>
      <c r="X226" s="143"/>
      <c r="Y226" s="143">
        <f>AD220+AD221</f>
        <v>3</v>
      </c>
      <c r="Z226" s="143"/>
      <c r="AA226" s="143"/>
      <c r="AB226" s="143"/>
      <c r="AC226" s="143"/>
      <c r="AD226" s="143">
        <f>AI220+AI221+AI222</f>
        <v>3</v>
      </c>
      <c r="AE226" s="143"/>
      <c r="AF226" s="143"/>
      <c r="AG226" s="143"/>
      <c r="AH226" s="143"/>
      <c r="AI226" s="143">
        <f>AN220+AN221+AN223</f>
        <v>3</v>
      </c>
      <c r="AJ226" s="143"/>
      <c r="AK226" s="143"/>
      <c r="AL226" s="143"/>
      <c r="AM226" s="143"/>
      <c r="AN226" s="714">
        <f>AS220+AS221+AS223</f>
        <v>3</v>
      </c>
      <c r="AO226" s="714"/>
      <c r="AP226" s="714"/>
      <c r="AQ226" s="714"/>
      <c r="AR226" s="714"/>
      <c r="AS226" s="714"/>
      <c r="AT226" s="714"/>
      <c r="AU226" s="714"/>
      <c r="AV226" s="714"/>
      <c r="AW226" s="714"/>
      <c r="AX226" s="714"/>
      <c r="AY226" s="714"/>
      <c r="AZ226" s="714"/>
      <c r="BA226" s="714"/>
      <c r="BB226" s="714"/>
      <c r="BC226" s="714"/>
      <c r="BD226" s="714"/>
      <c r="BE226" s="714"/>
      <c r="BF226" s="714"/>
      <c r="BG226" s="714"/>
      <c r="BH226" s="714"/>
      <c r="BI226" s="714"/>
      <c r="BJ226" s="714"/>
      <c r="BK226" s="714"/>
      <c r="BL226" s="714"/>
      <c r="BM226" s="715"/>
    </row>
    <row r="227" spans="2:65" hidden="1" outlineLevel="2">
      <c r="B227" s="411" t="s">
        <v>287</v>
      </c>
      <c r="C227" s="120"/>
      <c r="D227" s="162"/>
      <c r="E227" s="162"/>
      <c r="F227" s="163"/>
      <c r="G227" s="163"/>
      <c r="H227" s="163"/>
      <c r="I227" s="163"/>
      <c r="J227" s="163">
        <f>J219-J220-J226</f>
        <v>26.75</v>
      </c>
      <c r="K227" s="163"/>
      <c r="L227" s="163"/>
      <c r="M227" s="163"/>
      <c r="N227" s="163"/>
      <c r="O227" s="163">
        <f>J228+O219-SUM(O220:O226)</f>
        <v>23.75</v>
      </c>
      <c r="P227" s="163"/>
      <c r="Q227" s="163"/>
      <c r="R227" s="163"/>
      <c r="S227" s="163"/>
      <c r="T227" s="163">
        <f>O228+T219-SUM(T220:T226)</f>
        <v>20.75</v>
      </c>
      <c r="U227" s="163"/>
      <c r="V227" s="163"/>
      <c r="W227" s="163"/>
      <c r="X227" s="163"/>
      <c r="Y227" s="163">
        <f>T228+Y219-SUM(Y220:Y226)</f>
        <v>17.75</v>
      </c>
      <c r="Z227" s="163"/>
      <c r="AA227" s="163"/>
      <c r="AB227" s="163"/>
      <c r="AC227" s="163"/>
      <c r="AD227" s="163">
        <f>Y228+AD219-SUM(AD220:AD226)</f>
        <v>14.75</v>
      </c>
      <c r="AE227" s="163"/>
      <c r="AF227" s="163"/>
      <c r="AG227" s="163"/>
      <c r="AH227" s="163"/>
      <c r="AI227" s="163">
        <f>AD228+AI219-SUM(AI220:AI226)</f>
        <v>11.75</v>
      </c>
      <c r="AJ227" s="163"/>
      <c r="AK227" s="163"/>
      <c r="AL227" s="163"/>
      <c r="AM227" s="163"/>
      <c r="AN227" s="712">
        <f>AI228+AN219-SUM(AN220:AN226)</f>
        <v>8.75</v>
      </c>
      <c r="AO227" s="712"/>
      <c r="AP227" s="712"/>
      <c r="AQ227" s="712"/>
      <c r="AR227" s="712"/>
      <c r="AS227" s="712">
        <f>AN228+AS219-SUM(AS220:AS226)</f>
        <v>8.75</v>
      </c>
      <c r="AT227" s="712"/>
      <c r="AU227" s="712"/>
      <c r="AV227" s="712"/>
      <c r="AW227" s="712"/>
      <c r="AX227" s="712">
        <f>AS228+AX219-SUM(AX220:AX226)</f>
        <v>5.75</v>
      </c>
      <c r="AY227" s="712"/>
      <c r="AZ227" s="712"/>
      <c r="BA227" s="712"/>
      <c r="BB227" s="712"/>
      <c r="BC227" s="712">
        <f>AX228+BC219-SUM(BC220:BC226)</f>
        <v>2.75</v>
      </c>
      <c r="BD227" s="712"/>
      <c r="BE227" s="712"/>
      <c r="BF227" s="712"/>
      <c r="BG227" s="712"/>
      <c r="BH227" s="712">
        <f>BC228+BH219-SUM(BH220:BH226)</f>
        <v>0</v>
      </c>
      <c r="BI227" s="712"/>
      <c r="BJ227" s="712"/>
      <c r="BK227" s="712"/>
      <c r="BL227" s="712"/>
      <c r="BM227" s="713">
        <f>BH228+BM219-SUM(BM220:BM226)</f>
        <v>0</v>
      </c>
    </row>
    <row r="228" spans="2:65" hidden="1" outlineLevel="2">
      <c r="B228" s="155" t="s">
        <v>288</v>
      </c>
      <c r="C228" s="232"/>
      <c r="D228" s="156"/>
      <c r="E228" s="156"/>
      <c r="F228" s="89"/>
      <c r="G228" s="89"/>
      <c r="H228" s="89"/>
      <c r="I228" s="89"/>
      <c r="J228" s="89">
        <f>J226+J227</f>
        <v>29.75</v>
      </c>
      <c r="K228" s="89"/>
      <c r="L228" s="89"/>
      <c r="M228" s="89"/>
      <c r="N228" s="89"/>
      <c r="O228" s="89">
        <f>O226+O227</f>
        <v>26.75</v>
      </c>
      <c r="P228" s="89"/>
      <c r="Q228" s="89"/>
      <c r="R228" s="89"/>
      <c r="S228" s="89"/>
      <c r="T228" s="89">
        <f>T226+T227</f>
        <v>23.75</v>
      </c>
      <c r="U228" s="89"/>
      <c r="V228" s="89"/>
      <c r="W228" s="89"/>
      <c r="X228" s="89"/>
      <c r="Y228" s="89">
        <f>Y226+Y227</f>
        <v>20.75</v>
      </c>
      <c r="Z228" s="89"/>
      <c r="AA228" s="89"/>
      <c r="AB228" s="89"/>
      <c r="AC228" s="89"/>
      <c r="AD228" s="89">
        <f>AD226+AD227</f>
        <v>17.75</v>
      </c>
      <c r="AE228" s="89"/>
      <c r="AF228" s="89"/>
      <c r="AG228" s="89"/>
      <c r="AH228" s="89"/>
      <c r="AI228" s="89">
        <f>AI226+AI227</f>
        <v>14.75</v>
      </c>
      <c r="AJ228" s="89"/>
      <c r="AK228" s="89"/>
      <c r="AL228" s="89"/>
      <c r="AM228" s="89"/>
      <c r="AN228" s="710">
        <f>AN226+AN227</f>
        <v>11.75</v>
      </c>
      <c r="AO228" s="710"/>
      <c r="AP228" s="710"/>
      <c r="AQ228" s="710"/>
      <c r="AR228" s="710"/>
      <c r="AS228" s="710">
        <f>AS226+AS227</f>
        <v>8.75</v>
      </c>
      <c r="AT228" s="710"/>
      <c r="AU228" s="710"/>
      <c r="AV228" s="710"/>
      <c r="AW228" s="710"/>
      <c r="AX228" s="710">
        <f>AX226+AX227</f>
        <v>5.75</v>
      </c>
      <c r="AY228" s="710"/>
      <c r="AZ228" s="710"/>
      <c r="BA228" s="710"/>
      <c r="BB228" s="710"/>
      <c r="BC228" s="710">
        <f>BC226+BC227</f>
        <v>2.75</v>
      </c>
      <c r="BD228" s="710"/>
      <c r="BE228" s="710"/>
      <c r="BF228" s="710"/>
      <c r="BG228" s="710"/>
      <c r="BH228" s="710">
        <f>BH226+BH227</f>
        <v>0</v>
      </c>
      <c r="BI228" s="710"/>
      <c r="BJ228" s="710"/>
      <c r="BK228" s="710"/>
      <c r="BL228" s="710"/>
      <c r="BM228" s="711">
        <f>BM226+BM227</f>
        <v>0</v>
      </c>
    </row>
    <row r="229" spans="2:65" hidden="1" outlineLevel="2">
      <c r="B229" s="154" t="s">
        <v>289</v>
      </c>
      <c r="C229" s="429"/>
      <c r="D229" s="391"/>
      <c r="E229" s="391"/>
      <c r="F229" s="206"/>
      <c r="G229" s="206"/>
      <c r="H229" s="206"/>
      <c r="I229" s="206"/>
      <c r="J229" s="206">
        <f>SUM(J220:J225)</f>
        <v>0.25</v>
      </c>
      <c r="K229" s="206"/>
      <c r="L229" s="206"/>
      <c r="M229" s="206"/>
      <c r="N229" s="206"/>
      <c r="O229" s="206">
        <f>SUM(O220:O225)</f>
        <v>3</v>
      </c>
      <c r="P229" s="206"/>
      <c r="Q229" s="206"/>
      <c r="R229" s="206"/>
      <c r="S229" s="206"/>
      <c r="T229" s="206">
        <f>SUM(T220:T225)</f>
        <v>3</v>
      </c>
      <c r="U229" s="206"/>
      <c r="V229" s="206"/>
      <c r="W229" s="206"/>
      <c r="X229" s="206"/>
      <c r="Y229" s="206">
        <f>SUM(Y220:Y225)</f>
        <v>3</v>
      </c>
      <c r="Z229" s="206"/>
      <c r="AA229" s="206"/>
      <c r="AB229" s="206"/>
      <c r="AC229" s="206"/>
      <c r="AD229" s="206">
        <f>SUM(AD220:AD225)</f>
        <v>3</v>
      </c>
      <c r="AE229" s="206"/>
      <c r="AF229" s="206"/>
      <c r="AG229" s="206"/>
      <c r="AH229" s="206"/>
      <c r="AI229" s="206">
        <f>SUM(AI220:AI225)</f>
        <v>18</v>
      </c>
      <c r="AJ229" s="206"/>
      <c r="AK229" s="206"/>
      <c r="AL229" s="206"/>
      <c r="AM229" s="206"/>
      <c r="AN229" s="716">
        <f>SUM(AN220:AN225)</f>
        <v>18</v>
      </c>
      <c r="AO229" s="716"/>
      <c r="AP229" s="716"/>
      <c r="AQ229" s="716"/>
      <c r="AR229" s="716"/>
      <c r="AS229" s="716">
        <f>SUM(AS220:AS225)</f>
        <v>18</v>
      </c>
      <c r="AT229" s="716"/>
      <c r="AU229" s="716"/>
      <c r="AV229" s="716"/>
      <c r="AW229" s="716"/>
      <c r="AX229" s="716">
        <f>SUM(AX220:AX225)</f>
        <v>3</v>
      </c>
      <c r="AY229" s="716"/>
      <c r="AZ229" s="716"/>
      <c r="BA229" s="716"/>
      <c r="BB229" s="716"/>
      <c r="BC229" s="716">
        <f>SUM(BC220:BC225)</f>
        <v>3</v>
      </c>
      <c r="BD229" s="716"/>
      <c r="BE229" s="716"/>
      <c r="BF229" s="716"/>
      <c r="BG229" s="716"/>
      <c r="BH229" s="716">
        <f>SUM(BH220:BH225)</f>
        <v>2.75</v>
      </c>
      <c r="BI229" s="716"/>
      <c r="BJ229" s="716"/>
      <c r="BK229" s="716"/>
      <c r="BL229" s="716"/>
      <c r="BM229" s="717">
        <f>SUM(BM220:BM225)</f>
        <v>0</v>
      </c>
    </row>
    <row r="230" spans="2:65" hidden="1" outlineLevel="1">
      <c r="B230" s="15"/>
      <c r="C230" s="15"/>
      <c r="D230" s="136"/>
      <c r="E230" s="136"/>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207"/>
      <c r="AD230" s="207"/>
      <c r="AE230" s="207"/>
      <c r="AF230" s="207"/>
      <c r="AG230" s="207"/>
      <c r="AH230" s="207"/>
      <c r="AI230" s="207"/>
      <c r="AJ230" s="207"/>
      <c r="AK230" s="207"/>
      <c r="AL230" s="207"/>
      <c r="AM230" s="207"/>
      <c r="AN230" s="718"/>
      <c r="AO230" s="718"/>
      <c r="AP230" s="718"/>
      <c r="AQ230" s="718"/>
      <c r="AR230" s="718"/>
      <c r="AS230" s="718"/>
      <c r="AT230" s="718"/>
      <c r="AU230" s="718"/>
      <c r="AV230" s="718"/>
      <c r="AW230" s="718"/>
      <c r="AX230" s="718"/>
      <c r="AY230" s="718"/>
      <c r="AZ230" s="718"/>
      <c r="BA230" s="718"/>
      <c r="BB230" s="718"/>
      <c r="BC230" s="718"/>
      <c r="BD230" s="718"/>
      <c r="BE230" s="718"/>
      <c r="BF230" s="718"/>
      <c r="BG230" s="718"/>
      <c r="BH230" s="718"/>
      <c r="BI230" s="718"/>
      <c r="BJ230" s="718"/>
      <c r="BK230" s="718"/>
      <c r="BL230" s="718"/>
      <c r="BM230" s="718"/>
    </row>
    <row r="231" spans="2:65" hidden="1" outlineLevel="1">
      <c r="B231" s="154" t="s">
        <v>303</v>
      </c>
      <c r="C231" s="429"/>
      <c r="D231" s="391"/>
      <c r="E231" s="391"/>
      <c r="F231" s="206"/>
      <c r="G231" s="206"/>
      <c r="H231" s="206"/>
      <c r="I231" s="206"/>
      <c r="J231" s="206">
        <f>J229+J211+J194</f>
        <v>34.264285714285712</v>
      </c>
      <c r="K231" s="206"/>
      <c r="L231" s="206"/>
      <c r="M231" s="206"/>
      <c r="N231" s="206"/>
      <c r="O231" s="206">
        <f>O229+O211+O194</f>
        <v>41.629670329670333</v>
      </c>
      <c r="P231" s="206"/>
      <c r="Q231" s="206"/>
      <c r="R231" s="206"/>
      <c r="S231" s="206"/>
      <c r="T231" s="206">
        <f>T229+T211+T194</f>
        <v>61.629670329670326</v>
      </c>
      <c r="U231" s="206"/>
      <c r="V231" s="206"/>
      <c r="W231" s="206"/>
      <c r="X231" s="206"/>
      <c r="Y231" s="206">
        <f>Y229+Y211+Y194</f>
        <v>97</v>
      </c>
      <c r="Z231" s="206"/>
      <c r="AA231" s="206"/>
      <c r="AB231" s="206"/>
      <c r="AC231" s="206"/>
      <c r="AD231" s="206">
        <f>AD229+AD211+AD194</f>
        <v>14.43956043956044</v>
      </c>
      <c r="AE231" s="206"/>
      <c r="AF231" s="206"/>
      <c r="AG231" s="206"/>
      <c r="AH231" s="206"/>
      <c r="AI231" s="206">
        <f>AI229+AI211+AI194</f>
        <v>26.5</v>
      </c>
      <c r="AJ231" s="206"/>
      <c r="AK231" s="206"/>
      <c r="AL231" s="206"/>
      <c r="AM231" s="206"/>
      <c r="AN231" s="716">
        <f>AN229+AN211+AN194</f>
        <v>18</v>
      </c>
      <c r="AO231" s="716"/>
      <c r="AP231" s="716"/>
      <c r="AQ231" s="716"/>
      <c r="AR231" s="716"/>
      <c r="AS231" s="716">
        <f>AS229+AS211+AS194</f>
        <v>18</v>
      </c>
      <c r="AT231" s="716"/>
      <c r="AU231" s="716"/>
      <c r="AV231" s="716"/>
      <c r="AW231" s="716"/>
      <c r="AX231" s="716">
        <f>AX229+AX211+AX194</f>
        <v>3</v>
      </c>
      <c r="AY231" s="716"/>
      <c r="AZ231" s="716"/>
      <c r="BA231" s="716"/>
      <c r="BB231" s="716"/>
      <c r="BC231" s="716">
        <f>BC229+BC211+BC194</f>
        <v>3</v>
      </c>
      <c r="BD231" s="716"/>
      <c r="BE231" s="716"/>
      <c r="BF231" s="716"/>
      <c r="BG231" s="716"/>
      <c r="BH231" s="716">
        <f>BH229+BH211+BH194</f>
        <v>2.75</v>
      </c>
      <c r="BI231" s="716"/>
      <c r="BJ231" s="716"/>
      <c r="BK231" s="716"/>
      <c r="BL231" s="716"/>
      <c r="BM231" s="716">
        <f>BM229+BM211+BM194</f>
        <v>0</v>
      </c>
    </row>
    <row r="232" spans="2:65" hidden="1" outlineLevel="1">
      <c r="B232" s="161" t="s">
        <v>59</v>
      </c>
      <c r="C232" s="445"/>
      <c r="D232" s="446"/>
      <c r="E232" s="446"/>
      <c r="F232" s="447"/>
      <c r="G232" s="447"/>
      <c r="H232" s="447"/>
      <c r="I232" s="447"/>
      <c r="J232" s="447">
        <f>J25</f>
        <v>34.320999999999998</v>
      </c>
      <c r="K232" s="447"/>
      <c r="L232" s="447"/>
      <c r="M232" s="447"/>
      <c r="N232" s="447"/>
      <c r="O232" s="447">
        <f>O25</f>
        <v>43.856999999999999</v>
      </c>
      <c r="P232" s="447"/>
      <c r="Q232" s="447"/>
      <c r="R232" s="447"/>
      <c r="S232" s="447"/>
      <c r="T232" s="447">
        <f>T25</f>
        <v>65.871000000000009</v>
      </c>
      <c r="U232" s="447"/>
      <c r="V232" s="447"/>
      <c r="W232" s="447"/>
      <c r="X232" s="447"/>
      <c r="Y232" s="447">
        <f>Y25</f>
        <v>150.24499999999998</v>
      </c>
      <c r="Z232" s="447"/>
      <c r="AA232" s="447"/>
      <c r="AB232" s="447"/>
      <c r="AC232" s="447"/>
      <c r="AD232" s="447">
        <f>AD25</f>
        <v>19.867000000000001</v>
      </c>
      <c r="AE232" s="447"/>
      <c r="AF232" s="447"/>
      <c r="AG232" s="447"/>
      <c r="AH232" s="447"/>
      <c r="AI232" s="447">
        <f>AI25</f>
        <v>27.528090909090913</v>
      </c>
      <c r="AJ232" s="447"/>
      <c r="AK232" s="447"/>
      <c r="AL232" s="447"/>
      <c r="AM232" s="447"/>
      <c r="AN232" s="719">
        <f>AN25</f>
        <v>5.524</v>
      </c>
      <c r="AO232" s="719"/>
      <c r="AP232" s="719"/>
      <c r="AQ232" s="719"/>
      <c r="AR232" s="719"/>
      <c r="AS232" s="719">
        <f>AS25</f>
        <v>0</v>
      </c>
      <c r="AT232" s="719"/>
      <c r="AU232" s="719"/>
      <c r="AV232" s="719"/>
      <c r="AW232" s="719"/>
      <c r="AX232" s="719">
        <f>AX25</f>
        <v>0</v>
      </c>
      <c r="AY232" s="719"/>
      <c r="AZ232" s="719"/>
      <c r="BA232" s="719"/>
      <c r="BB232" s="719"/>
      <c r="BC232" s="719"/>
      <c r="BD232" s="719"/>
      <c r="BE232" s="719"/>
      <c r="BF232" s="719"/>
      <c r="BG232" s="719"/>
      <c r="BH232" s="719"/>
      <c r="BI232" s="719"/>
      <c r="BJ232" s="719"/>
      <c r="BK232" s="719"/>
      <c r="BL232" s="719"/>
      <c r="BM232" s="720"/>
    </row>
    <row r="233" spans="2:65" hidden="1" outlineLevel="1">
      <c r="B233" s="88" t="s">
        <v>292</v>
      </c>
      <c r="C233" s="232"/>
      <c r="D233" s="388">
        <f>D191+D208+D226</f>
        <v>15.8</v>
      </c>
      <c r="E233" s="388">
        <f>E191+E208+E226</f>
        <v>17.846</v>
      </c>
      <c r="F233" s="388"/>
      <c r="G233" s="388"/>
      <c r="H233" s="388"/>
      <c r="I233" s="388"/>
      <c r="J233" s="388">
        <f>J191+J208+J226</f>
        <v>37.014285714285712</v>
      </c>
      <c r="K233" s="388"/>
      <c r="L233" s="388"/>
      <c r="M233" s="388"/>
      <c r="N233" s="388"/>
      <c r="O233" s="388">
        <f>O191+O208+O226</f>
        <v>41.629670329670333</v>
      </c>
      <c r="P233" s="388"/>
      <c r="Q233" s="388"/>
      <c r="R233" s="388"/>
      <c r="S233" s="388"/>
      <c r="T233" s="388">
        <f>T191+T208+T226</f>
        <v>12</v>
      </c>
      <c r="U233" s="388"/>
      <c r="V233" s="388"/>
      <c r="W233" s="388"/>
      <c r="X233" s="388"/>
      <c r="Y233" s="388">
        <f>Y191+Y208+Y226</f>
        <v>5.9395604395604398</v>
      </c>
      <c r="Z233" s="388"/>
      <c r="AA233" s="388"/>
      <c r="AB233" s="388"/>
      <c r="AC233" s="388"/>
      <c r="AD233" s="388">
        <f>AD191+AD208+AD226</f>
        <v>11.5</v>
      </c>
      <c r="AE233" s="388"/>
      <c r="AF233" s="388"/>
      <c r="AG233" s="388"/>
      <c r="AH233" s="388"/>
      <c r="AI233" s="388">
        <f>AI191+AI208+AI226</f>
        <v>3</v>
      </c>
      <c r="AJ233" s="388"/>
      <c r="AK233" s="388"/>
      <c r="AL233" s="388"/>
      <c r="AM233" s="388"/>
      <c r="AN233" s="721">
        <f>AN191+AN208+AN226</f>
        <v>3</v>
      </c>
      <c r="AO233" s="721"/>
      <c r="AP233" s="721"/>
      <c r="AQ233" s="721"/>
      <c r="AR233" s="721"/>
      <c r="AS233" s="721">
        <f>AS191+AS208+AS226</f>
        <v>0</v>
      </c>
      <c r="AT233" s="721"/>
      <c r="AU233" s="721"/>
      <c r="AV233" s="721"/>
      <c r="AW233" s="721"/>
      <c r="AX233" s="721">
        <f>AX191+AX208+AX226</f>
        <v>0</v>
      </c>
      <c r="AY233" s="721"/>
      <c r="AZ233" s="721"/>
      <c r="BA233" s="721"/>
      <c r="BB233" s="721"/>
      <c r="BC233" s="721">
        <f>BC191+BC208+BC226</f>
        <v>0</v>
      </c>
      <c r="BD233" s="721"/>
      <c r="BE233" s="721"/>
      <c r="BF233" s="721"/>
      <c r="BG233" s="721"/>
      <c r="BH233" s="721">
        <f>BH191+BH208+BH226</f>
        <v>0</v>
      </c>
      <c r="BI233" s="721"/>
      <c r="BJ233" s="721"/>
      <c r="BK233" s="721"/>
      <c r="BL233" s="721"/>
      <c r="BM233" s="722">
        <f>BM191+BM208+BM226</f>
        <v>0</v>
      </c>
    </row>
    <row r="234" spans="2:65" hidden="1" outlineLevel="1">
      <c r="B234" s="154" t="s">
        <v>293</v>
      </c>
      <c r="C234" s="120"/>
      <c r="D234" s="206">
        <f>D192+D209+D227</f>
        <v>58.591999999999999</v>
      </c>
      <c r="E234" s="206">
        <f>E192+E209+E227</f>
        <v>48.207999999999998</v>
      </c>
      <c r="F234" s="206"/>
      <c r="G234" s="206"/>
      <c r="H234" s="206"/>
      <c r="I234" s="206"/>
      <c r="J234" s="206">
        <f>J192+J209+J227</f>
        <v>89.775428571428563</v>
      </c>
      <c r="K234" s="206"/>
      <c r="L234" s="206"/>
      <c r="M234" s="206"/>
      <c r="N234" s="206"/>
      <c r="O234" s="206">
        <f>O192+O209+O227</f>
        <v>58.530373626373631</v>
      </c>
      <c r="P234" s="206"/>
      <c r="Q234" s="206"/>
      <c r="R234" s="206"/>
      <c r="S234" s="206"/>
      <c r="T234" s="206">
        <f>T192+T209+T227</f>
        <v>46.530373626373638</v>
      </c>
      <c r="U234" s="206"/>
      <c r="V234" s="206"/>
      <c r="W234" s="206"/>
      <c r="X234" s="206"/>
      <c r="Y234" s="206">
        <f>Y192+Y209+Y227</f>
        <v>40.5908131868132</v>
      </c>
      <c r="Z234" s="206"/>
      <c r="AA234" s="206"/>
      <c r="AB234" s="206"/>
      <c r="AC234" s="206"/>
      <c r="AD234" s="206">
        <f>AD192+AD209+AD227</f>
        <v>30.43681318681319</v>
      </c>
      <c r="AE234" s="206"/>
      <c r="AF234" s="206"/>
      <c r="AG234" s="206"/>
      <c r="AH234" s="206"/>
      <c r="AI234" s="206">
        <f>AI192+AI209+AI227</f>
        <v>27.43681318681319</v>
      </c>
      <c r="AJ234" s="206"/>
      <c r="AK234" s="206"/>
      <c r="AL234" s="206"/>
      <c r="AM234" s="206"/>
      <c r="AN234" s="716">
        <f>AN192+AN209+AN227</f>
        <v>24.43681318681319</v>
      </c>
      <c r="AO234" s="716"/>
      <c r="AP234" s="716"/>
      <c r="AQ234" s="716"/>
      <c r="AR234" s="716"/>
      <c r="AS234" s="716">
        <f>AS192+AS209+AS227</f>
        <v>24.43681318681319</v>
      </c>
      <c r="AT234" s="716"/>
      <c r="AU234" s="716"/>
      <c r="AV234" s="716"/>
      <c r="AW234" s="716"/>
      <c r="AX234" s="716">
        <f>AX192+AX209+AX227</f>
        <v>21.43681318681319</v>
      </c>
      <c r="AY234" s="716"/>
      <c r="AZ234" s="716"/>
      <c r="BA234" s="716"/>
      <c r="BB234" s="716"/>
      <c r="BC234" s="716">
        <f>BC192+BC209+BC227</f>
        <v>18.43681318681319</v>
      </c>
      <c r="BD234" s="716"/>
      <c r="BE234" s="716"/>
      <c r="BF234" s="716"/>
      <c r="BG234" s="716"/>
      <c r="BH234" s="716">
        <f>BH192+BH209+BH227</f>
        <v>15.68681318681319</v>
      </c>
      <c r="BI234" s="716"/>
      <c r="BJ234" s="716"/>
      <c r="BK234" s="716"/>
      <c r="BL234" s="716"/>
      <c r="BM234" s="716">
        <f>BM192+BM209+BM227</f>
        <v>15.68681318681319</v>
      </c>
    </row>
    <row r="235" spans="2:65" hidden="1" outlineLevel="1">
      <c r="B235" s="150" t="s">
        <v>320</v>
      </c>
      <c r="C235" s="8"/>
      <c r="D235" s="8"/>
      <c r="E235" s="448">
        <f>BS!E29</f>
        <v>0</v>
      </c>
      <c r="F235" s="448"/>
      <c r="G235" s="448"/>
      <c r="H235" s="448"/>
      <c r="I235" s="448"/>
      <c r="J235" s="448">
        <f>BS!F29</f>
        <v>32.36</v>
      </c>
      <c r="K235" s="448"/>
      <c r="L235" s="448"/>
      <c r="M235" s="448"/>
      <c r="N235" s="448"/>
      <c r="O235" s="448">
        <f>BS!G29</f>
        <v>40.049999999999997</v>
      </c>
      <c r="P235" s="448"/>
      <c r="Q235" s="448"/>
      <c r="R235" s="448"/>
      <c r="S235" s="448"/>
      <c r="T235" s="448">
        <f>BS!H29</f>
        <v>36.290999999999997</v>
      </c>
      <c r="U235" s="448"/>
      <c r="V235" s="448"/>
      <c r="W235" s="448"/>
      <c r="X235" s="448"/>
      <c r="Y235" s="448">
        <f>BS!I29</f>
        <v>3.3809999999999998</v>
      </c>
      <c r="Z235" s="448"/>
      <c r="AA235" s="448"/>
      <c r="AB235" s="448"/>
      <c r="AC235" s="448"/>
      <c r="AD235" s="448">
        <f>BS!J29</f>
        <v>5.0739999999999998</v>
      </c>
      <c r="AE235" s="448"/>
      <c r="AF235" s="448"/>
      <c r="AG235" s="448"/>
      <c r="AH235" s="448"/>
      <c r="AI235" s="448">
        <f>BS!K29</f>
        <v>7.1909999999999998</v>
      </c>
      <c r="AJ235" s="448"/>
      <c r="AK235" s="448"/>
      <c r="AL235" s="448"/>
      <c r="AM235" s="448"/>
      <c r="AN235" s="723"/>
      <c r="AO235" s="723"/>
      <c r="AP235" s="723"/>
      <c r="AQ235" s="723"/>
      <c r="AR235" s="723"/>
      <c r="AS235" s="723"/>
      <c r="AT235" s="723"/>
      <c r="AU235" s="723"/>
      <c r="AV235" s="723"/>
      <c r="AW235" s="723"/>
      <c r="AX235" s="723"/>
      <c r="AY235" s="723"/>
      <c r="AZ235" s="723"/>
      <c r="BA235" s="723"/>
      <c r="BB235" s="723"/>
      <c r="BC235" s="723"/>
      <c r="BD235" s="723"/>
      <c r="BE235" s="723"/>
      <c r="BF235" s="723"/>
      <c r="BG235" s="723"/>
      <c r="BH235" s="723"/>
      <c r="BI235" s="723"/>
      <c r="BJ235" s="723"/>
      <c r="BK235" s="723"/>
      <c r="BL235" s="723"/>
      <c r="BM235" s="723"/>
    </row>
    <row r="236" spans="2:65" hidden="1" outlineLevel="1">
      <c r="B236" s="150" t="s">
        <v>321</v>
      </c>
      <c r="C236" s="449"/>
      <c r="D236" s="448">
        <f>BS!D35</f>
        <v>0</v>
      </c>
      <c r="E236" s="448">
        <f>BS!E35</f>
        <v>0</v>
      </c>
      <c r="F236" s="448"/>
      <c r="G236" s="448"/>
      <c r="H236" s="448"/>
      <c r="I236" s="448"/>
      <c r="J236" s="448">
        <f>BS!F35</f>
        <v>93.641999999999996</v>
      </c>
      <c r="K236" s="448"/>
      <c r="L236" s="448"/>
      <c r="M236" s="448"/>
      <c r="N236" s="448"/>
      <c r="O236" s="448">
        <f>BS!G35</f>
        <v>62.383000000000003</v>
      </c>
      <c r="P236" s="448"/>
      <c r="Q236" s="448"/>
      <c r="R236" s="448"/>
      <c r="S236" s="448"/>
      <c r="T236" s="448">
        <f>BS!H35</f>
        <v>21.13</v>
      </c>
      <c r="U236" s="448"/>
      <c r="V236" s="448"/>
      <c r="W236" s="448"/>
      <c r="X236" s="448"/>
      <c r="Y236" s="448">
        <f>BS!I35</f>
        <v>18.024000000000001</v>
      </c>
      <c r="Z236" s="448"/>
      <c r="AA236" s="448"/>
      <c r="AB236" s="448"/>
      <c r="AC236" s="448"/>
      <c r="AD236" s="448">
        <f>BS!J35</f>
        <v>11.416</v>
      </c>
      <c r="AE236" s="448"/>
      <c r="AF236" s="448"/>
      <c r="AG236" s="448"/>
      <c r="AH236" s="448"/>
      <c r="AI236" s="448">
        <f>BS!K35</f>
        <v>8.9890000000000008</v>
      </c>
      <c r="AJ236" s="448"/>
      <c r="AK236" s="448"/>
      <c r="AL236" s="448"/>
      <c r="AM236" s="448"/>
      <c r="AN236" s="724">
        <f>BS!L35</f>
        <v>1.798</v>
      </c>
      <c r="AO236" s="724"/>
      <c r="AP236" s="724"/>
      <c r="AQ236" s="724"/>
      <c r="AR236" s="724"/>
      <c r="AS236" s="724">
        <f>BS!M35</f>
        <v>0</v>
      </c>
      <c r="AT236" s="724"/>
      <c r="AU236" s="724"/>
      <c r="AV236" s="724"/>
      <c r="AW236" s="724"/>
      <c r="AX236" s="724">
        <f>BS!N35</f>
        <v>0</v>
      </c>
      <c r="AY236" s="724"/>
      <c r="AZ236" s="724"/>
      <c r="BA236" s="724"/>
      <c r="BB236" s="724"/>
      <c r="BC236" s="724">
        <f>BS!O35</f>
        <v>18.43681318681319</v>
      </c>
      <c r="BD236" s="724"/>
      <c r="BE236" s="724"/>
      <c r="BF236" s="724"/>
      <c r="BG236" s="724"/>
      <c r="BH236" s="724">
        <f>BS!P35</f>
        <v>15.68681318681319</v>
      </c>
      <c r="BI236" s="724"/>
      <c r="BJ236" s="724"/>
      <c r="BK236" s="724"/>
      <c r="BL236" s="724"/>
      <c r="BM236" s="724">
        <f>BS!Q35</f>
        <v>15.68681318681319</v>
      </c>
    </row>
    <row r="237" spans="2:65" hidden="1" outlineLevel="1"/>
    <row r="238" spans="2:65" collapsed="1"/>
    <row r="239" spans="2:65" customFormat="1" ht="12.75" hidden="1" customHeight="1" outlineLevel="1"/>
    <row r="240" spans="2:65" collapsed="1">
      <c r="F240" s="450"/>
      <c r="G240" s="450"/>
      <c r="H240" s="450"/>
      <c r="I240" s="450"/>
      <c r="K240" s="450"/>
      <c r="L240" s="450"/>
      <c r="M240" s="450"/>
      <c r="N240" s="450"/>
      <c r="P240" s="450"/>
      <c r="Q240" s="450"/>
      <c r="R240" s="450"/>
      <c r="S240" s="450"/>
      <c r="U240" s="450"/>
      <c r="V240" s="450"/>
      <c r="W240" s="450"/>
      <c r="X240" s="450"/>
      <c r="Z240" s="450"/>
      <c r="AA240" s="450"/>
      <c r="AB240" s="450"/>
      <c r="AC240" s="450"/>
      <c r="AE240" s="450"/>
      <c r="AF240" s="450"/>
      <c r="AG240" s="450"/>
      <c r="AH240" s="450"/>
      <c r="AJ240" s="450"/>
      <c r="AK240" s="450"/>
      <c r="AL240" s="450"/>
      <c r="AM240" s="450"/>
      <c r="AO240" s="450"/>
      <c r="AP240" s="450"/>
      <c r="AQ240" s="450"/>
      <c r="AR240" s="450"/>
      <c r="AT240" s="450"/>
      <c r="AU240" s="450"/>
      <c r="AV240" s="450"/>
      <c r="AW240" s="450"/>
      <c r="AY240" s="450"/>
      <c r="AZ240" s="450"/>
      <c r="BA240" s="450"/>
      <c r="BB240" s="450"/>
      <c r="BC240" s="450"/>
      <c r="BD240" s="450"/>
      <c r="BE240" s="450"/>
      <c r="BF240" s="450"/>
      <c r="BG240" s="450"/>
      <c r="BH240" s="450"/>
      <c r="BI240" s="450"/>
      <c r="BJ240" s="450"/>
      <c r="BK240" s="450"/>
      <c r="BL240" s="450"/>
      <c r="BM240" s="450"/>
    </row>
    <row r="242" spans="5:65">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N242" s="408"/>
      <c r="AS242" s="408"/>
      <c r="AX242" s="408"/>
      <c r="BC242" s="408"/>
      <c r="BH242" s="408"/>
      <c r="BM242" s="408"/>
    </row>
    <row r="243" spans="5:65">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N243" s="408"/>
      <c r="AS243" s="408"/>
      <c r="AX243" s="408"/>
      <c r="BC243" s="408"/>
      <c r="BH243" s="408"/>
      <c r="BM243" s="408"/>
    </row>
    <row r="244" spans="5:65">
      <c r="E244" s="408"/>
      <c r="J244" s="408"/>
      <c r="O244" s="408"/>
      <c r="T244" s="408"/>
      <c r="Y244" s="408"/>
      <c r="AD244" s="408"/>
      <c r="AI244" s="408"/>
      <c r="AN244" s="408"/>
      <c r="AS244" s="408"/>
      <c r="AX244" s="408"/>
      <c r="BC244" s="408"/>
      <c r="BH244" s="408"/>
      <c r="BM244" s="408"/>
    </row>
    <row r="245" spans="5:65">
      <c r="E245" s="408"/>
      <c r="J245" s="408"/>
      <c r="O245" s="408"/>
      <c r="T245" s="408"/>
      <c r="Y245" s="408"/>
      <c r="AD245" s="408"/>
      <c r="AI245" s="408"/>
      <c r="AN245" s="408"/>
      <c r="AS245" s="408"/>
      <c r="AX245" s="408"/>
      <c r="BC245" s="408"/>
      <c r="BH245" s="408"/>
      <c r="BM245" s="408"/>
    </row>
    <row r="247" spans="5:65">
      <c r="F247" s="408"/>
      <c r="G247" s="408"/>
      <c r="H247" s="408"/>
      <c r="I247" s="408"/>
    </row>
  </sheetData>
  <phoneticPr fontId="3" type="noConversion"/>
  <pageMargins left="0" right="0" top="0" bottom="0" header="0" footer="0"/>
  <pageSetup paperSize="5" scale="82"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
  <sheetViews>
    <sheetView zoomScaleNormal="100" workbookViewId="0"/>
  </sheetViews>
  <sheetFormatPr defaultRowHeight="12.75"/>
  <sheetData>
    <row r="1" spans="1:20">
      <c r="A1" t="s">
        <v>350</v>
      </c>
    </row>
    <row r="2" spans="1:20">
      <c r="A2" s="140" t="s">
        <v>249</v>
      </c>
      <c r="B2" s="140" t="s">
        <v>353</v>
      </c>
      <c r="C2" s="140" t="s">
        <v>243</v>
      </c>
      <c r="D2" s="140" t="s">
        <v>163</v>
      </c>
      <c r="E2" s="140" t="s">
        <v>248</v>
      </c>
      <c r="F2" s="140" t="s">
        <v>353</v>
      </c>
      <c r="G2" s="140" t="s">
        <v>247</v>
      </c>
      <c r="H2" s="140" t="s">
        <v>353</v>
      </c>
      <c r="I2" s="140" t="s">
        <v>242</v>
      </c>
      <c r="J2" s="140" t="s">
        <v>245</v>
      </c>
      <c r="K2" s="140" t="s">
        <v>349</v>
      </c>
      <c r="L2" s="140" t="s">
        <v>341</v>
      </c>
      <c r="M2" s="140" t="s">
        <v>339</v>
      </c>
      <c r="N2" s="140" t="s">
        <v>342</v>
      </c>
      <c r="O2" s="140" t="s">
        <v>340</v>
      </c>
      <c r="P2" s="140" t="s">
        <v>163</v>
      </c>
      <c r="Q2" s="140" t="s">
        <v>241</v>
      </c>
      <c r="R2" s="140" t="s">
        <v>244</v>
      </c>
      <c r="S2" s="140" t="s">
        <v>338</v>
      </c>
      <c r="T2" s="140" t="s">
        <v>533</v>
      </c>
    </row>
  </sheetData>
  <phoneticPr fontId="3"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E389"/>
  <sheetViews>
    <sheetView showGridLines="0" topLeftCell="A3" zoomScale="85" zoomScaleNormal="85" zoomScaleSheetLayoutView="85" workbookViewId="0">
      <selection activeCell="B4" sqref="B4:Q50"/>
    </sheetView>
  </sheetViews>
  <sheetFormatPr defaultRowHeight="12.75" outlineLevelRow="1" outlineLevelCol="1"/>
  <cols>
    <col min="1" max="1" width="1" customWidth="1"/>
    <col min="2" max="2" width="8.7109375" customWidth="1"/>
    <col min="3" max="3" width="39.85546875" customWidth="1"/>
    <col min="4" max="4" width="11" hidden="1" customWidth="1" outlineLevel="1"/>
    <col min="5" max="5" width="10.7109375" hidden="1" customWidth="1" outlineLevel="1"/>
    <col min="6" max="6" width="8" hidden="1" customWidth="1" outlineLevel="1" collapsed="1"/>
    <col min="7" max="7" width="11.140625" hidden="1" customWidth="1" outlineLevel="1" collapsed="1"/>
    <col min="8" max="8" width="10.7109375" hidden="1" customWidth="1" outlineLevel="1"/>
    <col min="9" max="9" width="8.42578125" hidden="1" customWidth="1" outlineLevel="1"/>
    <col min="10" max="10" width="9.85546875" hidden="1" customWidth="1" outlineLevel="1"/>
    <col min="11" max="11" width="9" hidden="1" customWidth="1" outlineLevel="1"/>
    <col min="12" max="12" width="9.42578125" hidden="1" customWidth="1" outlineLevel="1"/>
    <col min="13" max="13" width="9.7109375" bestFit="1" customWidth="1" collapsed="1"/>
    <col min="14" max="16" width="8.5703125" bestFit="1" customWidth="1"/>
    <col min="17" max="17" width="8.7109375" bestFit="1" customWidth="1"/>
    <col min="18" max="18" width="3.85546875" customWidth="1"/>
    <col min="19" max="19" width="10.5703125" bestFit="1" customWidth="1"/>
    <col min="20" max="20" width="9" customWidth="1"/>
    <col min="21" max="24" width="2.7109375" customWidth="1"/>
    <col min="25" max="25" width="33.5703125" hidden="1" customWidth="1" outlineLevel="1"/>
    <col min="26" max="30" width="0" hidden="1" customWidth="1" outlineLevel="1"/>
    <col min="31" max="31" width="9.140625" collapsed="1"/>
    <col min="34" max="34" width="18.85546875" customWidth="1"/>
    <col min="40" max="40" width="2.7109375" customWidth="1"/>
    <col min="42" max="42" width="15.42578125" bestFit="1" customWidth="1"/>
  </cols>
  <sheetData>
    <row r="1" spans="1:24" ht="15.75" hidden="1">
      <c r="A1" s="11"/>
      <c r="B1" s="61"/>
      <c r="H1" s="121" t="s">
        <v>236</v>
      </c>
      <c r="I1" s="247">
        <f>DCF!$P$14</f>
        <v>15.286659658331253</v>
      </c>
      <c r="J1" s="7"/>
      <c r="K1" s="7"/>
      <c r="L1" s="7"/>
      <c r="M1" s="7"/>
      <c r="N1" s="7"/>
      <c r="O1" s="7"/>
      <c r="P1" s="7"/>
    </row>
    <row r="2" spans="1:24" ht="15.75" hidden="1">
      <c r="B2" s="61"/>
      <c r="D2" s="81"/>
      <c r="G2" s="33"/>
      <c r="H2" s="33"/>
      <c r="I2" s="33"/>
      <c r="J2" s="34"/>
      <c r="K2" s="34"/>
      <c r="L2" s="34"/>
      <c r="M2" s="34"/>
      <c r="N2" s="34"/>
      <c r="O2" s="7"/>
      <c r="P2" s="7"/>
    </row>
    <row r="3" spans="1:24" ht="13.5" thickBot="1">
      <c r="B3" s="17"/>
      <c r="D3" s="81"/>
      <c r="E3" s="81"/>
      <c r="F3" s="2"/>
      <c r="G3" s="33"/>
      <c r="H3" s="33"/>
      <c r="I3" s="33"/>
      <c r="J3" s="34"/>
      <c r="K3" s="34"/>
      <c r="L3" s="34"/>
      <c r="M3" s="34"/>
      <c r="N3" s="34"/>
      <c r="O3" s="7"/>
      <c r="P3" s="7"/>
    </row>
    <row r="4" spans="1:24">
      <c r="B4" s="725" t="s">
        <v>514</v>
      </c>
      <c r="C4" s="726"/>
      <c r="D4" s="727"/>
      <c r="E4" s="727"/>
      <c r="F4" s="727" t="s">
        <v>7</v>
      </c>
      <c r="G4" s="727" t="s">
        <v>314</v>
      </c>
      <c r="H4" s="728" t="s">
        <v>351</v>
      </c>
      <c r="I4" s="728" t="s">
        <v>393</v>
      </c>
      <c r="J4" s="728" t="s">
        <v>400</v>
      </c>
      <c r="K4" s="728" t="s">
        <v>460</v>
      </c>
      <c r="L4" s="728">
        <v>2015</v>
      </c>
      <c r="M4" s="728">
        <v>2016</v>
      </c>
      <c r="N4" s="728">
        <v>2017</v>
      </c>
      <c r="O4" s="728" t="s">
        <v>36</v>
      </c>
      <c r="P4" s="728" t="s">
        <v>359</v>
      </c>
      <c r="Q4" s="728" t="s">
        <v>360</v>
      </c>
    </row>
    <row r="5" spans="1:24">
      <c r="B5" s="620" t="s">
        <v>515</v>
      </c>
      <c r="C5" s="729"/>
      <c r="D5" s="730"/>
      <c r="E5" s="730"/>
      <c r="F5" s="730"/>
      <c r="G5" s="730"/>
      <c r="H5" s="731"/>
      <c r="I5" s="731"/>
      <c r="J5" s="731"/>
      <c r="K5" s="731"/>
      <c r="L5" s="731"/>
      <c r="M5" s="731"/>
      <c r="N5" s="731"/>
      <c r="O5" s="731"/>
      <c r="P5" s="731"/>
      <c r="Q5" s="731"/>
    </row>
    <row r="6" spans="1:24">
      <c r="A6" s="35"/>
      <c r="B6" s="62" t="s">
        <v>37</v>
      </c>
      <c r="C6" s="35"/>
      <c r="D6" s="77"/>
      <c r="E6" s="77">
        <f>CF!F65</f>
        <v>66.33</v>
      </c>
      <c r="F6" s="77">
        <v>122.306</v>
      </c>
      <c r="G6" s="235">
        <f>CF!G66</f>
        <v>44.321000000000026</v>
      </c>
      <c r="H6" s="235">
        <f>CF!H66</f>
        <v>87.282000000000039</v>
      </c>
      <c r="I6" s="236">
        <f>CF!I66</f>
        <v>136.69999999999999</v>
      </c>
      <c r="J6" s="236">
        <f>CF!J66</f>
        <v>75.490000000000009</v>
      </c>
      <c r="K6" s="236">
        <f>CF!K66</f>
        <v>74.297000000000025</v>
      </c>
      <c r="L6" s="741">
        <v>261.28699999999998</v>
      </c>
      <c r="M6" s="741">
        <v>54.003999999999998</v>
      </c>
      <c r="N6" s="741">
        <v>125.736</v>
      </c>
      <c r="O6" s="741">
        <f>CF!O66</f>
        <v>89.924622777095806</v>
      </c>
      <c r="P6" s="741">
        <f>CF!P66</f>
        <v>15.264102900396466</v>
      </c>
      <c r="Q6" s="741">
        <f>CF!Q66</f>
        <v>30.877982203819528</v>
      </c>
      <c r="R6" s="203"/>
      <c r="S6" s="203"/>
      <c r="T6" s="35"/>
      <c r="U6" s="35"/>
      <c r="V6" s="35"/>
      <c r="W6" s="35"/>
      <c r="X6" s="35"/>
    </row>
    <row r="7" spans="1:24">
      <c r="B7" s="18" t="s">
        <v>169</v>
      </c>
      <c r="C7" s="18"/>
      <c r="D7" s="77"/>
      <c r="E7" s="77"/>
      <c r="F7" s="77"/>
      <c r="G7" s="235">
        <v>203.70599999999999</v>
      </c>
      <c r="H7" s="235">
        <v>76.733999999999995</v>
      </c>
      <c r="I7" s="235">
        <v>31.527999999999999</v>
      </c>
      <c r="J7" s="504">
        <v>122.11199999999999</v>
      </c>
      <c r="K7" s="505">
        <v>174.03700000000001</v>
      </c>
      <c r="L7" s="764">
        <v>178.107</v>
      </c>
      <c r="M7" s="764">
        <v>251.21199999999999</v>
      </c>
      <c r="N7" s="764">
        <v>95.68</v>
      </c>
      <c r="O7" s="764">
        <f>N7-SUM(CF!O40:O41)</f>
        <v>5.6800000000000068</v>
      </c>
      <c r="P7" s="764">
        <f>O7-SUM(CF!P40:P41)</f>
        <v>5.6800000000000068</v>
      </c>
      <c r="Q7" s="764">
        <f>P7-SUM(CF!Q40:Q41)</f>
        <v>5.6800000000000068</v>
      </c>
      <c r="R7" s="203"/>
      <c r="S7" s="203"/>
    </row>
    <row r="8" spans="1:24">
      <c r="B8" s="18" t="s">
        <v>38</v>
      </c>
      <c r="C8" s="18"/>
      <c r="D8" s="77"/>
      <c r="E8" s="77"/>
      <c r="F8" s="77">
        <v>7.0000000000000001E-3</v>
      </c>
      <c r="G8" s="235">
        <v>1.9E-2</v>
      </c>
      <c r="H8" s="235">
        <v>7.3999999999999996E-2</v>
      </c>
      <c r="I8" s="235">
        <v>0.45700000000000002</v>
      </c>
      <c r="J8" s="504">
        <v>0.51300000000000001</v>
      </c>
      <c r="K8" s="505">
        <v>0.01</v>
      </c>
      <c r="L8" s="764">
        <v>2.8839999999999999</v>
      </c>
      <c r="M8" s="764">
        <v>0.93300000000000005</v>
      </c>
      <c r="N8" s="764">
        <v>3.19</v>
      </c>
      <c r="O8" s="764">
        <f>O62</f>
        <v>3.9047537596901387</v>
      </c>
      <c r="P8" s="764">
        <f>P62</f>
        <v>16.946781493470141</v>
      </c>
      <c r="Q8" s="764">
        <f>Q62</f>
        <v>19.413804600973748</v>
      </c>
      <c r="R8" s="203"/>
      <c r="S8" s="203"/>
    </row>
    <row r="9" spans="1:24">
      <c r="B9" s="18" t="s">
        <v>379</v>
      </c>
      <c r="C9" s="18"/>
      <c r="D9" s="77"/>
      <c r="E9" s="77"/>
      <c r="F9" s="77"/>
      <c r="G9" s="235">
        <v>0</v>
      </c>
      <c r="H9" s="235">
        <v>0</v>
      </c>
      <c r="I9" s="235">
        <v>6.6989999999999998</v>
      </c>
      <c r="J9" s="504">
        <v>22.145</v>
      </c>
      <c r="K9" s="505">
        <v>4.9539999999999997</v>
      </c>
      <c r="L9" s="764">
        <v>0</v>
      </c>
      <c r="M9" s="764">
        <v>1.081</v>
      </c>
      <c r="N9" s="764">
        <v>0.73499999999999999</v>
      </c>
      <c r="O9" s="764">
        <f>O65</f>
        <v>18.255397059958241</v>
      </c>
      <c r="P9" s="764">
        <f>P65</f>
        <v>20.33613779216417</v>
      </c>
      <c r="Q9" s="764">
        <f>Q65</f>
        <v>22.187205258255709</v>
      </c>
      <c r="R9" s="203"/>
      <c r="S9" s="203"/>
    </row>
    <row r="10" spans="1:24">
      <c r="B10" s="18" t="s">
        <v>170</v>
      </c>
      <c r="C10" s="18"/>
      <c r="D10" s="77"/>
      <c r="E10" s="77"/>
      <c r="F10" s="77">
        <v>5.2119999999999997</v>
      </c>
      <c r="G10" s="235">
        <v>2.8759999999999999</v>
      </c>
      <c r="H10" s="235">
        <v>0.57799999999999996</v>
      </c>
      <c r="I10" s="235">
        <v>1.03</v>
      </c>
      <c r="J10" s="504">
        <v>2.7</v>
      </c>
      <c r="K10" s="505">
        <v>25.829000000000001</v>
      </c>
      <c r="L10" s="764">
        <v>51.634</v>
      </c>
      <c r="M10" s="764">
        <v>63.920999999999999</v>
      </c>
      <c r="N10" s="764">
        <v>78.966999999999999</v>
      </c>
      <c r="O10" s="764">
        <f>O77</f>
        <v>79.422060863192968</v>
      </c>
      <c r="P10" s="764">
        <f>P77</f>
        <v>81.764392315718041</v>
      </c>
      <c r="Q10" s="764">
        <f>Q77</f>
        <v>79.798235954287193</v>
      </c>
      <c r="R10" s="203"/>
      <c r="S10" s="203"/>
    </row>
    <row r="11" spans="1:24">
      <c r="B11" s="18" t="s">
        <v>57</v>
      </c>
      <c r="C11" s="18"/>
      <c r="D11" s="77"/>
      <c r="E11" s="77"/>
      <c r="F11" s="77">
        <v>2.673</v>
      </c>
      <c r="G11" s="235">
        <v>5.32</v>
      </c>
      <c r="H11" s="235">
        <v>2.899</v>
      </c>
      <c r="I11" s="235">
        <v>8.0259999999999998</v>
      </c>
      <c r="J11" s="504">
        <v>6.1680000000000001</v>
      </c>
      <c r="K11" s="505">
        <v>10.603</v>
      </c>
      <c r="L11" s="764">
        <v>6.2930000000000001</v>
      </c>
      <c r="M11" s="764">
        <v>9.0299999999999994</v>
      </c>
      <c r="N11" s="764">
        <v>7.2880000000000003</v>
      </c>
      <c r="O11" s="764">
        <f>O68</f>
        <v>10.953238235974945</v>
      </c>
      <c r="P11" s="764">
        <f>P68</f>
        <v>13.557425194776112</v>
      </c>
      <c r="Q11" s="764">
        <f>Q68</f>
        <v>16.64040394369178</v>
      </c>
      <c r="R11" s="203"/>
      <c r="S11" s="203"/>
    </row>
    <row r="12" spans="1:24">
      <c r="B12" s="18" t="s">
        <v>42</v>
      </c>
      <c r="C12" s="18"/>
      <c r="D12" s="77"/>
      <c r="E12" s="77"/>
      <c r="F12" s="77"/>
      <c r="G12" s="235">
        <v>2.8330000000000002</v>
      </c>
      <c r="H12" s="235">
        <v>0</v>
      </c>
      <c r="I12" s="235">
        <v>0</v>
      </c>
      <c r="J12" s="504">
        <v>0</v>
      </c>
      <c r="K12" s="505">
        <v>0</v>
      </c>
      <c r="L12" s="764">
        <v>0</v>
      </c>
      <c r="M12" s="764">
        <f>L12</f>
        <v>0</v>
      </c>
      <c r="N12" s="764">
        <v>0</v>
      </c>
      <c r="O12" s="764">
        <f>N12</f>
        <v>0</v>
      </c>
      <c r="P12" s="764">
        <f>O12</f>
        <v>0</v>
      </c>
      <c r="Q12" s="764">
        <f>P12</f>
        <v>0</v>
      </c>
      <c r="R12" s="203"/>
      <c r="S12" s="203"/>
    </row>
    <row r="13" spans="1:24">
      <c r="B13" s="18" t="s">
        <v>323</v>
      </c>
      <c r="C13" s="18"/>
      <c r="D13" s="77"/>
      <c r="E13" s="77"/>
      <c r="F13" s="77">
        <v>1.25</v>
      </c>
      <c r="G13" s="235"/>
      <c r="H13" s="235"/>
      <c r="I13" s="235"/>
      <c r="J13" s="235"/>
      <c r="K13" s="236"/>
      <c r="L13" s="764"/>
      <c r="M13" s="764"/>
      <c r="N13" s="764"/>
      <c r="O13" s="764"/>
      <c r="P13" s="764"/>
      <c r="Q13" s="764"/>
      <c r="R13" s="203"/>
      <c r="S13" s="203"/>
    </row>
    <row r="14" spans="1:24">
      <c r="B14" s="793" t="s">
        <v>39</v>
      </c>
      <c r="C14" s="148"/>
      <c r="D14" s="794"/>
      <c r="E14" s="794"/>
      <c r="F14" s="794">
        <f t="shared" ref="F14:O14" si="0">SUM(F6:F13)</f>
        <v>131.44800000000001</v>
      </c>
      <c r="G14" s="795">
        <f t="shared" si="0"/>
        <v>259.07500000000005</v>
      </c>
      <c r="H14" s="795">
        <f t="shared" si="0"/>
        <v>167.56700000000004</v>
      </c>
      <c r="I14" s="795">
        <f t="shared" si="0"/>
        <v>184.44</v>
      </c>
      <c r="J14" s="796">
        <f t="shared" si="0"/>
        <v>229.12800000000001</v>
      </c>
      <c r="K14" s="797">
        <f>SUM(K6:K13)</f>
        <v>289.73</v>
      </c>
      <c r="L14" s="798">
        <f t="shared" si="0"/>
        <v>500.20500000000004</v>
      </c>
      <c r="M14" s="798">
        <f t="shared" si="0"/>
        <v>380.18099999999998</v>
      </c>
      <c r="N14" s="798">
        <f t="shared" si="0"/>
        <v>311.596</v>
      </c>
      <c r="O14" s="798">
        <f t="shared" si="0"/>
        <v>208.1400726959121</v>
      </c>
      <c r="P14" s="798">
        <f>SUM(P6:P13)</f>
        <v>153.54883969652491</v>
      </c>
      <c r="Q14" s="798">
        <f>SUM(Q6:Q13)</f>
        <v>174.59763196102799</v>
      </c>
      <c r="R14" s="203"/>
      <c r="S14" s="203"/>
    </row>
    <row r="15" spans="1:24">
      <c r="B15" s="18"/>
      <c r="C15" s="18"/>
      <c r="D15" s="176"/>
      <c r="E15" s="177"/>
      <c r="F15" s="69"/>
      <c r="G15" s="246"/>
      <c r="H15" s="246"/>
      <c r="I15" s="246"/>
      <c r="J15" s="246"/>
      <c r="K15" s="238"/>
      <c r="L15" s="764"/>
      <c r="M15" s="764"/>
      <c r="N15" s="764"/>
      <c r="O15" s="764"/>
      <c r="P15" s="764"/>
      <c r="Q15" s="764"/>
      <c r="R15" s="203"/>
      <c r="S15" s="203"/>
    </row>
    <row r="16" spans="1:24">
      <c r="B16" s="18" t="s">
        <v>42</v>
      </c>
      <c r="C16" s="18"/>
      <c r="D16" s="177"/>
      <c r="E16" s="177"/>
      <c r="F16" s="77">
        <v>8.1319999999999997</v>
      </c>
      <c r="G16" s="235">
        <v>7.6470000000000002</v>
      </c>
      <c r="H16" s="235">
        <v>7.6470000000000002</v>
      </c>
      <c r="I16" s="235">
        <v>7.6470000000000002</v>
      </c>
      <c r="J16" s="504">
        <v>8.1470000000000002</v>
      </c>
      <c r="K16" s="505">
        <v>8.1470000000000002</v>
      </c>
      <c r="L16" s="764">
        <v>8.7469999999999999</v>
      </c>
      <c r="M16" s="764">
        <v>8.2469999999999999</v>
      </c>
      <c r="N16" s="764">
        <v>7.056</v>
      </c>
      <c r="O16" s="764">
        <f>N16</f>
        <v>7.056</v>
      </c>
      <c r="P16" s="764">
        <f>O16</f>
        <v>7.056</v>
      </c>
      <c r="Q16" s="764">
        <f>P16</f>
        <v>7.056</v>
      </c>
      <c r="R16" s="203"/>
      <c r="S16" s="203"/>
    </row>
    <row r="17" spans="2:19">
      <c r="B17" s="18" t="s">
        <v>40</v>
      </c>
      <c r="C17" s="18"/>
      <c r="D17" s="177"/>
      <c r="E17" s="177"/>
      <c r="F17" s="77">
        <v>21.754000000000001</v>
      </c>
      <c r="G17" s="235">
        <v>34.369</v>
      </c>
      <c r="H17" s="235">
        <v>33.625</v>
      </c>
      <c r="I17" s="235">
        <v>37.536999999999999</v>
      </c>
      <c r="J17" s="504">
        <v>37.375999999999998</v>
      </c>
      <c r="K17" s="505">
        <v>29.826000000000001</v>
      </c>
      <c r="L17" s="764">
        <v>21.074999999999999</v>
      </c>
      <c r="M17" s="764">
        <v>20.512</v>
      </c>
      <c r="N17" s="764">
        <v>17.274000000000001</v>
      </c>
      <c r="O17" s="764">
        <f>O126</f>
        <v>17.991614902384413</v>
      </c>
      <c r="P17" s="764">
        <f>P126</f>
        <v>19.842802213090664</v>
      </c>
      <c r="Q17" s="764">
        <f>Q126</f>
        <v>23.009735181132172</v>
      </c>
      <c r="R17" s="203"/>
      <c r="S17" s="203"/>
    </row>
    <row r="18" spans="2:19">
      <c r="B18" s="18" t="s">
        <v>41</v>
      </c>
      <c r="C18" s="18"/>
      <c r="D18" s="177"/>
      <c r="E18" s="177"/>
      <c r="F18" s="77">
        <v>2.1000000000000001E-2</v>
      </c>
      <c r="G18" s="235">
        <v>0.27400000000000002</v>
      </c>
      <c r="H18" s="235">
        <v>0.13800000000000001</v>
      </c>
      <c r="I18" s="235">
        <v>0.28299999999999997</v>
      </c>
      <c r="J18" s="504">
        <v>4.3109999999999999</v>
      </c>
      <c r="K18" s="505">
        <v>5.81</v>
      </c>
      <c r="L18" s="764">
        <v>2.6280000000000001</v>
      </c>
      <c r="M18" s="764">
        <f>166.119+0.785+1.456</f>
        <v>168.35999999999999</v>
      </c>
      <c r="N18" s="764">
        <f>0.87+0.785+159.905</f>
        <v>161.56</v>
      </c>
      <c r="O18" s="764">
        <f>O71</f>
        <v>164.29857353962419</v>
      </c>
      <c r="P18" s="764">
        <f>P71</f>
        <v>167.2082440689054</v>
      </c>
      <c r="Q18" s="764">
        <f>Q71</f>
        <v>171.95084075148173</v>
      </c>
      <c r="R18" s="203"/>
      <c r="S18" s="203"/>
    </row>
    <row r="19" spans="2:19">
      <c r="B19" s="4" t="s">
        <v>482</v>
      </c>
      <c r="C19" s="18"/>
      <c r="D19" s="177"/>
      <c r="E19" s="177"/>
      <c r="F19" s="77"/>
      <c r="G19" s="235"/>
      <c r="H19" s="235">
        <v>0</v>
      </c>
      <c r="I19" s="235">
        <v>0</v>
      </c>
      <c r="J19" s="504">
        <v>0</v>
      </c>
      <c r="K19" s="505">
        <v>0</v>
      </c>
      <c r="L19" s="764">
        <v>86.465999999999994</v>
      </c>
      <c r="M19" s="764">
        <v>132.52099999999999</v>
      </c>
      <c r="N19" s="764">
        <v>108.188</v>
      </c>
      <c r="O19" s="764">
        <f>N19</f>
        <v>108.188</v>
      </c>
      <c r="P19" s="764">
        <f>O19</f>
        <v>108.188</v>
      </c>
      <c r="Q19" s="764">
        <f>P19</f>
        <v>108.188</v>
      </c>
      <c r="R19" s="203"/>
      <c r="S19" s="203"/>
    </row>
    <row r="20" spans="2:19" hidden="1">
      <c r="B20" s="18" t="s">
        <v>322</v>
      </c>
      <c r="C20" s="18"/>
      <c r="D20" s="177"/>
      <c r="E20" s="177"/>
      <c r="F20" s="77">
        <v>1.0960000000000001</v>
      </c>
      <c r="G20" s="235"/>
      <c r="H20" s="235"/>
      <c r="I20" s="235"/>
      <c r="J20" s="235"/>
      <c r="K20" s="236"/>
      <c r="L20" s="764"/>
      <c r="M20" s="764"/>
      <c r="N20" s="764"/>
      <c r="O20" s="764"/>
      <c r="P20" s="764"/>
      <c r="Q20" s="764"/>
      <c r="R20" s="203"/>
      <c r="S20" s="203"/>
    </row>
    <row r="21" spans="2:19">
      <c r="B21" s="36" t="s">
        <v>43</v>
      </c>
      <c r="C21" s="37"/>
      <c r="D21" s="178"/>
      <c r="E21" s="178"/>
      <c r="F21" s="178">
        <f t="shared" ref="F21:O21" si="1">SUM(F14:F20)</f>
        <v>162.45099999999999</v>
      </c>
      <c r="G21" s="237">
        <f t="shared" si="1"/>
        <v>301.36500000000001</v>
      </c>
      <c r="H21" s="237">
        <f t="shared" si="1"/>
        <v>208.97700000000003</v>
      </c>
      <c r="I21" s="237">
        <f t="shared" si="1"/>
        <v>229.90699999999998</v>
      </c>
      <c r="J21" s="237">
        <f>SUM(J14:J20)</f>
        <v>278.96199999999999</v>
      </c>
      <c r="K21" s="363">
        <f>SUM(K14:K20)</f>
        <v>333.51300000000003</v>
      </c>
      <c r="L21" s="765">
        <f t="shared" si="1"/>
        <v>619.12100000000009</v>
      </c>
      <c r="M21" s="765">
        <f t="shared" si="1"/>
        <v>709.82099999999991</v>
      </c>
      <c r="N21" s="765">
        <f t="shared" si="1"/>
        <v>605.67399999999998</v>
      </c>
      <c r="O21" s="765">
        <f t="shared" si="1"/>
        <v>505.67426113792067</v>
      </c>
      <c r="P21" s="765">
        <f>SUM(P14:P20)</f>
        <v>455.84388597852097</v>
      </c>
      <c r="Q21" s="791">
        <f>SUM(Q14:Q20)</f>
        <v>484.80220789364188</v>
      </c>
      <c r="R21" s="203"/>
      <c r="S21" s="203"/>
    </row>
    <row r="22" spans="2:19" ht="6" customHeight="1">
      <c r="B22" s="18"/>
      <c r="C22" s="18"/>
      <c r="D22" s="176"/>
      <c r="E22" s="176"/>
      <c r="F22" s="69"/>
      <c r="G22" s="246"/>
      <c r="H22" s="246"/>
      <c r="I22" s="246"/>
      <c r="J22" s="246"/>
      <c r="K22" s="238"/>
      <c r="L22" s="764"/>
      <c r="M22" s="764"/>
      <c r="N22" s="764"/>
      <c r="O22" s="764"/>
      <c r="P22" s="764"/>
      <c r="Q22" s="764"/>
      <c r="R22" s="203"/>
      <c r="S22" s="203"/>
    </row>
    <row r="23" spans="2:19">
      <c r="B23" s="12" t="s">
        <v>44</v>
      </c>
      <c r="C23" s="18"/>
      <c r="D23" s="177"/>
      <c r="E23" s="177"/>
      <c r="F23" s="77">
        <v>4.7539999999999996</v>
      </c>
      <c r="G23" s="235">
        <v>4.3019999999999996</v>
      </c>
      <c r="H23" s="235">
        <v>6.4359999999999999</v>
      </c>
      <c r="I23" s="235">
        <f>14.217+7.509</f>
        <v>21.725999999999999</v>
      </c>
      <c r="J23" s="504">
        <f>10.139+0.048</f>
        <v>10.186999999999999</v>
      </c>
      <c r="K23" s="505">
        <f>9.754+0.008</f>
        <v>9.7619999999999987</v>
      </c>
      <c r="L23" s="764">
        <f>8.586+0.003</f>
        <v>8.5890000000000004</v>
      </c>
      <c r="M23" s="764">
        <f>17.702+0.001</f>
        <v>17.703000000000003</v>
      </c>
      <c r="N23" s="764">
        <v>15.958</v>
      </c>
      <c r="O23" s="764">
        <f>O74</f>
        <v>17.949088208284106</v>
      </c>
      <c r="P23" s="764">
        <f>P74</f>
        <v>18.478446341244553</v>
      </c>
      <c r="Q23" s="764">
        <f>Q74</f>
        <v>18.034102369569094</v>
      </c>
      <c r="R23" s="203"/>
      <c r="S23" s="203"/>
    </row>
    <row r="24" spans="2:19">
      <c r="B24" s="12" t="s">
        <v>171</v>
      </c>
      <c r="C24" s="18"/>
      <c r="D24" s="177"/>
      <c r="E24" s="177"/>
      <c r="F24" s="77">
        <v>12.401</v>
      </c>
      <c r="G24" s="235">
        <v>8.14</v>
      </c>
      <c r="H24" s="235">
        <v>7.01</v>
      </c>
      <c r="I24" s="235">
        <v>5.6639999999999997</v>
      </c>
      <c r="J24" s="504">
        <v>3.4119999999999999</v>
      </c>
      <c r="K24" s="505">
        <v>3.5739999999999998</v>
      </c>
      <c r="L24" s="764">
        <f>4.245</f>
        <v>4.2450000000000001</v>
      </c>
      <c r="M24" s="764">
        <v>6.9370000000000003</v>
      </c>
      <c r="N24" s="764">
        <v>7.3129999999999997</v>
      </c>
      <c r="O24" s="764">
        <f>O86</f>
        <v>8.0629690491403441</v>
      </c>
      <c r="P24" s="764">
        <f>P86</f>
        <v>7.8182117618058857</v>
      </c>
      <c r="Q24" s="764">
        <f>Q86</f>
        <v>7.5864657344643129</v>
      </c>
      <c r="R24" s="203"/>
      <c r="S24" s="203"/>
    </row>
    <row r="25" spans="2:19">
      <c r="B25" s="12" t="s">
        <v>45</v>
      </c>
      <c r="C25" s="18"/>
      <c r="D25" s="177"/>
      <c r="E25" s="177"/>
      <c r="F25" s="77">
        <v>4.2990000000000004</v>
      </c>
      <c r="G25" s="235">
        <v>8.9380000000000006</v>
      </c>
      <c r="H25" s="235">
        <v>11.122</v>
      </c>
      <c r="I25" s="235">
        <v>21.170999999999999</v>
      </c>
      <c r="J25" s="504">
        <v>18.437999999999999</v>
      </c>
      <c r="K25" s="505">
        <v>22.611999999999998</v>
      </c>
      <c r="L25" s="764">
        <v>23.300999999999998</v>
      </c>
      <c r="M25" s="764">
        <v>38.301000000000002</v>
      </c>
      <c r="N25" s="764">
        <v>38.237000000000002</v>
      </c>
      <c r="O25" s="764">
        <f>O80</f>
        <v>43.007850972562935</v>
      </c>
      <c r="P25" s="764">
        <f>P80</f>
        <v>44.27624719577441</v>
      </c>
      <c r="Q25" s="764">
        <f>Q80</f>
        <v>43.211553597268669</v>
      </c>
      <c r="R25" s="203"/>
      <c r="S25" s="203"/>
    </row>
    <row r="26" spans="2:19">
      <c r="B26" s="12" t="s">
        <v>172</v>
      </c>
      <c r="C26" s="14"/>
      <c r="D26" s="177"/>
      <c r="E26" s="177"/>
      <c r="F26" s="97">
        <v>0.93600000000000005</v>
      </c>
      <c r="G26" s="236"/>
      <c r="H26" s="236">
        <v>0</v>
      </c>
      <c r="I26" s="236">
        <v>0</v>
      </c>
      <c r="J26" s="505">
        <v>0</v>
      </c>
      <c r="K26" s="505">
        <v>11.257999999999999</v>
      </c>
      <c r="L26" s="741">
        <v>24.963999999999999</v>
      </c>
      <c r="M26" s="741">
        <v>0</v>
      </c>
      <c r="N26" s="741">
        <f>IS!AX151</f>
        <v>0</v>
      </c>
      <c r="O26" s="741">
        <f>IS!BC151</f>
        <v>40.612560228472375</v>
      </c>
      <c r="P26" s="741">
        <f>IS!BH151</f>
        <v>73.013458751101723</v>
      </c>
      <c r="Q26" s="741">
        <f>IS!BM151</f>
        <v>36.373981020425902</v>
      </c>
      <c r="R26" s="203"/>
      <c r="S26" s="203"/>
    </row>
    <row r="27" spans="2:19">
      <c r="B27" s="12" t="s">
        <v>173</v>
      </c>
      <c r="C27" s="18"/>
      <c r="D27" s="177"/>
      <c r="E27" s="177"/>
      <c r="F27" s="77">
        <v>0.14299999999999999</v>
      </c>
      <c r="G27" s="236">
        <v>0.19700000000000001</v>
      </c>
      <c r="H27" s="236">
        <v>0.23300000000000001</v>
      </c>
      <c r="I27" s="236">
        <v>0.26100000000000001</v>
      </c>
      <c r="J27" s="505">
        <v>1.139</v>
      </c>
      <c r="K27" s="505">
        <v>1.1519999999999999</v>
      </c>
      <c r="L27" s="741">
        <v>2.6309999999999998</v>
      </c>
      <c r="M27" s="741">
        <v>6.2270000000000003</v>
      </c>
      <c r="N27" s="741">
        <v>4.077</v>
      </c>
      <c r="O27" s="741">
        <f>O89</f>
        <v>4.5856894739424918</v>
      </c>
      <c r="P27" s="741">
        <f>P89</f>
        <v>4.720931553656726</v>
      </c>
      <c r="Q27" s="741">
        <f>Q89</f>
        <v>4.607409159088431</v>
      </c>
      <c r="R27" s="203"/>
      <c r="S27" s="203"/>
    </row>
    <row r="28" spans="2:19">
      <c r="B28" s="12" t="s">
        <v>47</v>
      </c>
      <c r="C28" s="18"/>
      <c r="D28" s="177"/>
      <c r="E28" s="177"/>
      <c r="F28" s="77">
        <v>0.18</v>
      </c>
      <c r="G28" s="236">
        <v>2.7989999999999999</v>
      </c>
      <c r="H28" s="236">
        <v>4.0419999999999998</v>
      </c>
      <c r="I28" s="236">
        <v>2.7349999999999999</v>
      </c>
      <c r="J28" s="505">
        <v>2.79</v>
      </c>
      <c r="K28" s="505">
        <v>4.992</v>
      </c>
      <c r="L28" s="741">
        <v>5.5439999999999996</v>
      </c>
      <c r="M28" s="741">
        <v>7.7190000000000003</v>
      </c>
      <c r="N28" s="741">
        <v>0.19500000000000001</v>
      </c>
      <c r="O28" s="741">
        <f>O95</f>
        <v>0.21933025445641061</v>
      </c>
      <c r="P28" s="741">
        <f>P95</f>
        <v>0.2257987865987397</v>
      </c>
      <c r="Q28" s="741">
        <f>Q95</f>
        <v>0.22036909149429584</v>
      </c>
      <c r="R28" s="203"/>
      <c r="S28" s="203"/>
    </row>
    <row r="29" spans="2:19">
      <c r="B29" s="12" t="s">
        <v>46</v>
      </c>
      <c r="C29" s="18"/>
      <c r="D29" s="177"/>
      <c r="E29" s="177"/>
      <c r="F29" s="77">
        <v>32.36</v>
      </c>
      <c r="G29" s="236">
        <v>40.049999999999997</v>
      </c>
      <c r="H29" s="236">
        <v>36.290999999999997</v>
      </c>
      <c r="I29" s="236">
        <v>3.3809999999999998</v>
      </c>
      <c r="J29" s="505">
        <v>5.0739999999999998</v>
      </c>
      <c r="K29" s="505">
        <v>7.1909999999999998</v>
      </c>
      <c r="L29" s="741">
        <v>7.1909999999999998</v>
      </c>
      <c r="M29" s="741">
        <v>0</v>
      </c>
      <c r="N29" s="741">
        <f>IS!AX233</f>
        <v>0</v>
      </c>
      <c r="O29" s="741">
        <f>IS!BC233</f>
        <v>0</v>
      </c>
      <c r="P29" s="741">
        <f>IS!BH233</f>
        <v>0</v>
      </c>
      <c r="Q29" s="741">
        <f>IS!BM233</f>
        <v>0</v>
      </c>
      <c r="R29" s="203"/>
      <c r="S29" s="203"/>
    </row>
    <row r="30" spans="2:19">
      <c r="B30" s="12" t="s">
        <v>531</v>
      </c>
      <c r="C30" s="18"/>
      <c r="D30" s="177"/>
      <c r="E30" s="177"/>
      <c r="F30" s="77">
        <v>1.3640000000000001</v>
      </c>
      <c r="G30" s="236"/>
      <c r="H30" s="236"/>
      <c r="I30" s="236"/>
      <c r="J30" s="236"/>
      <c r="K30" s="236"/>
      <c r="L30" s="741"/>
      <c r="M30" s="741">
        <v>14.244</v>
      </c>
      <c r="N30" s="741">
        <v>0.247</v>
      </c>
      <c r="O30" s="741">
        <f>N30</f>
        <v>0.247</v>
      </c>
      <c r="P30" s="741">
        <f t="shared" ref="P30:Q30" si="2">O30</f>
        <v>0.247</v>
      </c>
      <c r="Q30" s="741">
        <f t="shared" si="2"/>
        <v>0.247</v>
      </c>
      <c r="R30" s="203"/>
      <c r="S30" s="203"/>
    </row>
    <row r="31" spans="2:19">
      <c r="B31" s="793" t="s">
        <v>48</v>
      </c>
      <c r="C31" s="148"/>
      <c r="D31" s="794"/>
      <c r="E31" s="794"/>
      <c r="F31" s="794">
        <f t="shared" ref="F31:Q31" si="3">SUM(F23:F30)</f>
        <v>56.436999999999998</v>
      </c>
      <c r="G31" s="795">
        <f t="shared" si="3"/>
        <v>64.426000000000002</v>
      </c>
      <c r="H31" s="795">
        <f t="shared" si="3"/>
        <v>65.133999999999986</v>
      </c>
      <c r="I31" s="795">
        <f t="shared" si="3"/>
        <v>54.938000000000002</v>
      </c>
      <c r="J31" s="796">
        <f t="shared" si="3"/>
        <v>41.04</v>
      </c>
      <c r="K31" s="797">
        <f t="shared" si="3"/>
        <v>60.54099999999999</v>
      </c>
      <c r="L31" s="798">
        <f t="shared" si="3"/>
        <v>76.465000000000003</v>
      </c>
      <c r="M31" s="798">
        <f t="shared" si="3"/>
        <v>91.131</v>
      </c>
      <c r="N31" s="798">
        <f t="shared" si="3"/>
        <v>66.027000000000001</v>
      </c>
      <c r="O31" s="798">
        <f t="shared" si="3"/>
        <v>114.68448818685866</v>
      </c>
      <c r="P31" s="798">
        <f t="shared" si="3"/>
        <v>148.78009439018206</v>
      </c>
      <c r="Q31" s="798">
        <f t="shared" si="3"/>
        <v>110.2808809723107</v>
      </c>
      <c r="R31" s="203"/>
      <c r="S31" s="203"/>
    </row>
    <row r="32" spans="2:19">
      <c r="B32" s="15"/>
      <c r="C32" s="18"/>
      <c r="D32" s="176"/>
      <c r="E32" s="176"/>
      <c r="F32" s="69"/>
      <c r="G32" s="246"/>
      <c r="H32" s="246"/>
      <c r="I32" s="246"/>
      <c r="J32" s="246"/>
      <c r="K32" s="238"/>
      <c r="L32" s="764"/>
      <c r="M32" s="764"/>
      <c r="N32" s="764"/>
      <c r="O32" s="764"/>
      <c r="P32" s="764"/>
      <c r="Q32" s="764"/>
      <c r="R32" s="203"/>
      <c r="S32" s="203"/>
    </row>
    <row r="33" spans="2:19">
      <c r="B33" s="20" t="s">
        <v>174</v>
      </c>
      <c r="C33" s="18"/>
      <c r="D33" s="177"/>
      <c r="E33" s="177"/>
      <c r="F33" s="77">
        <v>0.112</v>
      </c>
      <c r="G33" s="236">
        <v>0.39300000000000002</v>
      </c>
      <c r="H33" s="236">
        <v>0.42199999999999999</v>
      </c>
      <c r="I33" s="236">
        <v>0.308</v>
      </c>
      <c r="J33" s="505">
        <v>3.1339999999999999</v>
      </c>
      <c r="K33" s="505">
        <v>2.5710000000000002</v>
      </c>
      <c r="L33" s="741">
        <v>0.30599999999999999</v>
      </c>
      <c r="M33" s="741">
        <v>8.2000000000000003E-2</v>
      </c>
      <c r="N33" s="741">
        <v>0</v>
      </c>
      <c r="O33" s="741">
        <f>O92</f>
        <v>0</v>
      </c>
      <c r="P33" s="741">
        <f>P92</f>
        <v>0</v>
      </c>
      <c r="Q33" s="741">
        <f>Q92</f>
        <v>0</v>
      </c>
      <c r="R33" s="203"/>
      <c r="S33" s="203"/>
    </row>
    <row r="34" spans="2:19">
      <c r="B34" s="20" t="s">
        <v>47</v>
      </c>
      <c r="C34" s="18"/>
      <c r="D34" s="177"/>
      <c r="E34" s="177"/>
      <c r="F34" s="77">
        <v>10.486000000000001</v>
      </c>
      <c r="G34" s="236">
        <v>14.612</v>
      </c>
      <c r="H34" s="236">
        <v>12.435</v>
      </c>
      <c r="I34" s="236">
        <v>11.593</v>
      </c>
      <c r="J34" s="505">
        <v>8.8219999999999992</v>
      </c>
      <c r="K34" s="505">
        <v>10.522</v>
      </c>
      <c r="L34" s="741">
        <v>6.3949999999999996</v>
      </c>
      <c r="M34" s="741">
        <v>0.55700000000000005</v>
      </c>
      <c r="N34" s="741">
        <v>5.4489999999999998</v>
      </c>
      <c r="O34" s="741">
        <f>O98</f>
        <v>6.1288746488870833</v>
      </c>
      <c r="P34" s="741">
        <f>P98</f>
        <v>6.3096286573155504</v>
      </c>
      <c r="Q34" s="741">
        <f>Q98</f>
        <v>6.1579034848841943</v>
      </c>
      <c r="R34" s="203"/>
      <c r="S34" s="203"/>
    </row>
    <row r="35" spans="2:19">
      <c r="B35" s="20" t="s">
        <v>46</v>
      </c>
      <c r="C35" s="18"/>
      <c r="D35" s="177"/>
      <c r="E35" s="177"/>
      <c r="F35" s="77">
        <v>93.641999999999996</v>
      </c>
      <c r="G35" s="236">
        <v>62.383000000000003</v>
      </c>
      <c r="H35" s="236">
        <v>21.13</v>
      </c>
      <c r="I35" s="236">
        <v>18.024000000000001</v>
      </c>
      <c r="J35" s="505">
        <v>11.416</v>
      </c>
      <c r="K35" s="505">
        <v>8.9890000000000008</v>
      </c>
      <c r="L35" s="741">
        <v>1.798</v>
      </c>
      <c r="M35" s="741">
        <v>0</v>
      </c>
      <c r="N35" s="741">
        <v>0</v>
      </c>
      <c r="O35" s="741">
        <f>IS!BC234</f>
        <v>18.43681318681319</v>
      </c>
      <c r="P35" s="741">
        <f>IS!BH234</f>
        <v>15.68681318681319</v>
      </c>
      <c r="Q35" s="741">
        <f>IS!BM234</f>
        <v>15.68681318681319</v>
      </c>
      <c r="R35" s="203"/>
      <c r="S35" s="203"/>
    </row>
    <row r="36" spans="2:19">
      <c r="B36" s="12" t="s">
        <v>324</v>
      </c>
      <c r="C36" s="18"/>
      <c r="D36" s="177"/>
      <c r="E36" s="177"/>
      <c r="F36" s="77">
        <v>0.93700000000000006</v>
      </c>
      <c r="G36" s="236">
        <v>0</v>
      </c>
      <c r="H36" s="236">
        <v>0</v>
      </c>
      <c r="I36" s="236">
        <v>0</v>
      </c>
      <c r="J36" s="505">
        <v>0</v>
      </c>
      <c r="K36" s="505">
        <v>0</v>
      </c>
      <c r="L36" s="741">
        <v>0</v>
      </c>
      <c r="M36" s="741">
        <v>0</v>
      </c>
      <c r="N36" s="741">
        <v>0</v>
      </c>
      <c r="O36" s="741">
        <f t="shared" ref="O36:Q36" si="4">N36</f>
        <v>0</v>
      </c>
      <c r="P36" s="741">
        <f t="shared" si="4"/>
        <v>0</v>
      </c>
      <c r="Q36" s="741">
        <f t="shared" si="4"/>
        <v>0</v>
      </c>
      <c r="R36" s="203"/>
      <c r="S36" s="203"/>
    </row>
    <row r="37" spans="2:19">
      <c r="B37" s="12" t="s">
        <v>483</v>
      </c>
      <c r="C37" s="18"/>
      <c r="D37" s="177"/>
      <c r="E37" s="177"/>
      <c r="F37" s="77"/>
      <c r="G37" s="236"/>
      <c r="H37" s="236">
        <v>0</v>
      </c>
      <c r="I37" s="236">
        <v>0</v>
      </c>
      <c r="J37" s="505">
        <v>0</v>
      </c>
      <c r="K37" s="505">
        <v>0</v>
      </c>
      <c r="L37" s="741">
        <v>75.328000000000003</v>
      </c>
      <c r="M37" s="741">
        <v>113.23699999999999</v>
      </c>
      <c r="N37" s="741">
        <v>92.188000000000002</v>
      </c>
      <c r="O37" s="741">
        <f>N37+CF!O61</f>
        <v>73.888000000000005</v>
      </c>
      <c r="P37" s="741">
        <f>O37+CF!P61</f>
        <v>73.888000000000005</v>
      </c>
      <c r="Q37" s="741">
        <f>P37+CF!Q61</f>
        <v>73.888000000000005</v>
      </c>
      <c r="R37" s="203"/>
      <c r="S37" s="203"/>
    </row>
    <row r="38" spans="2:19">
      <c r="B38" s="20" t="s">
        <v>405</v>
      </c>
      <c r="C38" s="14"/>
      <c r="D38" s="177"/>
      <c r="E38" s="177"/>
      <c r="F38" s="77">
        <v>0.82699999999999996</v>
      </c>
      <c r="G38" s="236">
        <v>0</v>
      </c>
      <c r="H38" s="236">
        <v>0</v>
      </c>
      <c r="I38" s="236">
        <v>0</v>
      </c>
      <c r="J38" s="505">
        <v>174.672</v>
      </c>
      <c r="K38" s="505">
        <v>162.33799999999999</v>
      </c>
      <c r="L38" s="741">
        <f>132.964+220.62</f>
        <v>353.584</v>
      </c>
      <c r="M38" s="741">
        <f>234.243+132.249</f>
        <v>366.49199999999996</v>
      </c>
      <c r="N38" s="741">
        <f>249.193+146.898</f>
        <v>396.09100000000001</v>
      </c>
      <c r="O38" s="741">
        <f>IS!BC159</f>
        <v>330.00743977152763</v>
      </c>
      <c r="P38" s="741">
        <f>IS!BH159</f>
        <v>256.99398102042591</v>
      </c>
      <c r="Q38" s="741">
        <f>IS!BM159</f>
        <v>220.62</v>
      </c>
      <c r="R38" s="203"/>
      <c r="S38" s="203"/>
    </row>
    <row r="39" spans="2:19">
      <c r="B39" s="12" t="s">
        <v>387</v>
      </c>
      <c r="C39" s="18"/>
      <c r="D39" s="177"/>
      <c r="E39" s="177"/>
      <c r="F39" s="77">
        <v>0</v>
      </c>
      <c r="G39" s="236">
        <v>0</v>
      </c>
      <c r="H39" s="236">
        <v>0</v>
      </c>
      <c r="I39" s="236">
        <v>0.99199999999999999</v>
      </c>
      <c r="J39" s="505">
        <v>1.653</v>
      </c>
      <c r="K39" s="505">
        <v>0</v>
      </c>
      <c r="L39" s="741">
        <v>10.119999999999999</v>
      </c>
      <c r="M39" s="741">
        <f>8.19+63.416</f>
        <v>71.605999999999995</v>
      </c>
      <c r="N39" s="741">
        <f>5.06+31.011</f>
        <v>36.070999999999998</v>
      </c>
      <c r="O39" s="741">
        <f>O83</f>
        <v>37.620976198354562</v>
      </c>
      <c r="P39" s="741">
        <f>P83</f>
        <v>38.730501623234858</v>
      </c>
      <c r="Q39" s="741">
        <f>Q83</f>
        <v>37.799164399399196</v>
      </c>
      <c r="R39" s="203"/>
      <c r="S39" s="203"/>
    </row>
    <row r="40" spans="2:19">
      <c r="B40" s="36" t="s">
        <v>49</v>
      </c>
      <c r="C40" s="37"/>
      <c r="D40" s="178"/>
      <c r="E40" s="178"/>
      <c r="F40" s="178">
        <f>SUM(F31:F36)</f>
        <v>161.614</v>
      </c>
      <c r="G40" s="237">
        <f t="shared" ref="G40:Q40" si="5">SUM(G31:G39)</f>
        <v>141.81399999999999</v>
      </c>
      <c r="H40" s="237">
        <f t="shared" si="5"/>
        <v>99.120999999999981</v>
      </c>
      <c r="I40" s="237">
        <f t="shared" si="5"/>
        <v>85.855000000000004</v>
      </c>
      <c r="J40" s="237">
        <f t="shared" si="5"/>
        <v>240.73699999999999</v>
      </c>
      <c r="K40" s="363">
        <f t="shared" si="5"/>
        <v>244.96099999999998</v>
      </c>
      <c r="L40" s="765">
        <f t="shared" si="5"/>
        <v>523.99599999999998</v>
      </c>
      <c r="M40" s="1066">
        <f t="shared" si="5"/>
        <v>643.10500000000002</v>
      </c>
      <c r="N40" s="765">
        <f t="shared" si="5"/>
        <v>595.82600000000002</v>
      </c>
      <c r="O40" s="765">
        <f t="shared" si="5"/>
        <v>580.76659199244114</v>
      </c>
      <c r="P40" s="765">
        <f t="shared" si="5"/>
        <v>540.38901887797158</v>
      </c>
      <c r="Q40" s="791">
        <f t="shared" si="5"/>
        <v>464.43276204340731</v>
      </c>
      <c r="R40" s="203"/>
      <c r="S40" s="203"/>
    </row>
    <row r="41" spans="2:19">
      <c r="B41" s="18"/>
      <c r="C41" s="18"/>
      <c r="D41" s="176"/>
      <c r="E41" s="176"/>
      <c r="F41" s="69"/>
      <c r="G41" s="246"/>
      <c r="H41" s="246"/>
      <c r="I41" s="246"/>
      <c r="J41" s="246"/>
      <c r="K41" s="238"/>
      <c r="L41" s="764"/>
      <c r="M41" s="764"/>
      <c r="N41" s="764"/>
      <c r="O41" s="764"/>
      <c r="P41" s="764"/>
      <c r="Q41" s="764"/>
      <c r="R41" s="203"/>
      <c r="S41" s="203"/>
    </row>
    <row r="42" spans="2:19">
      <c r="B42" s="18" t="s">
        <v>50</v>
      </c>
      <c r="C42" s="18"/>
      <c r="D42" s="177"/>
      <c r="E42" s="177"/>
      <c r="F42" s="77">
        <v>298.35000000000002</v>
      </c>
      <c r="G42" s="235">
        <v>0</v>
      </c>
      <c r="H42" s="235">
        <v>0</v>
      </c>
      <c r="I42" s="235">
        <v>0</v>
      </c>
      <c r="J42" s="504">
        <v>0</v>
      </c>
      <c r="K42" s="505">
        <v>0</v>
      </c>
      <c r="L42" s="764">
        <v>0</v>
      </c>
      <c r="M42" s="764">
        <v>0</v>
      </c>
      <c r="N42" s="764">
        <v>0</v>
      </c>
      <c r="O42" s="764">
        <v>0</v>
      </c>
      <c r="P42" s="764">
        <v>0</v>
      </c>
      <c r="Q42" s="764">
        <v>0</v>
      </c>
      <c r="R42" s="203"/>
      <c r="S42" s="203"/>
    </row>
    <row r="43" spans="2:19">
      <c r="B43" s="18" t="s">
        <v>51</v>
      </c>
      <c r="C43" s="18"/>
      <c r="D43" s="177"/>
      <c r="E43" s="177"/>
      <c r="F43" s="77">
        <v>8.0000000000000002E-3</v>
      </c>
      <c r="G43" s="235">
        <f>0.048+0.051</f>
        <v>9.9000000000000005E-2</v>
      </c>
      <c r="H43" s="235">
        <f>0.062+0.039</f>
        <v>0.10100000000000001</v>
      </c>
      <c r="I43" s="235">
        <f>0.078+0.03</f>
        <v>0.108</v>
      </c>
      <c r="J43" s="504">
        <f>0.103+0.018</f>
        <v>0.121</v>
      </c>
      <c r="K43" s="505">
        <f>0.125+0.016</f>
        <v>0.14100000000000001</v>
      </c>
      <c r="L43" s="764">
        <f>0.127+0.016</f>
        <v>0.14300000000000002</v>
      </c>
      <c r="M43" s="764">
        <f>0.133+0.015</f>
        <v>0.14800000000000002</v>
      </c>
      <c r="N43" s="764">
        <f>0.137+0.014</f>
        <v>0.15100000000000002</v>
      </c>
      <c r="O43" s="764">
        <f>N43</f>
        <v>0.15100000000000002</v>
      </c>
      <c r="P43" s="764">
        <f>O43</f>
        <v>0.15100000000000002</v>
      </c>
      <c r="Q43" s="764">
        <f>P43</f>
        <v>0.15100000000000002</v>
      </c>
      <c r="R43" s="203"/>
      <c r="S43" s="203"/>
    </row>
    <row r="44" spans="2:19">
      <c r="B44" s="18" t="s">
        <v>52</v>
      </c>
      <c r="C44" s="18"/>
      <c r="D44" s="177"/>
      <c r="E44" s="177"/>
      <c r="F44" s="77">
        <v>12.999000000000001</v>
      </c>
      <c r="G44" s="235">
        <v>526.99099999999999</v>
      </c>
      <c r="H44" s="235">
        <v>542.14099999999996</v>
      </c>
      <c r="I44" s="235">
        <v>648.95500000000004</v>
      </c>
      <c r="J44" s="504">
        <v>815.93</v>
      </c>
      <c r="K44" s="505">
        <v>1055.876</v>
      </c>
      <c r="L44" s="764">
        <v>1205.183</v>
      </c>
      <c r="M44" s="764">
        <v>1258.3979999999999</v>
      </c>
      <c r="N44" s="764">
        <v>1318.5360000000001</v>
      </c>
      <c r="O44" s="764">
        <f>+N44+O153</f>
        <v>1351.8295745946989</v>
      </c>
      <c r="P44" s="764">
        <f>+O44+P153</f>
        <v>1386.1325063153968</v>
      </c>
      <c r="Q44" s="764">
        <f>+P44+Q153</f>
        <v>1421.6886691575692</v>
      </c>
      <c r="R44" s="203"/>
      <c r="S44" s="203"/>
    </row>
    <row r="45" spans="2:19">
      <c r="B45" s="18" t="s">
        <v>54</v>
      </c>
      <c r="C45" s="18"/>
      <c r="D45" s="177"/>
      <c r="E45" s="177"/>
      <c r="F45" s="77">
        <v>-314.55900000000003</v>
      </c>
      <c r="G45" s="235">
        <v>-367.54</v>
      </c>
      <c r="H45" s="235">
        <v>-432.392</v>
      </c>
      <c r="I45" s="235">
        <v>-505.01600000000002</v>
      </c>
      <c r="J45" s="504">
        <v>-777.82799999999997</v>
      </c>
      <c r="K45" s="505">
        <v>-967.44600000000003</v>
      </c>
      <c r="L45" s="764">
        <v>-1110.115</v>
      </c>
      <c r="M45" s="764">
        <v>-1191.8230000000001</v>
      </c>
      <c r="N45" s="764">
        <v>-1308.76</v>
      </c>
      <c r="O45" s="764">
        <f>N45+CF!O6</f>
        <v>-1426.9939054492193</v>
      </c>
      <c r="P45" s="764">
        <f>O45+CF!P6</f>
        <v>-1470.7496392148473</v>
      </c>
      <c r="Q45" s="764">
        <f>P45+CF!Q6</f>
        <v>-1401.3912233073345</v>
      </c>
      <c r="R45" s="203"/>
      <c r="S45" s="203"/>
    </row>
    <row r="46" spans="2:19">
      <c r="B46" s="18" t="s">
        <v>53</v>
      </c>
      <c r="C46" s="18"/>
      <c r="D46" s="177"/>
      <c r="E46" s="177"/>
      <c r="F46" s="77"/>
      <c r="G46" s="235">
        <v>1E-3</v>
      </c>
      <c r="H46" s="235">
        <v>6.0000000000000001E-3</v>
      </c>
      <c r="I46" s="235">
        <v>5.0000000000000001E-3</v>
      </c>
      <c r="J46" s="504">
        <v>2E-3</v>
      </c>
      <c r="K46" s="505">
        <v>-1.9E-2</v>
      </c>
      <c r="L46" s="764">
        <f>-0.086</f>
        <v>-8.5999999999999993E-2</v>
      </c>
      <c r="M46" s="764">
        <v>-7.0000000000000001E-3</v>
      </c>
      <c r="N46" s="764">
        <v>-7.9000000000000001E-2</v>
      </c>
      <c r="O46" s="764">
        <f>N46</f>
        <v>-7.9000000000000001E-2</v>
      </c>
      <c r="P46" s="764">
        <f>O46</f>
        <v>-7.9000000000000001E-2</v>
      </c>
      <c r="Q46" s="764">
        <f>P46</f>
        <v>-7.9000000000000001E-2</v>
      </c>
      <c r="R46" s="203"/>
      <c r="S46" s="203"/>
    </row>
    <row r="47" spans="2:19" hidden="1">
      <c r="B47" s="18" t="s">
        <v>175</v>
      </c>
      <c r="C47" s="18"/>
      <c r="D47" s="177"/>
      <c r="E47" s="177"/>
      <c r="F47" s="77">
        <v>3.2120000000000002</v>
      </c>
      <c r="G47" s="236"/>
      <c r="H47" s="236"/>
      <c r="I47" s="236"/>
      <c r="J47" s="236"/>
      <c r="K47" s="236"/>
      <c r="L47" s="741"/>
      <c r="M47" s="741"/>
      <c r="N47" s="741"/>
      <c r="O47" s="741"/>
      <c r="P47" s="741"/>
      <c r="Q47" s="741"/>
      <c r="R47" s="203"/>
      <c r="S47" s="203"/>
    </row>
    <row r="48" spans="2:19">
      <c r="B48" s="36" t="s">
        <v>56</v>
      </c>
      <c r="C48" s="37"/>
      <c r="D48" s="178"/>
      <c r="E48" s="178"/>
      <c r="F48" s="178">
        <f t="shared" ref="F48:O48" si="6">SUM(F42:F47)</f>
        <v>1.0000000000002007E-2</v>
      </c>
      <c r="G48" s="237">
        <f t="shared" si="6"/>
        <v>159.55100000000002</v>
      </c>
      <c r="H48" s="237">
        <f t="shared" si="6"/>
        <v>109.85599999999997</v>
      </c>
      <c r="I48" s="237">
        <f t="shared" si="6"/>
        <v>144.05199999999996</v>
      </c>
      <c r="J48" s="237">
        <f t="shared" si="6"/>
        <v>38.224999999999959</v>
      </c>
      <c r="K48" s="363">
        <f t="shared" si="6"/>
        <v>88.552000000000021</v>
      </c>
      <c r="L48" s="765">
        <f t="shared" si="6"/>
        <v>95.125000000000014</v>
      </c>
      <c r="M48" s="765">
        <f t="shared" si="6"/>
        <v>66.715999999999724</v>
      </c>
      <c r="N48" s="765">
        <f t="shared" si="6"/>
        <v>9.848000000000134</v>
      </c>
      <c r="O48" s="765">
        <f t="shared" si="6"/>
        <v>-75.092330854520284</v>
      </c>
      <c r="P48" s="765">
        <f>SUM(P42:P47)</f>
        <v>-84.545132899450479</v>
      </c>
      <c r="Q48" s="791">
        <f>SUM(Q42:Q47)</f>
        <v>20.369445850234747</v>
      </c>
      <c r="R48" s="203"/>
      <c r="S48" s="203"/>
    </row>
    <row r="49" spans="1:24">
      <c r="B49" s="18"/>
      <c r="C49" s="14"/>
      <c r="D49" s="181"/>
      <c r="E49" s="181"/>
      <c r="F49" s="70"/>
      <c r="G49" s="238"/>
      <c r="H49" s="238"/>
      <c r="I49" s="238"/>
      <c r="J49" s="238"/>
      <c r="K49" s="238"/>
      <c r="L49" s="741"/>
      <c r="M49" s="741"/>
      <c r="N49" s="741"/>
      <c r="O49" s="741"/>
      <c r="P49" s="741"/>
      <c r="Q49" s="741"/>
      <c r="R49" s="203"/>
      <c r="S49" s="203"/>
    </row>
    <row r="50" spans="1:24" ht="13.5" thickBot="1">
      <c r="B50" s="799" t="s">
        <v>55</v>
      </c>
      <c r="C50" s="800"/>
      <c r="D50" s="801"/>
      <c r="E50" s="801"/>
      <c r="F50" s="801">
        <f t="shared" ref="F50:O50" si="7">SUM(F40,F48)</f>
        <v>161.624</v>
      </c>
      <c r="G50" s="802">
        <f t="shared" si="7"/>
        <v>301.36500000000001</v>
      </c>
      <c r="H50" s="802">
        <f t="shared" si="7"/>
        <v>208.97699999999995</v>
      </c>
      <c r="I50" s="802">
        <f t="shared" si="7"/>
        <v>229.90699999999998</v>
      </c>
      <c r="J50" s="802">
        <f t="shared" si="7"/>
        <v>278.96199999999993</v>
      </c>
      <c r="K50" s="803">
        <f t="shared" si="7"/>
        <v>333.51300000000003</v>
      </c>
      <c r="L50" s="804">
        <f t="shared" si="7"/>
        <v>619.12099999999998</v>
      </c>
      <c r="M50" s="804">
        <f t="shared" si="7"/>
        <v>709.82099999999969</v>
      </c>
      <c r="N50" s="804">
        <f t="shared" si="7"/>
        <v>605.67400000000021</v>
      </c>
      <c r="O50" s="804">
        <f t="shared" si="7"/>
        <v>505.67426113792084</v>
      </c>
      <c r="P50" s="804">
        <f>SUM(P40,P48)</f>
        <v>455.84388597852109</v>
      </c>
      <c r="Q50" s="805">
        <f>SUM(Q40,Q48)</f>
        <v>484.80220789364205</v>
      </c>
      <c r="R50" s="203"/>
      <c r="S50" s="203"/>
    </row>
    <row r="51" spans="1:24" ht="13.5" thickTop="1">
      <c r="B51" s="40"/>
      <c r="C51" s="40"/>
      <c r="D51" s="182"/>
      <c r="E51" s="182"/>
      <c r="F51" s="41"/>
      <c r="G51" s="41"/>
      <c r="H51" s="41"/>
      <c r="I51" s="41"/>
      <c r="J51" s="41"/>
      <c r="K51" s="41"/>
      <c r="L51" s="523"/>
      <c r="M51" s="41"/>
      <c r="N51" s="41"/>
      <c r="O51" s="41"/>
      <c r="P51" s="41"/>
      <c r="Q51" s="41"/>
      <c r="R51" s="203"/>
      <c r="S51" s="203"/>
    </row>
    <row r="52" spans="1:24">
      <c r="B52" s="71" t="s">
        <v>59</v>
      </c>
      <c r="C52" s="513"/>
      <c r="D52" s="514"/>
      <c r="E52" s="514"/>
      <c r="F52" s="515">
        <f t="shared" ref="F52:Q52" si="8">F21-F50</f>
        <v>0.82699999999999818</v>
      </c>
      <c r="G52" s="515">
        <f t="shared" si="8"/>
        <v>0</v>
      </c>
      <c r="H52" s="515">
        <f t="shared" si="8"/>
        <v>0</v>
      </c>
      <c r="I52" s="515">
        <f t="shared" si="8"/>
        <v>0</v>
      </c>
      <c r="J52" s="515">
        <f t="shared" si="8"/>
        <v>0</v>
      </c>
      <c r="K52" s="515">
        <f t="shared" si="8"/>
        <v>0</v>
      </c>
      <c r="L52" s="515">
        <f t="shared" si="8"/>
        <v>0</v>
      </c>
      <c r="M52" s="1065">
        <f t="shared" si="8"/>
        <v>0</v>
      </c>
      <c r="N52" s="515">
        <f t="shared" si="8"/>
        <v>0</v>
      </c>
      <c r="O52" s="515">
        <f t="shared" si="8"/>
        <v>0</v>
      </c>
      <c r="P52" s="515">
        <f t="shared" si="8"/>
        <v>0</v>
      </c>
      <c r="Q52" s="515">
        <f t="shared" si="8"/>
        <v>0</v>
      </c>
      <c r="R52" s="203"/>
      <c r="S52" s="203"/>
    </row>
    <row r="53" spans="1:24">
      <c r="B53" s="71"/>
      <c r="C53" s="6"/>
      <c r="D53" s="183"/>
      <c r="E53" s="183"/>
      <c r="F53" s="122"/>
      <c r="G53" s="122"/>
      <c r="H53" s="122"/>
      <c r="I53" s="205"/>
      <c r="J53" s="205"/>
      <c r="K53" s="205"/>
      <c r="L53" s="205"/>
      <c r="M53" s="205"/>
      <c r="N53" s="205"/>
      <c r="O53" s="205"/>
      <c r="P53" s="205"/>
      <c r="Q53" s="205"/>
      <c r="R53" s="203"/>
      <c r="S53" s="203"/>
    </row>
    <row r="54" spans="1:24" outlineLevel="1">
      <c r="B54" s="287"/>
      <c r="C54" s="43"/>
      <c r="D54" s="43"/>
      <c r="E54" s="43"/>
      <c r="F54" s="288"/>
      <c r="G54" s="215"/>
      <c r="H54" s="215"/>
      <c r="I54" s="215"/>
      <c r="J54" s="215"/>
      <c r="K54" s="215"/>
      <c r="L54" s="215"/>
      <c r="M54" s="215"/>
      <c r="N54" s="215"/>
      <c r="O54" s="215"/>
      <c r="P54" s="215"/>
      <c r="Q54" s="215"/>
    </row>
    <row r="55" spans="1:24" outlineLevel="1">
      <c r="A55" s="8"/>
      <c r="B55" s="289" t="s">
        <v>310</v>
      </c>
      <c r="C55" s="13"/>
      <c r="D55" s="290"/>
      <c r="E55" s="290"/>
      <c r="F55" s="290">
        <f>IS!J6</f>
        <v>0</v>
      </c>
      <c r="G55" s="291">
        <f>IS!O6</f>
        <v>0</v>
      </c>
      <c r="H55" s="291">
        <f>IS!T6</f>
        <v>0</v>
      </c>
      <c r="I55" s="291">
        <f>IS!Y6</f>
        <v>19.2</v>
      </c>
      <c r="J55" s="291">
        <f>IS!AD6</f>
        <v>118.753</v>
      </c>
      <c r="K55" s="291">
        <f>IS!AI6</f>
        <v>296.98</v>
      </c>
      <c r="L55" s="291">
        <f>IS!AN6</f>
        <v>454.76900000000001</v>
      </c>
      <c r="M55" s="291">
        <f>IS!AS6</f>
        <v>625.55499999999995</v>
      </c>
      <c r="N55" s="291">
        <f>IS!AX6</f>
        <v>701.00502762530516</v>
      </c>
      <c r="O55" s="291">
        <f>IS!BC6</f>
        <v>816.44046568380122</v>
      </c>
      <c r="P55" s="291">
        <f>IS!BH6</f>
        <v>945.33440406173122</v>
      </c>
      <c r="Q55" s="292">
        <f>IS!BM6</f>
        <v>1095.6620910928955</v>
      </c>
      <c r="R55" s="42"/>
      <c r="S55" s="8"/>
      <c r="T55" s="8"/>
      <c r="U55" s="8"/>
      <c r="V55" s="8"/>
      <c r="W55" s="8"/>
      <c r="X55" s="8"/>
    </row>
    <row r="56" spans="1:24" outlineLevel="1">
      <c r="A56" s="8"/>
      <c r="B56" s="64" t="s">
        <v>153</v>
      </c>
      <c r="C56" s="12"/>
      <c r="D56" s="82"/>
      <c r="E56" s="82"/>
      <c r="F56" s="82">
        <f>IS!J29</f>
        <v>34.320999999999998</v>
      </c>
      <c r="G56" s="82">
        <f>IS!O29</f>
        <v>43.856999999999999</v>
      </c>
      <c r="H56" s="82">
        <f>IS!T29</f>
        <v>65.871000000000009</v>
      </c>
      <c r="I56" s="82">
        <f>IS!Y29</f>
        <v>150.24499999999998</v>
      </c>
      <c r="J56" s="82">
        <f>IS!AD29</f>
        <v>22.881</v>
      </c>
      <c r="K56" s="82">
        <f>IS!AI29</f>
        <v>76.435999999999993</v>
      </c>
      <c r="L56" s="82">
        <f>IS!AN29</f>
        <v>161.64100000000002</v>
      </c>
      <c r="M56" s="82">
        <f>IS!AS29</f>
        <v>273.95699999999999</v>
      </c>
      <c r="N56" s="82">
        <f>IS!AX29</f>
        <v>298.27600000000001</v>
      </c>
      <c r="O56" s="82">
        <f>IS!BC29</f>
        <v>365.10794119916483</v>
      </c>
      <c r="P56" s="82">
        <f>IS!BH29</f>
        <v>451.91417315920376</v>
      </c>
      <c r="Q56" s="293">
        <f>IS!BM29</f>
        <v>554.6801314563927</v>
      </c>
      <c r="R56" s="42"/>
      <c r="S56" s="8"/>
      <c r="T56" s="8"/>
      <c r="U56" s="8"/>
      <c r="V56" s="8"/>
      <c r="W56" s="8"/>
      <c r="X56" s="8"/>
    </row>
    <row r="57" spans="1:24" outlineLevel="1">
      <c r="A57" s="8"/>
      <c r="B57" s="64" t="s">
        <v>95</v>
      </c>
      <c r="C57" s="12"/>
      <c r="D57" s="82"/>
      <c r="E57" s="82"/>
      <c r="F57" s="82">
        <f>IS!J50</f>
        <v>95.137</v>
      </c>
      <c r="G57" s="82">
        <f>IS!O50</f>
        <v>104.62299999999999</v>
      </c>
      <c r="H57" s="82">
        <f>IS!T50</f>
        <v>120.28100000000001</v>
      </c>
      <c r="I57" s="82">
        <f>IS!Y50</f>
        <v>205.43400000000003</v>
      </c>
      <c r="J57" s="82">
        <f>IS!AD50</f>
        <v>255.054</v>
      </c>
      <c r="K57" s="82">
        <f>IS!AI50</f>
        <v>219.62199999999996</v>
      </c>
      <c r="L57" s="82">
        <f>IS!AN50</f>
        <v>226.17399999999998</v>
      </c>
      <c r="M57" s="82">
        <f>IS!AS50</f>
        <v>285.78999999999996</v>
      </c>
      <c r="N57" s="82">
        <f>IS!AX50</f>
        <v>371.64099999999996</v>
      </c>
      <c r="O57" s="82">
        <f>IS!BC50</f>
        <v>418.01084664838402</v>
      </c>
      <c r="P57" s="82">
        <f>IS!BH50</f>
        <v>430.3389069248318</v>
      </c>
      <c r="Q57" s="293">
        <f>IS!BM50</f>
        <v>419.99071554887996</v>
      </c>
      <c r="R57" s="42"/>
      <c r="S57" s="8"/>
      <c r="T57" s="8"/>
      <c r="U57" s="8"/>
      <c r="V57" s="8"/>
      <c r="W57" s="8"/>
      <c r="X57" s="8"/>
    </row>
    <row r="58" spans="1:24" outlineLevel="1">
      <c r="A58" s="8"/>
      <c r="B58" s="64" t="s">
        <v>96</v>
      </c>
      <c r="C58" s="12"/>
      <c r="D58" s="82"/>
      <c r="E58" s="82"/>
      <c r="F58" s="82">
        <f>IS!J36</f>
        <v>76.099999999999994</v>
      </c>
      <c r="G58" s="82">
        <f>IS!O36</f>
        <v>77.453999999999994</v>
      </c>
      <c r="H58" s="82">
        <f>IS!T36</f>
        <v>80.022000000000006</v>
      </c>
      <c r="I58" s="82">
        <f>IS!Y36</f>
        <v>104.39400000000001</v>
      </c>
      <c r="J58" s="82">
        <f>IS!AD36</f>
        <v>93.199999999999989</v>
      </c>
      <c r="K58" s="82">
        <f>IS!AI36</f>
        <v>92.407999999999987</v>
      </c>
      <c r="L58" s="82">
        <f>IS!AN36</f>
        <v>98.680999999999983</v>
      </c>
      <c r="M58" s="82">
        <f>IS!AS36</f>
        <v>128.148</v>
      </c>
      <c r="N58" s="82">
        <f>IS!AX36</f>
        <v>137.72799999999998</v>
      </c>
      <c r="O58" s="82">
        <f>IS!BC36</f>
        <v>151.85240000000016</v>
      </c>
      <c r="P58" s="82">
        <f>IS!BH36</f>
        <v>147.24281000000013</v>
      </c>
      <c r="Q58" s="293">
        <f>IS!BM36</f>
        <v>142.87826510000011</v>
      </c>
      <c r="R58" s="8"/>
      <c r="S58" s="8"/>
      <c r="T58" s="8"/>
      <c r="U58" s="8"/>
      <c r="V58" s="8"/>
      <c r="W58" s="8"/>
      <c r="X58" s="8"/>
    </row>
    <row r="59" spans="1:24" outlineLevel="1">
      <c r="A59" s="8"/>
      <c r="B59" s="65" t="s">
        <v>97</v>
      </c>
      <c r="C59" s="43"/>
      <c r="D59" s="83"/>
      <c r="E59" s="83"/>
      <c r="F59" s="83">
        <f>IS!J32</f>
        <v>0</v>
      </c>
      <c r="G59" s="83">
        <f>IS!O32</f>
        <v>0</v>
      </c>
      <c r="H59" s="83">
        <f>IS!T32</f>
        <v>0</v>
      </c>
      <c r="I59" s="83">
        <f>IS!Y32</f>
        <v>0.96499999999999997</v>
      </c>
      <c r="J59" s="83">
        <f>IS!AD32</f>
        <v>7.2030000000000003</v>
      </c>
      <c r="K59" s="83">
        <f>IS!AI32</f>
        <v>25.582999999999998</v>
      </c>
      <c r="L59" s="83">
        <f>IS!AN32</f>
        <v>8.1620000000000008</v>
      </c>
      <c r="M59" s="83">
        <f>IS!AS32</f>
        <v>2.2360000000000002</v>
      </c>
      <c r="N59" s="83">
        <f>IS!AX32</f>
        <v>19.405999999999999</v>
      </c>
      <c r="O59" s="83">
        <f>IS!BC32</f>
        <v>20.52345464838384</v>
      </c>
      <c r="P59" s="83">
        <f>IS!BH32</f>
        <v>24.352236834831672</v>
      </c>
      <c r="Q59" s="294">
        <f>IS!BM32</f>
        <v>29.026283032079867</v>
      </c>
      <c r="R59" s="42"/>
      <c r="S59" s="8"/>
      <c r="T59" s="42"/>
      <c r="U59" s="8"/>
      <c r="V59" s="8"/>
      <c r="W59" s="8"/>
      <c r="X59" s="8"/>
    </row>
    <row r="60" spans="1:24" ht="5.25" customHeight="1" outlineLevel="1">
      <c r="A60" s="8"/>
      <c r="B60" s="66"/>
      <c r="C60" s="12"/>
      <c r="D60" s="12"/>
      <c r="E60" s="12"/>
      <c r="F60" s="12"/>
      <c r="G60" s="44"/>
      <c r="H60" s="44"/>
      <c r="I60" s="44"/>
      <c r="J60" s="44"/>
      <c r="K60" s="44"/>
      <c r="L60" s="44"/>
      <c r="M60" s="44"/>
      <c r="N60" s="44"/>
      <c r="O60" s="44"/>
      <c r="P60" s="44"/>
      <c r="Q60" s="44"/>
      <c r="R60" s="8"/>
      <c r="S60" s="8"/>
      <c r="T60" s="8"/>
      <c r="U60" s="8"/>
      <c r="V60" s="8"/>
      <c r="W60" s="8"/>
      <c r="X60" s="8"/>
    </row>
    <row r="61" spans="1:24" outlineLevel="1">
      <c r="A61" s="8"/>
      <c r="B61" s="15" t="s">
        <v>98</v>
      </c>
      <c r="C61" s="12"/>
      <c r="D61" s="12"/>
      <c r="E61" s="12"/>
      <c r="F61" s="12"/>
      <c r="G61" s="44"/>
      <c r="H61" s="44"/>
      <c r="I61" s="44"/>
      <c r="J61" s="44"/>
      <c r="K61" s="44"/>
      <c r="L61" s="44"/>
      <c r="M61" s="44"/>
      <c r="N61" s="44"/>
      <c r="O61" s="44"/>
      <c r="P61" s="44"/>
      <c r="Q61" s="44"/>
      <c r="R61" s="8"/>
      <c r="S61" s="8"/>
      <c r="T61" s="8"/>
      <c r="U61" s="8"/>
      <c r="V61" s="8"/>
      <c r="W61" s="8"/>
      <c r="X61" s="8"/>
    </row>
    <row r="62" spans="1:24" outlineLevel="1">
      <c r="A62" s="8"/>
      <c r="B62" s="259" t="s">
        <v>38</v>
      </c>
      <c r="C62" s="160"/>
      <c r="D62" s="260"/>
      <c r="E62" s="260"/>
      <c r="F62" s="260"/>
      <c r="G62" s="260">
        <f t="shared" ref="G62:N62" si="9">G8</f>
        <v>1.9E-2</v>
      </c>
      <c r="H62" s="264">
        <f t="shared" si="9"/>
        <v>7.3999999999999996E-2</v>
      </c>
      <c r="I62" s="264">
        <f t="shared" si="9"/>
        <v>0.45700000000000002</v>
      </c>
      <c r="J62" s="264">
        <f t="shared" si="9"/>
        <v>0.51300000000000001</v>
      </c>
      <c r="K62" s="264">
        <f t="shared" si="9"/>
        <v>0.01</v>
      </c>
      <c r="L62" s="264">
        <f t="shared" si="9"/>
        <v>2.8839999999999999</v>
      </c>
      <c r="M62" s="264">
        <f t="shared" si="9"/>
        <v>0.93300000000000005</v>
      </c>
      <c r="N62" s="264">
        <f t="shared" si="9"/>
        <v>3.19</v>
      </c>
      <c r="O62" s="264">
        <f>+O63*O56</f>
        <v>3.9047537596901387</v>
      </c>
      <c r="P62" s="264">
        <f>+P63*P56</f>
        <v>16.946781493470141</v>
      </c>
      <c r="Q62" s="265">
        <f>+Q63*Q56</f>
        <v>19.413804600973748</v>
      </c>
      <c r="R62" s="8"/>
      <c r="S62" s="8"/>
      <c r="T62" s="8"/>
      <c r="U62" s="8"/>
      <c r="V62" s="8"/>
      <c r="W62" s="8"/>
      <c r="X62" s="8"/>
    </row>
    <row r="63" spans="1:24" outlineLevel="1">
      <c r="A63" s="8"/>
      <c r="B63" s="261" t="s">
        <v>99</v>
      </c>
      <c r="C63" s="20"/>
      <c r="D63" s="256"/>
      <c r="E63" s="256"/>
      <c r="F63" s="256"/>
      <c r="G63" s="256">
        <f t="shared" ref="G63:N63" si="10">G62/G56</f>
        <v>4.3322616686047839E-4</v>
      </c>
      <c r="H63" s="194">
        <f t="shared" si="10"/>
        <v>1.1234078729638231E-3</v>
      </c>
      <c r="I63" s="194">
        <f t="shared" si="10"/>
        <v>3.0416985590202674E-3</v>
      </c>
      <c r="J63" s="194">
        <f t="shared" si="10"/>
        <v>2.2420348760980726E-2</v>
      </c>
      <c r="K63" s="194">
        <f t="shared" si="10"/>
        <v>1.3082840546339424E-4</v>
      </c>
      <c r="L63" s="194">
        <f t="shared" si="10"/>
        <v>1.7842007906409881E-2</v>
      </c>
      <c r="M63" s="194">
        <f t="shared" si="10"/>
        <v>3.405643951423034E-3</v>
      </c>
      <c r="N63" s="194">
        <f t="shared" si="10"/>
        <v>1.0694792742292373E-2</v>
      </c>
      <c r="O63" s="210">
        <f>N63</f>
        <v>1.0694792742292373E-2</v>
      </c>
      <c r="P63" s="210">
        <v>3.7499999999999999E-2</v>
      </c>
      <c r="Q63" s="266">
        <v>3.5000000000000003E-2</v>
      </c>
      <c r="R63" s="8"/>
      <c r="S63" s="8"/>
      <c r="T63" s="8"/>
      <c r="U63" s="8"/>
      <c r="V63" s="8"/>
      <c r="W63" s="8"/>
      <c r="X63" s="8"/>
    </row>
    <row r="64" spans="1:24" ht="6.75" customHeight="1" outlineLevel="1">
      <c r="A64" s="8"/>
      <c r="B64" s="228"/>
      <c r="C64" s="20"/>
      <c r="D64" s="255"/>
      <c r="E64" s="255"/>
      <c r="F64" s="255"/>
      <c r="G64" s="255"/>
      <c r="H64" s="267"/>
      <c r="I64" s="267"/>
      <c r="J64" s="267"/>
      <c r="K64" s="267"/>
      <c r="L64" s="267"/>
      <c r="M64" s="267"/>
      <c r="N64" s="267"/>
      <c r="O64" s="267"/>
      <c r="P64" s="267"/>
      <c r="Q64" s="268"/>
      <c r="R64" s="8"/>
      <c r="S64" s="8"/>
      <c r="T64" s="8"/>
      <c r="U64" s="8"/>
      <c r="V64" s="8"/>
      <c r="W64" s="8"/>
      <c r="X64" s="8"/>
    </row>
    <row r="65" spans="1:24" outlineLevel="1">
      <c r="A65" s="8"/>
      <c r="B65" s="261" t="s">
        <v>379</v>
      </c>
      <c r="C65" s="20"/>
      <c r="D65" s="255"/>
      <c r="E65" s="255"/>
      <c r="F65" s="255"/>
      <c r="G65" s="255">
        <f t="shared" ref="G65:N65" si="11">G9</f>
        <v>0</v>
      </c>
      <c r="H65" s="267">
        <f t="shared" si="11"/>
        <v>0</v>
      </c>
      <c r="I65" s="267">
        <f t="shared" si="11"/>
        <v>6.6989999999999998</v>
      </c>
      <c r="J65" s="267">
        <f t="shared" si="11"/>
        <v>22.145</v>
      </c>
      <c r="K65" s="267">
        <f t="shared" si="11"/>
        <v>4.9539999999999997</v>
      </c>
      <c r="L65" s="267">
        <f t="shared" si="11"/>
        <v>0</v>
      </c>
      <c r="M65" s="267">
        <f t="shared" si="11"/>
        <v>1.081</v>
      </c>
      <c r="N65" s="267">
        <f t="shared" si="11"/>
        <v>0.73499999999999999</v>
      </c>
      <c r="O65" s="267">
        <f>O66*O56</f>
        <v>18.255397059958241</v>
      </c>
      <c r="P65" s="267">
        <f>P66*P56</f>
        <v>20.33613779216417</v>
      </c>
      <c r="Q65" s="268">
        <f>Q66*Q56</f>
        <v>22.187205258255709</v>
      </c>
      <c r="R65" s="8"/>
      <c r="S65" s="8"/>
      <c r="T65" s="8"/>
      <c r="U65" s="8"/>
      <c r="V65" s="8"/>
      <c r="W65" s="8"/>
      <c r="X65" s="8"/>
    </row>
    <row r="66" spans="1:24" outlineLevel="1">
      <c r="A66" s="8"/>
      <c r="B66" s="261" t="s">
        <v>99</v>
      </c>
      <c r="C66" s="20"/>
      <c r="D66" s="255"/>
      <c r="E66" s="255"/>
      <c r="F66" s="255"/>
      <c r="G66" s="256">
        <f t="shared" ref="G66:N66" si="12">G65/G56</f>
        <v>0</v>
      </c>
      <c r="H66" s="216">
        <f t="shared" si="12"/>
        <v>0</v>
      </c>
      <c r="I66" s="216">
        <f t="shared" si="12"/>
        <v>4.4587174282006065E-2</v>
      </c>
      <c r="J66" s="216">
        <f t="shared" si="12"/>
        <v>0.96783357370744283</v>
      </c>
      <c r="K66" s="216">
        <f t="shared" si="12"/>
        <v>6.48123920665655E-2</v>
      </c>
      <c r="L66" s="216">
        <f t="shared" si="12"/>
        <v>0</v>
      </c>
      <c r="M66" s="216">
        <f t="shared" si="12"/>
        <v>3.9458747175651655E-3</v>
      </c>
      <c r="N66" s="216">
        <f t="shared" si="12"/>
        <v>2.4641607102147004E-3</v>
      </c>
      <c r="O66" s="213">
        <v>0.05</v>
      </c>
      <c r="P66" s="213">
        <v>4.4999999999999998E-2</v>
      </c>
      <c r="Q66" s="269">
        <v>0.04</v>
      </c>
      <c r="R66" s="8"/>
      <c r="S66" s="8"/>
      <c r="T66" s="8"/>
      <c r="U66" s="8"/>
      <c r="V66" s="8"/>
      <c r="W66" s="8"/>
      <c r="X66" s="8"/>
    </row>
    <row r="67" spans="1:24" ht="6.75" customHeight="1" outlineLevel="1">
      <c r="A67" s="8"/>
      <c r="B67" s="261"/>
      <c r="C67" s="20"/>
      <c r="D67" s="255"/>
      <c r="E67" s="255"/>
      <c r="F67" s="255"/>
      <c r="G67" s="256"/>
      <c r="H67" s="216"/>
      <c r="I67" s="216"/>
      <c r="J67" s="216"/>
      <c r="K67" s="213"/>
      <c r="L67" s="213"/>
      <c r="M67" s="213"/>
      <c r="N67" s="213"/>
      <c r="O67" s="213"/>
      <c r="P67" s="213"/>
      <c r="Q67" s="269"/>
      <c r="R67" s="8"/>
      <c r="S67" s="8"/>
      <c r="T67" s="8"/>
      <c r="U67" s="8"/>
      <c r="V67" s="8"/>
      <c r="W67" s="8"/>
      <c r="X67" s="8"/>
    </row>
    <row r="68" spans="1:24" outlineLevel="1">
      <c r="A68" s="8"/>
      <c r="B68" s="261" t="s">
        <v>100</v>
      </c>
      <c r="C68" s="20"/>
      <c r="D68" s="257"/>
      <c r="E68" s="257"/>
      <c r="F68" s="257">
        <f t="shared" ref="F68:N68" si="13">F11</f>
        <v>2.673</v>
      </c>
      <c r="G68" s="257">
        <f t="shared" si="13"/>
        <v>5.32</v>
      </c>
      <c r="H68" s="270">
        <f t="shared" si="13"/>
        <v>2.899</v>
      </c>
      <c r="I68" s="270">
        <f t="shared" si="13"/>
        <v>8.0259999999999998</v>
      </c>
      <c r="J68" s="270">
        <f t="shared" si="13"/>
        <v>6.1680000000000001</v>
      </c>
      <c r="K68" s="270">
        <f t="shared" si="13"/>
        <v>10.603</v>
      </c>
      <c r="L68" s="270">
        <f t="shared" si="13"/>
        <v>6.2930000000000001</v>
      </c>
      <c r="M68" s="270">
        <f t="shared" si="13"/>
        <v>9.0299999999999994</v>
      </c>
      <c r="N68" s="270">
        <f t="shared" si="13"/>
        <v>7.2880000000000003</v>
      </c>
      <c r="O68" s="270">
        <f>O69*O$56</f>
        <v>10.953238235974945</v>
      </c>
      <c r="P68" s="270">
        <f>P69*P$56</f>
        <v>13.557425194776112</v>
      </c>
      <c r="Q68" s="271">
        <f>Q69*Q$56</f>
        <v>16.64040394369178</v>
      </c>
      <c r="R68" s="8"/>
      <c r="S68" s="8"/>
      <c r="T68" s="8"/>
      <c r="U68" s="8"/>
      <c r="V68" s="8"/>
      <c r="W68" s="8"/>
      <c r="X68" s="8"/>
    </row>
    <row r="69" spans="1:24" outlineLevel="1">
      <c r="A69" s="8"/>
      <c r="B69" s="261" t="s">
        <v>101</v>
      </c>
      <c r="C69" s="20"/>
      <c r="D69" s="256"/>
      <c r="E69" s="256"/>
      <c r="F69" s="256">
        <f t="shared" ref="F69:N69" si="14">F68/F56</f>
        <v>7.7882346085487025E-2</v>
      </c>
      <c r="G69" s="256">
        <f t="shared" si="14"/>
        <v>0.12130332672093395</v>
      </c>
      <c r="H69" s="194">
        <f t="shared" si="14"/>
        <v>4.4010262482731391E-2</v>
      </c>
      <c r="I69" s="194">
        <f t="shared" si="14"/>
        <v>5.3419414955572571E-2</v>
      </c>
      <c r="J69" s="194">
        <f t="shared" si="14"/>
        <v>0.26956863773436474</v>
      </c>
      <c r="K69" s="194">
        <f t="shared" si="14"/>
        <v>0.13871735831283688</v>
      </c>
      <c r="L69" s="216">
        <f t="shared" si="14"/>
        <v>3.8931954145297293E-2</v>
      </c>
      <c r="M69" s="216">
        <f t="shared" si="14"/>
        <v>3.2961377150428718E-2</v>
      </c>
      <c r="N69" s="216">
        <f t="shared" si="14"/>
        <v>2.443374592659148E-2</v>
      </c>
      <c r="O69" s="213">
        <v>0.03</v>
      </c>
      <c r="P69" s="213">
        <f>O69</f>
        <v>0.03</v>
      </c>
      <c r="Q69" s="269">
        <f>P69</f>
        <v>0.03</v>
      </c>
      <c r="R69" s="8"/>
      <c r="S69" s="8"/>
      <c r="T69" s="8"/>
      <c r="U69" s="8"/>
      <c r="V69" s="8"/>
      <c r="W69" s="8"/>
      <c r="X69" s="8"/>
    </row>
    <row r="70" spans="1:24" ht="6" customHeight="1" outlineLevel="1">
      <c r="A70" s="8"/>
      <c r="B70" s="261"/>
      <c r="C70" s="20"/>
      <c r="D70" s="256"/>
      <c r="E70" s="256"/>
      <c r="F70" s="256"/>
      <c r="G70" s="256"/>
      <c r="H70" s="216"/>
      <c r="I70" s="216"/>
      <c r="J70" s="216"/>
      <c r="K70" s="216"/>
      <c r="L70" s="216"/>
      <c r="M70" s="216"/>
      <c r="N70" s="216"/>
      <c r="O70" s="216"/>
      <c r="P70" s="216"/>
      <c r="Q70" s="218"/>
      <c r="R70" s="8"/>
      <c r="S70" s="8"/>
      <c r="T70" s="8"/>
      <c r="U70" s="8"/>
      <c r="V70" s="8"/>
      <c r="W70" s="8"/>
      <c r="X70" s="8"/>
    </row>
    <row r="71" spans="1:24" outlineLevel="1">
      <c r="A71" s="8"/>
      <c r="B71" s="261" t="s">
        <v>162</v>
      </c>
      <c r="C71" s="20"/>
      <c r="D71" s="257"/>
      <c r="E71" s="257"/>
      <c r="F71" s="257">
        <f t="shared" ref="F71:N71" si="15">F18</f>
        <v>2.1000000000000001E-2</v>
      </c>
      <c r="G71" s="257">
        <f t="shared" si="15"/>
        <v>0.27400000000000002</v>
      </c>
      <c r="H71" s="270">
        <f t="shared" si="15"/>
        <v>0.13800000000000001</v>
      </c>
      <c r="I71" s="270">
        <f t="shared" si="15"/>
        <v>0.28299999999999997</v>
      </c>
      <c r="J71" s="270">
        <f t="shared" si="15"/>
        <v>4.3109999999999999</v>
      </c>
      <c r="K71" s="270">
        <f t="shared" si="15"/>
        <v>5.81</v>
      </c>
      <c r="L71" s="272">
        <f t="shared" si="15"/>
        <v>2.6280000000000001</v>
      </c>
      <c r="M71" s="272">
        <f t="shared" si="15"/>
        <v>168.35999999999999</v>
      </c>
      <c r="N71" s="272">
        <f t="shared" si="15"/>
        <v>161.56</v>
      </c>
      <c r="O71" s="272">
        <f>O72*O$56</f>
        <v>164.29857353962419</v>
      </c>
      <c r="P71" s="272">
        <f>P72*P$56</f>
        <v>167.2082440689054</v>
      </c>
      <c r="Q71" s="273">
        <f>Q72*Q$56</f>
        <v>171.95084075148173</v>
      </c>
      <c r="R71" s="8"/>
      <c r="S71" s="8"/>
      <c r="T71" s="8"/>
      <c r="U71" s="8"/>
      <c r="V71" s="8"/>
      <c r="W71" s="8"/>
      <c r="X71" s="8"/>
    </row>
    <row r="72" spans="1:24" outlineLevel="1">
      <c r="A72" s="8"/>
      <c r="B72" s="261" t="s">
        <v>101</v>
      </c>
      <c r="C72" s="20"/>
      <c r="D72" s="256"/>
      <c r="E72" s="256"/>
      <c r="F72" s="256">
        <f t="shared" ref="F72:N72" si="16">F71/F56</f>
        <v>6.1187028349989807E-4</v>
      </c>
      <c r="G72" s="256">
        <f t="shared" si="16"/>
        <v>6.2475773536721626E-3</v>
      </c>
      <c r="H72" s="194">
        <f t="shared" si="16"/>
        <v>2.0950038712028054E-3</v>
      </c>
      <c r="I72" s="194">
        <f t="shared" si="16"/>
        <v>1.8835901361110188E-3</v>
      </c>
      <c r="J72" s="194">
        <f t="shared" si="16"/>
        <v>0.18840959748262751</v>
      </c>
      <c r="K72" s="194">
        <f t="shared" si="16"/>
        <v>7.6011303574232039E-2</v>
      </c>
      <c r="L72" s="216">
        <f t="shared" si="16"/>
        <v>1.6258251310001793E-2</v>
      </c>
      <c r="M72" s="216">
        <f t="shared" si="16"/>
        <v>0.6145489985654683</v>
      </c>
      <c r="N72" s="216">
        <f t="shared" si="16"/>
        <v>0.54164599230243127</v>
      </c>
      <c r="O72" s="213">
        <v>0.45</v>
      </c>
      <c r="P72" s="213">
        <v>0.37</v>
      </c>
      <c r="Q72" s="269">
        <v>0.31</v>
      </c>
      <c r="R72" s="8"/>
      <c r="S72" s="8"/>
      <c r="T72" s="8"/>
      <c r="U72" s="8"/>
      <c r="V72" s="8"/>
      <c r="W72" s="8"/>
      <c r="X72" s="8"/>
    </row>
    <row r="73" spans="1:24" ht="3.75" customHeight="1" outlineLevel="1">
      <c r="A73" s="6"/>
      <c r="B73" s="261"/>
      <c r="C73" s="20"/>
      <c r="D73" s="256"/>
      <c r="E73" s="256"/>
      <c r="F73" s="256"/>
      <c r="G73" s="256"/>
      <c r="H73" s="274"/>
      <c r="I73" s="274"/>
      <c r="J73" s="274"/>
      <c r="K73" s="274"/>
      <c r="L73" s="274"/>
      <c r="M73" s="274"/>
      <c r="N73" s="274"/>
      <c r="O73" s="274"/>
      <c r="P73" s="274"/>
      <c r="Q73" s="233"/>
      <c r="R73" s="6"/>
      <c r="S73" s="6"/>
      <c r="T73" s="6"/>
      <c r="U73" s="6"/>
      <c r="V73" s="6"/>
      <c r="W73" s="6"/>
      <c r="X73" s="6"/>
    </row>
    <row r="74" spans="1:24" outlineLevel="1">
      <c r="A74" s="8"/>
      <c r="B74" s="261" t="s">
        <v>391</v>
      </c>
      <c r="C74" s="20"/>
      <c r="D74" s="257"/>
      <c r="E74" s="257"/>
      <c r="F74" s="257">
        <f t="shared" ref="F74:N74" si="17">F23</f>
        <v>4.7539999999999996</v>
      </c>
      <c r="G74" s="257">
        <f t="shared" si="17"/>
        <v>4.3019999999999996</v>
      </c>
      <c r="H74" s="270">
        <f t="shared" si="17"/>
        <v>6.4359999999999999</v>
      </c>
      <c r="I74" s="270">
        <f t="shared" si="17"/>
        <v>21.725999999999999</v>
      </c>
      <c r="J74" s="270">
        <f t="shared" si="17"/>
        <v>10.186999999999999</v>
      </c>
      <c r="K74" s="270">
        <f t="shared" si="17"/>
        <v>9.7619999999999987</v>
      </c>
      <c r="L74" s="270">
        <f t="shared" si="17"/>
        <v>8.5890000000000004</v>
      </c>
      <c r="M74" s="270">
        <f t="shared" si="17"/>
        <v>17.703000000000003</v>
      </c>
      <c r="N74" s="270">
        <f t="shared" si="17"/>
        <v>15.958</v>
      </c>
      <c r="O74" s="270">
        <f>+O75*O57</f>
        <v>17.949088208284106</v>
      </c>
      <c r="P74" s="270">
        <f>+P75*P57</f>
        <v>18.478446341244553</v>
      </c>
      <c r="Q74" s="271">
        <f>+Q75*Q57</f>
        <v>18.034102369569094</v>
      </c>
      <c r="R74" s="8"/>
      <c r="S74" s="8"/>
      <c r="T74" s="8"/>
      <c r="U74" s="8"/>
      <c r="V74" s="8"/>
      <c r="W74" s="8"/>
      <c r="X74" s="8"/>
    </row>
    <row r="75" spans="1:24" outlineLevel="1">
      <c r="A75" s="8"/>
      <c r="B75" s="261" t="s">
        <v>102</v>
      </c>
      <c r="C75" s="20"/>
      <c r="D75" s="256"/>
      <c r="E75" s="256"/>
      <c r="F75" s="256">
        <f t="shared" ref="F75:N75" si="18">F74/F57</f>
        <v>4.9970043200857704E-2</v>
      </c>
      <c r="G75" s="256">
        <f t="shared" si="18"/>
        <v>4.1119065597430775E-2</v>
      </c>
      <c r="H75" s="194">
        <f t="shared" si="18"/>
        <v>5.3508035350554116E-2</v>
      </c>
      <c r="I75" s="194">
        <f t="shared" si="18"/>
        <v>0.10575659335845088</v>
      </c>
      <c r="J75" s="194">
        <f t="shared" si="18"/>
        <v>3.9940561606561745E-2</v>
      </c>
      <c r="K75" s="194">
        <f t="shared" si="18"/>
        <v>4.444909890630265E-2</v>
      </c>
      <c r="L75" s="216">
        <f t="shared" si="18"/>
        <v>3.7975187245218291E-2</v>
      </c>
      <c r="M75" s="216">
        <f t="shared" si="18"/>
        <v>6.1944084817523372E-2</v>
      </c>
      <c r="N75" s="216">
        <f t="shared" si="18"/>
        <v>4.2939288184027063E-2</v>
      </c>
      <c r="O75" s="213">
        <f>N75</f>
        <v>4.2939288184027063E-2</v>
      </c>
      <c r="P75" s="213">
        <f>O75</f>
        <v>4.2939288184027063E-2</v>
      </c>
      <c r="Q75" s="269">
        <f>P75</f>
        <v>4.2939288184027063E-2</v>
      </c>
      <c r="R75" s="8"/>
      <c r="S75" s="8"/>
      <c r="T75" s="8"/>
      <c r="U75" s="8"/>
      <c r="V75" s="8"/>
      <c r="W75" s="8"/>
      <c r="X75" s="8"/>
    </row>
    <row r="76" spans="1:24" ht="4.5" customHeight="1" outlineLevel="1">
      <c r="A76" s="8"/>
      <c r="B76" s="261"/>
      <c r="C76" s="20"/>
      <c r="D76" s="256"/>
      <c r="E76" s="256"/>
      <c r="F76" s="256"/>
      <c r="G76" s="256"/>
      <c r="H76" s="194"/>
      <c r="I76" s="194"/>
      <c r="J76" s="194"/>
      <c r="K76" s="194"/>
      <c r="L76" s="213"/>
      <c r="M76" s="213"/>
      <c r="N76" s="213"/>
      <c r="O76" s="213"/>
      <c r="P76" s="213"/>
      <c r="Q76" s="269"/>
      <c r="R76" s="8"/>
      <c r="S76" s="8"/>
      <c r="T76" s="8"/>
      <c r="U76" s="8"/>
      <c r="V76" s="8"/>
      <c r="W76" s="8"/>
      <c r="X76" s="8"/>
    </row>
    <row r="77" spans="1:24" outlineLevel="1">
      <c r="A77" s="8"/>
      <c r="B77" s="261" t="s">
        <v>311</v>
      </c>
      <c r="C77" s="20"/>
      <c r="D77" s="257"/>
      <c r="E77" s="257"/>
      <c r="F77" s="257">
        <f t="shared" ref="F77:N77" si="19">F10</f>
        <v>5.2119999999999997</v>
      </c>
      <c r="G77" s="257">
        <f t="shared" si="19"/>
        <v>2.8759999999999999</v>
      </c>
      <c r="H77" s="270">
        <f t="shared" si="19"/>
        <v>0.57799999999999996</v>
      </c>
      <c r="I77" s="270">
        <f t="shared" si="19"/>
        <v>1.03</v>
      </c>
      <c r="J77" s="270">
        <f t="shared" si="19"/>
        <v>2.7</v>
      </c>
      <c r="K77" s="270">
        <f t="shared" si="19"/>
        <v>25.829000000000001</v>
      </c>
      <c r="L77" s="270">
        <f t="shared" si="19"/>
        <v>51.634</v>
      </c>
      <c r="M77" s="270">
        <f t="shared" si="19"/>
        <v>63.920999999999999</v>
      </c>
      <c r="N77" s="270">
        <f t="shared" si="19"/>
        <v>78.966999999999999</v>
      </c>
      <c r="O77" s="270">
        <f>O78*O57</f>
        <v>79.422060863192968</v>
      </c>
      <c r="P77" s="270">
        <f>P78*P57</f>
        <v>81.764392315718041</v>
      </c>
      <c r="Q77" s="271">
        <f>Q78*Q57</f>
        <v>79.798235954287193</v>
      </c>
      <c r="R77" s="8"/>
      <c r="S77" s="8"/>
      <c r="T77" s="8"/>
      <c r="U77" s="8"/>
      <c r="V77" s="8"/>
      <c r="W77" s="8"/>
      <c r="X77" s="8"/>
    </row>
    <row r="78" spans="1:24" outlineLevel="1">
      <c r="A78" s="8"/>
      <c r="B78" s="261" t="s">
        <v>102</v>
      </c>
      <c r="C78" s="20"/>
      <c r="D78" s="256"/>
      <c r="E78" s="256"/>
      <c r="F78" s="256">
        <f t="shared" ref="F78:N78" si="20">F77/F57</f>
        <v>5.4784153378811602E-2</v>
      </c>
      <c r="G78" s="256">
        <f t="shared" si="20"/>
        <v>2.748917542031867E-2</v>
      </c>
      <c r="H78" s="194">
        <f t="shared" si="20"/>
        <v>4.8054139889093031E-3</v>
      </c>
      <c r="I78" s="194">
        <f t="shared" si="20"/>
        <v>5.0137757138545708E-3</v>
      </c>
      <c r="J78" s="194">
        <f t="shared" si="20"/>
        <v>1.0585993554306148E-2</v>
      </c>
      <c r="K78" s="194">
        <f t="shared" si="20"/>
        <v>0.11760661500214006</v>
      </c>
      <c r="L78" s="216">
        <f t="shared" si="20"/>
        <v>0.22829326094069172</v>
      </c>
      <c r="M78" s="216">
        <f t="shared" si="20"/>
        <v>0.22366422897932051</v>
      </c>
      <c r="N78" s="216">
        <f t="shared" si="20"/>
        <v>0.21248193821456729</v>
      </c>
      <c r="O78" s="213">
        <v>0.19</v>
      </c>
      <c r="P78" s="213">
        <f>O78</f>
        <v>0.19</v>
      </c>
      <c r="Q78" s="269">
        <f>P78</f>
        <v>0.19</v>
      </c>
      <c r="R78" s="8"/>
      <c r="S78" s="8"/>
      <c r="T78" s="8"/>
      <c r="U78" s="8"/>
      <c r="V78" s="8"/>
      <c r="W78" s="8"/>
      <c r="X78" s="8"/>
    </row>
    <row r="79" spans="1:24" ht="5.25" customHeight="1" outlineLevel="1">
      <c r="A79" s="8"/>
      <c r="B79" s="261"/>
      <c r="C79" s="20"/>
      <c r="D79" s="256"/>
      <c r="E79" s="256"/>
      <c r="F79" s="256"/>
      <c r="G79" s="256"/>
      <c r="H79" s="194"/>
      <c r="I79" s="194"/>
      <c r="J79" s="194"/>
      <c r="K79" s="194"/>
      <c r="L79" s="213"/>
      <c r="M79" s="213"/>
      <c r="N79" s="213"/>
      <c r="O79" s="213"/>
      <c r="P79" s="213"/>
      <c r="Q79" s="269"/>
      <c r="R79" s="8"/>
      <c r="S79" s="8"/>
      <c r="T79" s="8"/>
      <c r="U79" s="8"/>
      <c r="V79" s="8"/>
      <c r="W79" s="8"/>
      <c r="X79" s="8"/>
    </row>
    <row r="80" spans="1:24" outlineLevel="1">
      <c r="A80" s="8"/>
      <c r="B80" s="261" t="s">
        <v>45</v>
      </c>
      <c r="C80" s="20"/>
      <c r="D80" s="257"/>
      <c r="E80" s="257"/>
      <c r="F80" s="257">
        <f t="shared" ref="F80:N80" si="21">F25</f>
        <v>4.2990000000000004</v>
      </c>
      <c r="G80" s="257">
        <f t="shared" si="21"/>
        <v>8.9380000000000006</v>
      </c>
      <c r="H80" s="270">
        <f t="shared" si="21"/>
        <v>11.122</v>
      </c>
      <c r="I80" s="270">
        <f t="shared" si="21"/>
        <v>21.170999999999999</v>
      </c>
      <c r="J80" s="270">
        <f t="shared" si="21"/>
        <v>18.437999999999999</v>
      </c>
      <c r="K80" s="270">
        <f t="shared" si="21"/>
        <v>22.611999999999998</v>
      </c>
      <c r="L80" s="270">
        <f t="shared" si="21"/>
        <v>23.300999999999998</v>
      </c>
      <c r="M80" s="270">
        <f t="shared" si="21"/>
        <v>38.301000000000002</v>
      </c>
      <c r="N80" s="270">
        <f t="shared" si="21"/>
        <v>38.237000000000002</v>
      </c>
      <c r="O80" s="270">
        <f>O81*O57</f>
        <v>43.007850972562935</v>
      </c>
      <c r="P80" s="270">
        <f>P81*P57</f>
        <v>44.27624719577441</v>
      </c>
      <c r="Q80" s="271">
        <f>Q81*Q57</f>
        <v>43.211553597268669</v>
      </c>
      <c r="R80" s="8"/>
      <c r="S80" s="8"/>
      <c r="T80" s="8"/>
      <c r="U80" s="8"/>
      <c r="V80" s="8"/>
      <c r="W80" s="8"/>
      <c r="X80" s="8"/>
    </row>
    <row r="81" spans="1:24" outlineLevel="1">
      <c r="A81" s="8"/>
      <c r="B81" s="261" t="s">
        <v>102</v>
      </c>
      <c r="C81" s="20"/>
      <c r="D81" s="256"/>
      <c r="E81" s="256"/>
      <c r="F81" s="256">
        <f t="shared" ref="F81:N81" si="22">F80/F57</f>
        <v>4.5187466495685176E-2</v>
      </c>
      <c r="G81" s="256">
        <f t="shared" si="22"/>
        <v>8.5430545864676036E-2</v>
      </c>
      <c r="H81" s="194">
        <f t="shared" si="22"/>
        <v>9.2466806893856876E-2</v>
      </c>
      <c r="I81" s="194">
        <f t="shared" si="22"/>
        <v>0.10305499576506322</v>
      </c>
      <c r="J81" s="194">
        <f t="shared" si="22"/>
        <v>7.2290573760850643E-2</v>
      </c>
      <c r="K81" s="194">
        <f t="shared" si="22"/>
        <v>0.10295871998251542</v>
      </c>
      <c r="L81" s="216">
        <f t="shared" si="22"/>
        <v>0.10302245174069521</v>
      </c>
      <c r="M81" s="216">
        <f t="shared" si="22"/>
        <v>0.13401798523391303</v>
      </c>
      <c r="N81" s="216">
        <f t="shared" si="22"/>
        <v>0.10288692582357707</v>
      </c>
      <c r="O81" s="213">
        <f>N81</f>
        <v>0.10288692582357707</v>
      </c>
      <c r="P81" s="213">
        <f>O81</f>
        <v>0.10288692582357707</v>
      </c>
      <c r="Q81" s="269">
        <f>P81</f>
        <v>0.10288692582357707</v>
      </c>
      <c r="R81" s="8"/>
      <c r="S81" s="8"/>
      <c r="T81" s="8"/>
      <c r="U81" s="8"/>
      <c r="V81" s="8"/>
      <c r="W81" s="8"/>
      <c r="X81" s="8"/>
    </row>
    <row r="82" spans="1:24" ht="4.5" customHeight="1" outlineLevel="1">
      <c r="A82" s="8"/>
      <c r="B82" s="261"/>
      <c r="C82" s="20"/>
      <c r="D82" s="256"/>
      <c r="E82" s="256"/>
      <c r="F82" s="256"/>
      <c r="G82" s="256"/>
      <c r="H82" s="194"/>
      <c r="I82" s="194"/>
      <c r="J82" s="194"/>
      <c r="K82" s="194"/>
      <c r="L82" s="213"/>
      <c r="M82" s="213"/>
      <c r="N82" s="213"/>
      <c r="O82" s="213"/>
      <c r="P82" s="213"/>
      <c r="Q82" s="269"/>
      <c r="R82" s="8"/>
      <c r="S82" s="8"/>
      <c r="T82" s="8"/>
      <c r="U82" s="8"/>
      <c r="V82" s="8"/>
      <c r="W82" s="8"/>
      <c r="X82" s="8"/>
    </row>
    <row r="83" spans="1:24" outlineLevel="1">
      <c r="A83" s="8"/>
      <c r="B83" s="261" t="s">
        <v>390</v>
      </c>
      <c r="C83" s="20"/>
      <c r="D83" s="257"/>
      <c r="E83" s="257"/>
      <c r="F83" s="257">
        <f t="shared" ref="F83:N83" si="23">F39</f>
        <v>0</v>
      </c>
      <c r="G83" s="257">
        <f t="shared" si="23"/>
        <v>0</v>
      </c>
      <c r="H83" s="270">
        <f t="shared" si="23"/>
        <v>0</v>
      </c>
      <c r="I83" s="270">
        <f t="shared" si="23"/>
        <v>0.99199999999999999</v>
      </c>
      <c r="J83" s="270">
        <f t="shared" si="23"/>
        <v>1.653</v>
      </c>
      <c r="K83" s="270">
        <f t="shared" si="23"/>
        <v>0</v>
      </c>
      <c r="L83" s="270">
        <f t="shared" si="23"/>
        <v>10.119999999999999</v>
      </c>
      <c r="M83" s="270">
        <f t="shared" si="23"/>
        <v>71.605999999999995</v>
      </c>
      <c r="N83" s="270">
        <f t="shared" si="23"/>
        <v>36.070999999999998</v>
      </c>
      <c r="O83" s="270">
        <f>O84*O57</f>
        <v>37.620976198354562</v>
      </c>
      <c r="P83" s="270">
        <f>P84*P57</f>
        <v>38.730501623234858</v>
      </c>
      <c r="Q83" s="271">
        <f>Q84*Q57</f>
        <v>37.799164399399196</v>
      </c>
      <c r="R83" s="8"/>
      <c r="S83" s="8"/>
      <c r="T83" s="8"/>
      <c r="U83" s="8"/>
      <c r="V83" s="8"/>
      <c r="W83" s="8"/>
      <c r="X83" s="8"/>
    </row>
    <row r="84" spans="1:24" outlineLevel="1">
      <c r="A84" s="8"/>
      <c r="B84" s="261" t="s">
        <v>102</v>
      </c>
      <c r="C84" s="20"/>
      <c r="D84" s="256"/>
      <c r="E84" s="256"/>
      <c r="F84" s="256">
        <f t="shared" ref="F84:N84" si="24">F83/F57</f>
        <v>0</v>
      </c>
      <c r="G84" s="256">
        <f t="shared" si="24"/>
        <v>0</v>
      </c>
      <c r="H84" s="194">
        <f t="shared" si="24"/>
        <v>0</v>
      </c>
      <c r="I84" s="194">
        <f t="shared" si="24"/>
        <v>4.8288014642172174E-3</v>
      </c>
      <c r="J84" s="194">
        <f t="shared" si="24"/>
        <v>6.4809804982474302E-3</v>
      </c>
      <c r="K84" s="194">
        <f t="shared" si="24"/>
        <v>0</v>
      </c>
      <c r="L84" s="194">
        <f t="shared" si="24"/>
        <v>4.4744311901456404E-2</v>
      </c>
      <c r="M84" s="194">
        <f t="shared" si="24"/>
        <v>0.250554603030197</v>
      </c>
      <c r="N84" s="194">
        <f t="shared" si="24"/>
        <v>9.7058720647076074E-2</v>
      </c>
      <c r="O84" s="210">
        <v>0.09</v>
      </c>
      <c r="P84" s="210">
        <f>O84</f>
        <v>0.09</v>
      </c>
      <c r="Q84" s="266">
        <f>P84</f>
        <v>0.09</v>
      </c>
      <c r="R84" s="8"/>
      <c r="S84" s="8"/>
      <c r="T84" s="8"/>
      <c r="U84" s="8"/>
      <c r="V84" s="8"/>
      <c r="W84" s="8"/>
      <c r="X84" s="8"/>
    </row>
    <row r="85" spans="1:24" ht="6" customHeight="1" outlineLevel="1">
      <c r="A85" s="8"/>
      <c r="B85" s="261"/>
      <c r="C85" s="20"/>
      <c r="D85" s="256"/>
      <c r="E85" s="256"/>
      <c r="F85" s="256"/>
      <c r="G85" s="256"/>
      <c r="H85" s="194"/>
      <c r="I85" s="194"/>
      <c r="J85" s="194"/>
      <c r="K85" s="194"/>
      <c r="L85" s="210"/>
      <c r="M85" s="210"/>
      <c r="N85" s="210"/>
      <c r="O85" s="210"/>
      <c r="P85" s="210"/>
      <c r="Q85" s="266"/>
      <c r="R85" s="8"/>
      <c r="S85" s="8"/>
      <c r="T85" s="8"/>
      <c r="U85" s="8"/>
      <c r="V85" s="8"/>
      <c r="W85" s="8"/>
      <c r="X85" s="8"/>
    </row>
    <row r="86" spans="1:24" outlineLevel="1">
      <c r="A86" s="8"/>
      <c r="B86" s="261" t="s">
        <v>304</v>
      </c>
      <c r="C86" s="20"/>
      <c r="D86" s="257"/>
      <c r="E86" s="257"/>
      <c r="F86" s="257">
        <f t="shared" ref="F86:N86" si="25">F24</f>
        <v>12.401</v>
      </c>
      <c r="G86" s="257">
        <f t="shared" si="25"/>
        <v>8.14</v>
      </c>
      <c r="H86" s="270">
        <f t="shared" si="25"/>
        <v>7.01</v>
      </c>
      <c r="I86" s="270">
        <f t="shared" si="25"/>
        <v>5.6639999999999997</v>
      </c>
      <c r="J86" s="270">
        <f t="shared" si="25"/>
        <v>3.4119999999999999</v>
      </c>
      <c r="K86" s="270">
        <f t="shared" si="25"/>
        <v>3.5739999999999998</v>
      </c>
      <c r="L86" s="270">
        <f t="shared" si="25"/>
        <v>4.2450000000000001</v>
      </c>
      <c r="M86" s="270">
        <f t="shared" si="25"/>
        <v>6.9370000000000003</v>
      </c>
      <c r="N86" s="270">
        <f t="shared" si="25"/>
        <v>7.3129999999999997</v>
      </c>
      <c r="O86" s="270">
        <f>O87*O58</f>
        <v>8.0629690491403441</v>
      </c>
      <c r="P86" s="270">
        <f>P87*P58</f>
        <v>7.8182117618058857</v>
      </c>
      <c r="Q86" s="271">
        <f>Q87*Q58</f>
        <v>7.5864657344643129</v>
      </c>
      <c r="R86" s="8"/>
      <c r="S86" s="8"/>
      <c r="T86" s="8"/>
      <c r="U86" s="8"/>
      <c r="V86" s="8"/>
      <c r="W86" s="8"/>
      <c r="X86" s="8"/>
    </row>
    <row r="87" spans="1:24" outlineLevel="1">
      <c r="A87" s="8"/>
      <c r="B87" s="261" t="s">
        <v>102</v>
      </c>
      <c r="C87" s="20"/>
      <c r="D87" s="256"/>
      <c r="E87" s="256"/>
      <c r="F87" s="256">
        <f t="shared" ref="F87:N87" si="26">F86/F58</f>
        <v>0.16295663600525626</v>
      </c>
      <c r="G87" s="256">
        <f t="shared" si="26"/>
        <v>0.10509463681669122</v>
      </c>
      <c r="H87" s="194">
        <f t="shared" si="26"/>
        <v>8.7600909749818795E-2</v>
      </c>
      <c r="I87" s="194">
        <f t="shared" si="26"/>
        <v>5.4255991723662272E-2</v>
      </c>
      <c r="J87" s="194">
        <f t="shared" si="26"/>
        <v>3.6609442060085838E-2</v>
      </c>
      <c r="K87" s="194">
        <f t="shared" si="26"/>
        <v>3.8676305081811101E-2</v>
      </c>
      <c r="L87" s="216">
        <f t="shared" si="26"/>
        <v>4.3017399499397056E-2</v>
      </c>
      <c r="M87" s="216">
        <f t="shared" si="26"/>
        <v>5.4132721540718548E-2</v>
      </c>
      <c r="N87" s="216">
        <f t="shared" si="26"/>
        <v>5.3097409386617105E-2</v>
      </c>
      <c r="O87" s="213">
        <f>N87</f>
        <v>5.3097409386617105E-2</v>
      </c>
      <c r="P87" s="213">
        <f>O87</f>
        <v>5.3097409386617105E-2</v>
      </c>
      <c r="Q87" s="269">
        <f>P87</f>
        <v>5.3097409386617105E-2</v>
      </c>
      <c r="R87" s="8"/>
      <c r="S87" s="8"/>
      <c r="T87" s="8"/>
      <c r="U87" s="8"/>
      <c r="V87" s="8"/>
      <c r="W87" s="8"/>
      <c r="X87" s="8"/>
    </row>
    <row r="88" spans="1:24" ht="4.5" customHeight="1" outlineLevel="1">
      <c r="A88" s="8"/>
      <c r="B88" s="261"/>
      <c r="C88" s="20"/>
      <c r="D88" s="256"/>
      <c r="E88" s="256"/>
      <c r="F88" s="256"/>
      <c r="G88" s="256"/>
      <c r="H88" s="194"/>
      <c r="I88" s="194"/>
      <c r="J88" s="194"/>
      <c r="K88" s="194"/>
      <c r="L88" s="213"/>
      <c r="M88" s="213"/>
      <c r="N88" s="213"/>
      <c r="O88" s="213"/>
      <c r="P88" s="213"/>
      <c r="Q88" s="269"/>
      <c r="R88" s="8"/>
      <c r="S88" s="8"/>
      <c r="T88" s="8"/>
      <c r="U88" s="8"/>
      <c r="V88" s="8"/>
      <c r="W88" s="8"/>
      <c r="X88" s="8"/>
    </row>
    <row r="89" spans="1:24" outlineLevel="1">
      <c r="A89" s="8"/>
      <c r="B89" s="261" t="s">
        <v>307</v>
      </c>
      <c r="C89" s="20"/>
      <c r="D89" s="257"/>
      <c r="E89" s="257"/>
      <c r="F89" s="257">
        <f t="shared" ref="F89:N89" si="27">F27</f>
        <v>0.14299999999999999</v>
      </c>
      <c r="G89" s="257">
        <f t="shared" si="27"/>
        <v>0.19700000000000001</v>
      </c>
      <c r="H89" s="270">
        <f t="shared" si="27"/>
        <v>0.23300000000000001</v>
      </c>
      <c r="I89" s="270">
        <f t="shared" si="27"/>
        <v>0.26100000000000001</v>
      </c>
      <c r="J89" s="270">
        <f t="shared" si="27"/>
        <v>1.139</v>
      </c>
      <c r="K89" s="270">
        <f t="shared" si="27"/>
        <v>1.1519999999999999</v>
      </c>
      <c r="L89" s="270">
        <f t="shared" si="27"/>
        <v>2.6309999999999998</v>
      </c>
      <c r="M89" s="270">
        <f t="shared" si="27"/>
        <v>6.2270000000000003</v>
      </c>
      <c r="N89" s="270">
        <f t="shared" si="27"/>
        <v>4.077</v>
      </c>
      <c r="O89" s="270">
        <f>O90*O57</f>
        <v>4.5856894739424918</v>
      </c>
      <c r="P89" s="270">
        <f>P90*P57</f>
        <v>4.720931553656726</v>
      </c>
      <c r="Q89" s="271">
        <f>Q90*Q57</f>
        <v>4.607409159088431</v>
      </c>
      <c r="R89" s="8"/>
      <c r="S89" s="8"/>
      <c r="T89" s="8"/>
      <c r="U89" s="8"/>
      <c r="V89" s="8"/>
      <c r="W89" s="8"/>
      <c r="X89" s="8"/>
    </row>
    <row r="90" spans="1:24" outlineLevel="1">
      <c r="A90" s="8"/>
      <c r="B90" s="261" t="s">
        <v>102</v>
      </c>
      <c r="C90" s="20"/>
      <c r="D90" s="258"/>
      <c r="E90" s="258"/>
      <c r="F90" s="258">
        <f t="shared" ref="F90:N90" si="28">F89/F$57</f>
        <v>1.5030955359113698E-3</v>
      </c>
      <c r="G90" s="258">
        <f t="shared" si="28"/>
        <v>1.8829511675253054E-3</v>
      </c>
      <c r="H90" s="275">
        <f t="shared" si="28"/>
        <v>1.9371305526226087E-3</v>
      </c>
      <c r="I90" s="275">
        <f t="shared" si="28"/>
        <v>1.2704810304039252E-3</v>
      </c>
      <c r="J90" s="275">
        <f t="shared" si="28"/>
        <v>4.4657209845758153E-3</v>
      </c>
      <c r="K90" s="275">
        <f t="shared" si="28"/>
        <v>5.2453761462877132E-3</v>
      </c>
      <c r="L90" s="531">
        <f t="shared" si="28"/>
        <v>1.16326368194399E-2</v>
      </c>
      <c r="M90" s="531">
        <f t="shared" si="28"/>
        <v>2.1788725987613285E-2</v>
      </c>
      <c r="N90" s="531">
        <f t="shared" si="28"/>
        <v>1.0970264314217215E-2</v>
      </c>
      <c r="O90" s="276">
        <f>N90</f>
        <v>1.0970264314217215E-2</v>
      </c>
      <c r="P90" s="276">
        <f>O90</f>
        <v>1.0970264314217215E-2</v>
      </c>
      <c r="Q90" s="277">
        <f>P90</f>
        <v>1.0970264314217215E-2</v>
      </c>
      <c r="R90" s="8"/>
      <c r="S90" s="8"/>
      <c r="T90" s="8"/>
      <c r="U90" s="8"/>
      <c r="V90" s="8"/>
      <c r="W90" s="8"/>
      <c r="X90" s="8"/>
    </row>
    <row r="91" spans="1:24" ht="5.25" customHeight="1" outlineLevel="1">
      <c r="A91" s="8"/>
      <c r="B91" s="261"/>
      <c r="C91" s="20"/>
      <c r="D91" s="258"/>
      <c r="E91" s="258"/>
      <c r="F91" s="258"/>
      <c r="G91" s="258"/>
      <c r="H91" s="275"/>
      <c r="I91" s="275"/>
      <c r="J91" s="275"/>
      <c r="K91" s="275"/>
      <c r="L91" s="276"/>
      <c r="M91" s="276"/>
      <c r="N91" s="276"/>
      <c r="O91" s="276"/>
      <c r="P91" s="276"/>
      <c r="Q91" s="277"/>
      <c r="R91" s="8"/>
      <c r="S91" s="8"/>
      <c r="T91" s="8"/>
      <c r="U91" s="8"/>
      <c r="V91" s="8"/>
      <c r="W91" s="8"/>
      <c r="X91" s="8"/>
    </row>
    <row r="92" spans="1:24" outlineLevel="1">
      <c r="A92" s="8"/>
      <c r="B92" s="261" t="s">
        <v>306</v>
      </c>
      <c r="C92" s="20"/>
      <c r="D92" s="257"/>
      <c r="E92" s="257"/>
      <c r="F92" s="257">
        <f t="shared" ref="F92:N92" si="29">F33</f>
        <v>0.112</v>
      </c>
      <c r="G92" s="257">
        <f t="shared" si="29"/>
        <v>0.39300000000000002</v>
      </c>
      <c r="H92" s="270">
        <f t="shared" si="29"/>
        <v>0.42199999999999999</v>
      </c>
      <c r="I92" s="270">
        <f t="shared" si="29"/>
        <v>0.308</v>
      </c>
      <c r="J92" s="270">
        <f t="shared" si="29"/>
        <v>3.1339999999999999</v>
      </c>
      <c r="K92" s="270">
        <f t="shared" si="29"/>
        <v>2.5710000000000002</v>
      </c>
      <c r="L92" s="270">
        <f t="shared" si="29"/>
        <v>0.30599999999999999</v>
      </c>
      <c r="M92" s="270">
        <f t="shared" si="29"/>
        <v>8.2000000000000003E-2</v>
      </c>
      <c r="N92" s="270">
        <f t="shared" si="29"/>
        <v>0</v>
      </c>
      <c r="O92" s="270">
        <f>O93*O57</f>
        <v>0</v>
      </c>
      <c r="P92" s="270">
        <f>P93*P57</f>
        <v>0</v>
      </c>
      <c r="Q92" s="271">
        <f>Q93*Q57</f>
        <v>0</v>
      </c>
      <c r="R92" s="8"/>
      <c r="S92" s="8"/>
      <c r="T92" s="8"/>
      <c r="U92" s="8"/>
      <c r="V92" s="8"/>
      <c r="W92" s="8"/>
      <c r="X92" s="8"/>
    </row>
    <row r="93" spans="1:24" outlineLevel="1">
      <c r="A93" s="8"/>
      <c r="B93" s="261" t="s">
        <v>102</v>
      </c>
      <c r="C93" s="20"/>
      <c r="D93" s="258"/>
      <c r="E93" s="258"/>
      <c r="F93" s="258">
        <f t="shared" ref="F93:N93" si="30">F92/F$57</f>
        <v>1.17724965050401E-3</v>
      </c>
      <c r="G93" s="258">
        <f t="shared" si="30"/>
        <v>3.7563442072966751E-3</v>
      </c>
      <c r="H93" s="275">
        <f t="shared" si="30"/>
        <v>3.5084510438057547E-3</v>
      </c>
      <c r="I93" s="275">
        <f t="shared" si="30"/>
        <v>1.4992649707448618E-3</v>
      </c>
      <c r="J93" s="275">
        <f t="shared" si="30"/>
        <v>1.2287593999702024E-2</v>
      </c>
      <c r="K93" s="275">
        <f t="shared" si="30"/>
        <v>1.170647749314732E-2</v>
      </c>
      <c r="L93" s="531">
        <f t="shared" si="30"/>
        <v>1.3529406563088596E-3</v>
      </c>
      <c r="M93" s="531">
        <f t="shared" si="30"/>
        <v>2.8692396514923551E-4</v>
      </c>
      <c r="N93" s="531">
        <f t="shared" si="30"/>
        <v>0</v>
      </c>
      <c r="O93" s="276">
        <f>N93</f>
        <v>0</v>
      </c>
      <c r="P93" s="276">
        <f>O93</f>
        <v>0</v>
      </c>
      <c r="Q93" s="277">
        <f>P93</f>
        <v>0</v>
      </c>
      <c r="R93" s="8"/>
      <c r="S93" s="8"/>
      <c r="T93" s="8"/>
      <c r="U93" s="8"/>
      <c r="V93" s="8"/>
      <c r="W93" s="8"/>
      <c r="X93" s="8"/>
    </row>
    <row r="94" spans="1:24" ht="6.75" customHeight="1" outlineLevel="1">
      <c r="A94" s="8"/>
      <c r="B94" s="261"/>
      <c r="C94" s="20"/>
      <c r="D94" s="258"/>
      <c r="E94" s="258"/>
      <c r="F94" s="258"/>
      <c r="G94" s="258"/>
      <c r="H94" s="275"/>
      <c r="I94" s="275"/>
      <c r="J94" s="275"/>
      <c r="K94" s="275"/>
      <c r="L94" s="276"/>
      <c r="M94" s="276"/>
      <c r="N94" s="276"/>
      <c r="O94" s="276"/>
      <c r="P94" s="276"/>
      <c r="Q94" s="277"/>
      <c r="R94" s="8"/>
      <c r="S94" s="8"/>
      <c r="T94" s="8"/>
      <c r="U94" s="8"/>
      <c r="V94" s="8"/>
      <c r="W94" s="8"/>
      <c r="X94" s="8"/>
    </row>
    <row r="95" spans="1:24" outlineLevel="1">
      <c r="A95" s="8"/>
      <c r="B95" s="261" t="s">
        <v>308</v>
      </c>
      <c r="C95" s="20"/>
      <c r="D95" s="257"/>
      <c r="E95" s="257"/>
      <c r="F95" s="257">
        <f t="shared" ref="F95:N95" si="31">F28</f>
        <v>0.18</v>
      </c>
      <c r="G95" s="257">
        <f t="shared" si="31"/>
        <v>2.7989999999999999</v>
      </c>
      <c r="H95" s="270">
        <f t="shared" si="31"/>
        <v>4.0419999999999998</v>
      </c>
      <c r="I95" s="270">
        <f t="shared" si="31"/>
        <v>2.7349999999999999</v>
      </c>
      <c r="J95" s="270">
        <f t="shared" si="31"/>
        <v>2.79</v>
      </c>
      <c r="K95" s="270">
        <f t="shared" si="31"/>
        <v>4.992</v>
      </c>
      <c r="L95" s="270">
        <f t="shared" si="31"/>
        <v>5.5439999999999996</v>
      </c>
      <c r="M95" s="270">
        <f t="shared" si="31"/>
        <v>7.7190000000000003</v>
      </c>
      <c r="N95" s="270">
        <f t="shared" si="31"/>
        <v>0.19500000000000001</v>
      </c>
      <c r="O95" s="270">
        <f>O96*O57</f>
        <v>0.21933025445641061</v>
      </c>
      <c r="P95" s="270">
        <f>P96*P57</f>
        <v>0.2257987865987397</v>
      </c>
      <c r="Q95" s="271">
        <f>Q96*Q57</f>
        <v>0.22036909149429584</v>
      </c>
      <c r="R95" s="8"/>
      <c r="S95" s="8"/>
      <c r="T95" s="8"/>
      <c r="U95" s="8"/>
      <c r="V95" s="8"/>
      <c r="W95" s="8"/>
      <c r="X95" s="8"/>
    </row>
    <row r="96" spans="1:24" outlineLevel="1">
      <c r="A96" s="8"/>
      <c r="B96" s="261" t="s">
        <v>102</v>
      </c>
      <c r="C96" s="20"/>
      <c r="D96" s="258"/>
      <c r="E96" s="258"/>
      <c r="F96" s="258">
        <f t="shared" ref="F96:N96" si="32">F95/F57</f>
        <v>1.8920083668814446E-3</v>
      </c>
      <c r="G96" s="258">
        <f t="shared" si="32"/>
        <v>2.6753199583265632E-2</v>
      </c>
      <c r="H96" s="275">
        <f t="shared" si="32"/>
        <v>3.3604642462234262E-2</v>
      </c>
      <c r="I96" s="275">
        <f t="shared" si="32"/>
        <v>1.3313278230477912E-2</v>
      </c>
      <c r="J96" s="275">
        <f t="shared" si="32"/>
        <v>1.0938860006116352E-2</v>
      </c>
      <c r="K96" s="275">
        <f t="shared" si="32"/>
        <v>2.2729963300580091E-2</v>
      </c>
      <c r="L96" s="531">
        <f t="shared" si="32"/>
        <v>2.4512101302536986E-2</v>
      </c>
      <c r="M96" s="531">
        <f t="shared" si="32"/>
        <v>2.7009342524231084E-2</v>
      </c>
      <c r="N96" s="531">
        <f t="shared" si="32"/>
        <v>5.24699912011861E-4</v>
      </c>
      <c r="O96" s="276">
        <f>N96</f>
        <v>5.24699912011861E-4</v>
      </c>
      <c r="P96" s="276">
        <f>O96</f>
        <v>5.24699912011861E-4</v>
      </c>
      <c r="Q96" s="277">
        <f>P96</f>
        <v>5.24699912011861E-4</v>
      </c>
      <c r="R96" s="8"/>
      <c r="S96" s="8"/>
      <c r="T96" s="8"/>
      <c r="U96" s="8"/>
      <c r="V96" s="8"/>
      <c r="W96" s="8"/>
      <c r="X96" s="8"/>
    </row>
    <row r="97" spans="1:24" ht="7.5" customHeight="1" outlineLevel="1">
      <c r="A97" s="8"/>
      <c r="B97" s="261"/>
      <c r="C97" s="20"/>
      <c r="D97" s="258"/>
      <c r="E97" s="258"/>
      <c r="F97" s="258"/>
      <c r="G97" s="258"/>
      <c r="H97" s="275"/>
      <c r="I97" s="275"/>
      <c r="J97" s="275"/>
      <c r="K97" s="275"/>
      <c r="L97" s="276"/>
      <c r="M97" s="276"/>
      <c r="N97" s="276"/>
      <c r="O97" s="276"/>
      <c r="P97" s="276"/>
      <c r="Q97" s="277"/>
      <c r="R97" s="8"/>
      <c r="S97" s="8"/>
      <c r="T97" s="8"/>
      <c r="U97" s="8"/>
      <c r="V97" s="8"/>
      <c r="W97" s="8"/>
      <c r="X97" s="8"/>
    </row>
    <row r="98" spans="1:24" outlineLevel="1">
      <c r="A98" s="8"/>
      <c r="B98" s="261" t="s">
        <v>305</v>
      </c>
      <c r="C98" s="20"/>
      <c r="D98" s="257"/>
      <c r="E98" s="257"/>
      <c r="F98" s="257">
        <f t="shared" ref="F98:N98" si="33">F34</f>
        <v>10.486000000000001</v>
      </c>
      <c r="G98" s="257">
        <f t="shared" si="33"/>
        <v>14.612</v>
      </c>
      <c r="H98" s="270">
        <f t="shared" si="33"/>
        <v>12.435</v>
      </c>
      <c r="I98" s="270">
        <f t="shared" si="33"/>
        <v>11.593</v>
      </c>
      <c r="J98" s="270">
        <f t="shared" si="33"/>
        <v>8.8219999999999992</v>
      </c>
      <c r="K98" s="270">
        <f t="shared" si="33"/>
        <v>10.522</v>
      </c>
      <c r="L98" s="270">
        <f t="shared" si="33"/>
        <v>6.3949999999999996</v>
      </c>
      <c r="M98" s="270">
        <f t="shared" si="33"/>
        <v>0.55700000000000005</v>
      </c>
      <c r="N98" s="270">
        <f t="shared" si="33"/>
        <v>5.4489999999999998</v>
      </c>
      <c r="O98" s="270">
        <f>O99*O57</f>
        <v>6.1288746488870833</v>
      </c>
      <c r="P98" s="270">
        <f>P99*P57</f>
        <v>6.3096286573155504</v>
      </c>
      <c r="Q98" s="271">
        <f>Q99*Q57</f>
        <v>6.1579034848841943</v>
      </c>
      <c r="R98" s="8"/>
      <c r="S98" s="8"/>
      <c r="T98" s="8"/>
      <c r="U98" s="8"/>
      <c r="V98" s="8"/>
      <c r="W98" s="8"/>
      <c r="X98" s="8"/>
    </row>
    <row r="99" spans="1:24" outlineLevel="1">
      <c r="A99" s="8"/>
      <c r="B99" s="262" t="s">
        <v>102</v>
      </c>
      <c r="C99" s="146"/>
      <c r="D99" s="263"/>
      <c r="E99" s="263"/>
      <c r="F99" s="263">
        <f t="shared" ref="F99:N99" si="34">F98/F57</f>
        <v>0.11021999852843795</v>
      </c>
      <c r="G99" s="263">
        <f t="shared" si="34"/>
        <v>0.13966336274050639</v>
      </c>
      <c r="H99" s="278">
        <f t="shared" si="34"/>
        <v>0.10338291168181175</v>
      </c>
      <c r="I99" s="278">
        <f t="shared" si="34"/>
        <v>5.6431749369627221E-2</v>
      </c>
      <c r="J99" s="278">
        <f t="shared" si="34"/>
        <v>3.4588753754106971E-2</v>
      </c>
      <c r="K99" s="278">
        <f t="shared" si="34"/>
        <v>4.7909590113923026E-2</v>
      </c>
      <c r="L99" s="532">
        <f t="shared" si="34"/>
        <v>2.8274691166977638E-2</v>
      </c>
      <c r="M99" s="532">
        <f t="shared" si="34"/>
        <v>1.9489835193673682E-3</v>
      </c>
      <c r="N99" s="532">
        <f t="shared" si="34"/>
        <v>1.4661999079757078E-2</v>
      </c>
      <c r="O99" s="279">
        <f>N99</f>
        <v>1.4661999079757078E-2</v>
      </c>
      <c r="P99" s="279">
        <f>O99</f>
        <v>1.4661999079757078E-2</v>
      </c>
      <c r="Q99" s="280">
        <f>P99</f>
        <v>1.4661999079757078E-2</v>
      </c>
      <c r="R99" s="8"/>
      <c r="S99" s="8"/>
      <c r="T99" s="8"/>
      <c r="U99" s="8"/>
      <c r="V99" s="8"/>
      <c r="W99" s="8"/>
      <c r="X99" s="8"/>
    </row>
    <row r="100" spans="1:24" outlineLevel="1">
      <c r="A100" s="2"/>
      <c r="B100" s="9"/>
      <c r="C100" s="12"/>
      <c r="D100" s="12"/>
      <c r="E100" s="12"/>
      <c r="F100" s="45"/>
      <c r="G100" s="45"/>
      <c r="H100" s="45"/>
      <c r="I100" s="42"/>
      <c r="J100" s="42"/>
      <c r="K100" s="42"/>
      <c r="L100" s="42"/>
      <c r="M100" s="42"/>
      <c r="N100" s="42"/>
      <c r="O100" s="42"/>
      <c r="P100" s="42"/>
      <c r="Q100" s="42"/>
      <c r="R100" s="2"/>
      <c r="S100" s="2"/>
      <c r="T100" s="2"/>
      <c r="U100" s="2"/>
      <c r="V100" s="2"/>
      <c r="W100" s="2"/>
      <c r="X100" s="2"/>
    </row>
    <row r="101" spans="1:24" outlineLevel="1">
      <c r="A101" s="2"/>
      <c r="B101" s="66"/>
      <c r="C101" s="12"/>
      <c r="D101" s="29">
        <v>15</v>
      </c>
      <c r="E101" s="12"/>
      <c r="F101" s="46"/>
      <c r="G101" s="42"/>
      <c r="H101" s="42"/>
      <c r="I101" s="42"/>
      <c r="J101" s="42"/>
      <c r="K101" s="42"/>
      <c r="L101" s="42"/>
      <c r="M101" s="42"/>
      <c r="N101" s="42"/>
      <c r="O101" s="42"/>
      <c r="P101" s="42"/>
      <c r="Q101" s="42"/>
      <c r="R101" s="2"/>
      <c r="S101" s="2"/>
      <c r="T101" s="2"/>
      <c r="U101" s="2"/>
      <c r="V101" s="2"/>
      <c r="W101" s="2"/>
      <c r="X101" s="2"/>
    </row>
    <row r="102" spans="1:24" outlineLevel="1">
      <c r="B102" s="15" t="s">
        <v>103</v>
      </c>
      <c r="C102" s="6"/>
      <c r="D102" s="6"/>
      <c r="E102" s="29"/>
      <c r="F102" s="47"/>
      <c r="G102" s="47"/>
      <c r="H102" s="47"/>
      <c r="I102" s="143"/>
      <c r="J102" s="143"/>
      <c r="K102" s="143"/>
      <c r="L102" s="143"/>
      <c r="M102" s="143"/>
      <c r="N102" s="143"/>
      <c r="O102" s="143"/>
      <c r="P102" s="143"/>
      <c r="Q102" s="143"/>
    </row>
    <row r="103" spans="1:24" outlineLevel="1">
      <c r="B103" s="281" t="s">
        <v>104</v>
      </c>
      <c r="C103" s="26"/>
      <c r="D103" s="282">
        <f t="shared" ref="D103:Q103" si="35">$D$123/$D$101</f>
        <v>0</v>
      </c>
      <c r="E103" s="282">
        <f t="shared" si="35"/>
        <v>0</v>
      </c>
      <c r="F103" s="282">
        <f t="shared" si="35"/>
        <v>0</v>
      </c>
      <c r="G103" s="282">
        <f t="shared" si="35"/>
        <v>0</v>
      </c>
      <c r="H103" s="282">
        <f t="shared" si="35"/>
        <v>0</v>
      </c>
      <c r="I103" s="282">
        <f t="shared" si="35"/>
        <v>0</v>
      </c>
      <c r="J103" s="282">
        <f t="shared" si="35"/>
        <v>0</v>
      </c>
      <c r="K103" s="282">
        <f t="shared" si="35"/>
        <v>0</v>
      </c>
      <c r="L103" s="282">
        <f t="shared" si="35"/>
        <v>0</v>
      </c>
      <c r="M103" s="282">
        <f t="shared" si="35"/>
        <v>0</v>
      </c>
      <c r="N103" s="282">
        <f t="shared" si="35"/>
        <v>0</v>
      </c>
      <c r="O103" s="282">
        <f t="shared" si="35"/>
        <v>0</v>
      </c>
      <c r="P103" s="282">
        <f t="shared" si="35"/>
        <v>0</v>
      </c>
      <c r="Q103" s="283">
        <f t="shared" si="35"/>
        <v>0</v>
      </c>
    </row>
    <row r="104" spans="1:24" outlineLevel="1">
      <c r="B104" s="67" t="s">
        <v>105</v>
      </c>
      <c r="C104" s="6"/>
      <c r="D104" s="87"/>
      <c r="E104" s="87">
        <f>$E$123/$D$101</f>
        <v>1.431</v>
      </c>
      <c r="F104" s="87">
        <f>E104</f>
        <v>1.431</v>
      </c>
      <c r="G104" s="87">
        <f t="shared" ref="G104:Q115" si="36">F104</f>
        <v>1.431</v>
      </c>
      <c r="H104" s="87">
        <f t="shared" si="36"/>
        <v>1.431</v>
      </c>
      <c r="I104" s="87">
        <f t="shared" si="36"/>
        <v>1.431</v>
      </c>
      <c r="J104" s="87">
        <f t="shared" si="36"/>
        <v>1.431</v>
      </c>
      <c r="K104" s="87">
        <f t="shared" si="36"/>
        <v>1.431</v>
      </c>
      <c r="L104" s="87">
        <f t="shared" si="36"/>
        <v>1.431</v>
      </c>
      <c r="M104" s="87">
        <f t="shared" si="36"/>
        <v>1.431</v>
      </c>
      <c r="N104" s="87">
        <f t="shared" si="36"/>
        <v>1.431</v>
      </c>
      <c r="O104" s="87">
        <f t="shared" si="36"/>
        <v>1.431</v>
      </c>
      <c r="P104" s="87">
        <f t="shared" si="36"/>
        <v>1.431</v>
      </c>
      <c r="Q104" s="284">
        <f t="shared" si="36"/>
        <v>1.431</v>
      </c>
    </row>
    <row r="105" spans="1:24" outlineLevel="1">
      <c r="B105" s="67" t="s">
        <v>106</v>
      </c>
      <c r="C105" s="6"/>
      <c r="D105" s="6"/>
      <c r="E105" s="6"/>
      <c r="F105" s="87">
        <f>$F$123/$D$101</f>
        <v>0.23493333333333333</v>
      </c>
      <c r="G105" s="87">
        <f t="shared" si="36"/>
        <v>0.23493333333333333</v>
      </c>
      <c r="H105" s="87">
        <f t="shared" si="36"/>
        <v>0.23493333333333333</v>
      </c>
      <c r="I105" s="87">
        <f t="shared" si="36"/>
        <v>0.23493333333333333</v>
      </c>
      <c r="J105" s="87">
        <f t="shared" si="36"/>
        <v>0.23493333333333333</v>
      </c>
      <c r="K105" s="87">
        <f t="shared" si="36"/>
        <v>0.23493333333333333</v>
      </c>
      <c r="L105" s="87">
        <f t="shared" si="36"/>
        <v>0.23493333333333333</v>
      </c>
      <c r="M105" s="87">
        <f t="shared" si="36"/>
        <v>0.23493333333333333</v>
      </c>
      <c r="N105" s="87">
        <f t="shared" si="36"/>
        <v>0.23493333333333333</v>
      </c>
      <c r="O105" s="87">
        <f t="shared" si="36"/>
        <v>0.23493333333333333</v>
      </c>
      <c r="P105" s="87">
        <f t="shared" si="36"/>
        <v>0.23493333333333333</v>
      </c>
      <c r="Q105" s="284">
        <f t="shared" si="36"/>
        <v>0.23493333333333333</v>
      </c>
    </row>
    <row r="106" spans="1:24" outlineLevel="1">
      <c r="B106" s="67" t="s">
        <v>107</v>
      </c>
      <c r="C106" s="6"/>
      <c r="D106" s="6"/>
      <c r="E106" s="6"/>
      <c r="F106" s="47"/>
      <c r="G106" s="87">
        <f>$G$123/$D$101</f>
        <v>1.1479999999999999</v>
      </c>
      <c r="H106" s="87">
        <f t="shared" si="36"/>
        <v>1.1479999999999999</v>
      </c>
      <c r="I106" s="87">
        <f t="shared" si="36"/>
        <v>1.1479999999999999</v>
      </c>
      <c r="J106" s="87">
        <f t="shared" si="36"/>
        <v>1.1479999999999999</v>
      </c>
      <c r="K106" s="87">
        <f t="shared" si="36"/>
        <v>1.1479999999999999</v>
      </c>
      <c r="L106" s="87">
        <f t="shared" si="36"/>
        <v>1.1479999999999999</v>
      </c>
      <c r="M106" s="87">
        <f t="shared" si="36"/>
        <v>1.1479999999999999</v>
      </c>
      <c r="N106" s="87">
        <f t="shared" si="36"/>
        <v>1.1479999999999999</v>
      </c>
      <c r="O106" s="87">
        <f t="shared" si="36"/>
        <v>1.1479999999999999</v>
      </c>
      <c r="P106" s="87">
        <f t="shared" si="36"/>
        <v>1.1479999999999999</v>
      </c>
      <c r="Q106" s="284">
        <f t="shared" si="36"/>
        <v>1.1479999999999999</v>
      </c>
    </row>
    <row r="107" spans="1:24" outlineLevel="1">
      <c r="B107" s="67" t="s">
        <v>108</v>
      </c>
      <c r="C107" s="6"/>
      <c r="D107" s="6"/>
      <c r="E107" s="6"/>
      <c r="F107" s="47"/>
      <c r="G107" s="47"/>
      <c r="H107" s="87">
        <f>$H$123/$D$101</f>
        <v>0.64546666666666674</v>
      </c>
      <c r="I107" s="87">
        <f t="shared" si="36"/>
        <v>0.64546666666666674</v>
      </c>
      <c r="J107" s="87">
        <f t="shared" si="36"/>
        <v>0.64546666666666674</v>
      </c>
      <c r="K107" s="87">
        <f t="shared" si="36"/>
        <v>0.64546666666666674</v>
      </c>
      <c r="L107" s="87">
        <f t="shared" si="36"/>
        <v>0.64546666666666674</v>
      </c>
      <c r="M107" s="87">
        <f t="shared" si="36"/>
        <v>0.64546666666666674</v>
      </c>
      <c r="N107" s="87">
        <f t="shared" si="36"/>
        <v>0.64546666666666674</v>
      </c>
      <c r="O107" s="87">
        <f t="shared" si="36"/>
        <v>0.64546666666666674</v>
      </c>
      <c r="P107" s="87">
        <f t="shared" si="36"/>
        <v>0.64546666666666674</v>
      </c>
      <c r="Q107" s="284">
        <f t="shared" si="36"/>
        <v>0.64546666666666674</v>
      </c>
    </row>
    <row r="108" spans="1:24" outlineLevel="1">
      <c r="B108" s="67" t="s">
        <v>109</v>
      </c>
      <c r="C108" s="6"/>
      <c r="D108" s="6"/>
      <c r="E108" s="6"/>
      <c r="F108" s="47"/>
      <c r="G108" s="47"/>
      <c r="H108" s="47"/>
      <c r="I108" s="87">
        <f>$I$123/$D$101</f>
        <v>0.93193333333333328</v>
      </c>
      <c r="J108" s="87">
        <f t="shared" si="36"/>
        <v>0.93193333333333328</v>
      </c>
      <c r="K108" s="87">
        <f t="shared" si="36"/>
        <v>0.93193333333333328</v>
      </c>
      <c r="L108" s="87">
        <f t="shared" si="36"/>
        <v>0.93193333333333328</v>
      </c>
      <c r="M108" s="87">
        <f t="shared" si="36"/>
        <v>0.93193333333333328</v>
      </c>
      <c r="N108" s="87">
        <f t="shared" si="36"/>
        <v>0.93193333333333328</v>
      </c>
      <c r="O108" s="87">
        <f t="shared" si="36"/>
        <v>0.93193333333333328</v>
      </c>
      <c r="P108" s="87">
        <f t="shared" si="36"/>
        <v>0.93193333333333328</v>
      </c>
      <c r="Q108" s="284">
        <f t="shared" si="36"/>
        <v>0.93193333333333328</v>
      </c>
    </row>
    <row r="109" spans="1:24" outlineLevel="1">
      <c r="B109" s="67" t="s">
        <v>110</v>
      </c>
      <c r="C109" s="6"/>
      <c r="D109" s="6"/>
      <c r="E109" s="6"/>
      <c r="F109" s="47"/>
      <c r="G109" s="47"/>
      <c r="H109" s="47"/>
      <c r="I109" s="47"/>
      <c r="J109" s="87">
        <f>$J$123/$D$101</f>
        <v>0.63946666666666674</v>
      </c>
      <c r="K109" s="87">
        <f t="shared" si="36"/>
        <v>0.63946666666666674</v>
      </c>
      <c r="L109" s="87">
        <f t="shared" si="36"/>
        <v>0.63946666666666674</v>
      </c>
      <c r="M109" s="87">
        <f t="shared" si="36"/>
        <v>0.63946666666666674</v>
      </c>
      <c r="N109" s="87">
        <f t="shared" si="36"/>
        <v>0.63946666666666674</v>
      </c>
      <c r="O109" s="87">
        <f t="shared" si="36"/>
        <v>0.63946666666666674</v>
      </c>
      <c r="P109" s="87">
        <f t="shared" si="36"/>
        <v>0.63946666666666674</v>
      </c>
      <c r="Q109" s="284">
        <f t="shared" si="36"/>
        <v>0.63946666666666674</v>
      </c>
    </row>
    <row r="110" spans="1:24" outlineLevel="1">
      <c r="B110" s="67" t="s">
        <v>111</v>
      </c>
      <c r="C110" s="6"/>
      <c r="D110" s="6"/>
      <c r="E110" s="6"/>
      <c r="F110" s="47"/>
      <c r="G110" s="47"/>
      <c r="H110" s="47"/>
      <c r="I110" s="47"/>
      <c r="J110" s="47"/>
      <c r="K110" s="87">
        <f>$K$123/$D$101</f>
        <v>0.23586666666666664</v>
      </c>
      <c r="L110" s="87">
        <f t="shared" si="36"/>
        <v>0.23586666666666664</v>
      </c>
      <c r="M110" s="87">
        <f t="shared" si="36"/>
        <v>0.23586666666666664</v>
      </c>
      <c r="N110" s="87">
        <f t="shared" si="36"/>
        <v>0.23586666666666664</v>
      </c>
      <c r="O110" s="87">
        <f t="shared" si="36"/>
        <v>0.23586666666666664</v>
      </c>
      <c r="P110" s="87">
        <f t="shared" si="36"/>
        <v>0.23586666666666664</v>
      </c>
      <c r="Q110" s="284">
        <f t="shared" si="36"/>
        <v>0.23586666666666664</v>
      </c>
    </row>
    <row r="111" spans="1:24" outlineLevel="1">
      <c r="B111" s="67" t="s">
        <v>112</v>
      </c>
      <c r="C111" s="6"/>
      <c r="D111" s="6"/>
      <c r="E111" s="6"/>
      <c r="F111" s="47"/>
      <c r="G111" s="47"/>
      <c r="H111" s="47"/>
      <c r="I111" s="47"/>
      <c r="J111" s="47"/>
      <c r="K111" s="47"/>
      <c r="L111" s="87">
        <f>$L$123/$D$101</f>
        <v>0.26993333333333336</v>
      </c>
      <c r="M111" s="87">
        <f t="shared" si="36"/>
        <v>0.26993333333333336</v>
      </c>
      <c r="N111" s="87">
        <f t="shared" si="36"/>
        <v>0.26993333333333336</v>
      </c>
      <c r="O111" s="87">
        <f t="shared" si="36"/>
        <v>0.26993333333333336</v>
      </c>
      <c r="P111" s="87">
        <f t="shared" si="36"/>
        <v>0.26993333333333336</v>
      </c>
      <c r="Q111" s="284">
        <f t="shared" si="36"/>
        <v>0.26993333333333336</v>
      </c>
    </row>
    <row r="112" spans="1:24" outlineLevel="1">
      <c r="B112" s="67" t="s">
        <v>113</v>
      </c>
      <c r="C112" s="6"/>
      <c r="D112" s="6"/>
      <c r="E112" s="6"/>
      <c r="F112" s="47"/>
      <c r="G112" s="47"/>
      <c r="H112" s="47"/>
      <c r="I112" s="47"/>
      <c r="J112" s="47"/>
      <c r="K112" s="47"/>
      <c r="L112" s="47"/>
      <c r="M112" s="87">
        <f>$M$123/$D$101</f>
        <v>0.28040000000000004</v>
      </c>
      <c r="N112" s="87">
        <f t="shared" si="36"/>
        <v>0.28040000000000004</v>
      </c>
      <c r="O112" s="87">
        <f t="shared" si="36"/>
        <v>0.28040000000000004</v>
      </c>
      <c r="P112" s="87">
        <f t="shared" si="36"/>
        <v>0.28040000000000004</v>
      </c>
      <c r="Q112" s="284">
        <f t="shared" si="36"/>
        <v>0.28040000000000004</v>
      </c>
    </row>
    <row r="113" spans="1:24" outlineLevel="1">
      <c r="B113" s="67" t="s">
        <v>114</v>
      </c>
      <c r="C113" s="6"/>
      <c r="D113" s="6"/>
      <c r="E113" s="6"/>
      <c r="F113" s="47"/>
      <c r="G113" s="47"/>
      <c r="H113" s="47"/>
      <c r="I113" s="47"/>
      <c r="J113" s="47"/>
      <c r="K113" s="47"/>
      <c r="L113" s="47"/>
      <c r="M113" s="47"/>
      <c r="N113" s="87">
        <f>$N$123/$D$101</f>
        <v>0.28073333333333333</v>
      </c>
      <c r="O113" s="87">
        <f t="shared" si="36"/>
        <v>0.28073333333333333</v>
      </c>
      <c r="P113" s="87">
        <f t="shared" si="36"/>
        <v>0.28073333333333333</v>
      </c>
      <c r="Q113" s="284">
        <f t="shared" si="36"/>
        <v>0.28073333333333333</v>
      </c>
    </row>
    <row r="114" spans="1:24" outlineLevel="1">
      <c r="B114" s="51" t="s">
        <v>115</v>
      </c>
      <c r="C114" s="6"/>
      <c r="D114" s="6"/>
      <c r="E114" s="6"/>
      <c r="F114" s="47"/>
      <c r="G114" s="47"/>
      <c r="H114" s="47"/>
      <c r="I114" s="47"/>
      <c r="J114" s="47"/>
      <c r="K114" s="47"/>
      <c r="L114" s="47"/>
      <c r="M114" s="47"/>
      <c r="N114" s="47"/>
      <c r="O114" s="87">
        <f>$O$123/$D$101</f>
        <v>0.48681058826555312</v>
      </c>
      <c r="P114" s="87">
        <f t="shared" si="36"/>
        <v>0.48681058826555312</v>
      </c>
      <c r="Q114" s="284">
        <f t="shared" si="36"/>
        <v>0.48681058826555312</v>
      </c>
    </row>
    <row r="115" spans="1:24" outlineLevel="1">
      <c r="B115" s="51" t="s">
        <v>361</v>
      </c>
      <c r="C115" s="6"/>
      <c r="D115" s="6"/>
      <c r="E115" s="6"/>
      <c r="F115" s="47"/>
      <c r="G115" s="47"/>
      <c r="H115" s="47"/>
      <c r="I115" s="47"/>
      <c r="J115" s="47"/>
      <c r="K115" s="47"/>
      <c r="L115" s="47"/>
      <c r="M115" s="47"/>
      <c r="N115" s="47"/>
      <c r="O115" s="87"/>
      <c r="P115" s="87">
        <f>$P$123/$D$101</f>
        <v>0.60255223087893839</v>
      </c>
      <c r="Q115" s="284">
        <f t="shared" si="36"/>
        <v>0.60255223087893839</v>
      </c>
    </row>
    <row r="116" spans="1:24" outlineLevel="1">
      <c r="B116" s="51" t="s">
        <v>362</v>
      </c>
      <c r="C116" s="6"/>
      <c r="D116" s="6"/>
      <c r="E116" s="6"/>
      <c r="F116" s="47"/>
      <c r="G116" s="47"/>
      <c r="H116" s="47"/>
      <c r="I116" s="47"/>
      <c r="J116" s="47"/>
      <c r="K116" s="47"/>
      <c r="L116" s="47"/>
      <c r="M116" s="47"/>
      <c r="N116" s="47"/>
      <c r="O116" s="87"/>
      <c r="P116" s="87"/>
      <c r="Q116" s="284">
        <f>$Q$123/$D$101</f>
        <v>0.73957350860852367</v>
      </c>
    </row>
    <row r="117" spans="1:24" outlineLevel="1">
      <c r="B117" s="48"/>
      <c r="C117" s="6"/>
      <c r="D117" s="6"/>
      <c r="E117" s="6"/>
      <c r="F117" s="49"/>
      <c r="G117" s="49"/>
      <c r="H117" s="49"/>
      <c r="I117" s="49"/>
      <c r="J117" s="49"/>
      <c r="K117" s="49"/>
      <c r="L117" s="49"/>
      <c r="M117" s="49"/>
      <c r="N117" s="49"/>
      <c r="O117" s="49"/>
      <c r="P117" s="49"/>
      <c r="Q117" s="285"/>
    </row>
    <row r="118" spans="1:24" outlineLevel="1">
      <c r="B118" s="67" t="s">
        <v>116</v>
      </c>
      <c r="C118" s="6"/>
      <c r="D118" s="6"/>
      <c r="E118" s="6"/>
      <c r="F118" s="204">
        <f>CF!F12</f>
        <v>4.7629999999999999</v>
      </c>
      <c r="G118" s="204">
        <f>CF!G12</f>
        <v>6.1609999999999996</v>
      </c>
      <c r="H118" s="204">
        <f>CF!H12</f>
        <v>9.9990000000000006</v>
      </c>
      <c r="I118" s="87">
        <f>SUM(I103:I116)</f>
        <v>4.3913333333333329</v>
      </c>
      <c r="J118" s="87">
        <f t="shared" ref="J118:Q118" si="37">SUM(J103:J116)</f>
        <v>5.0307999999999993</v>
      </c>
      <c r="K118" s="87">
        <f t="shared" si="37"/>
        <v>5.2666666666666657</v>
      </c>
      <c r="L118" s="87">
        <f t="shared" si="37"/>
        <v>5.5365999999999991</v>
      </c>
      <c r="M118" s="87">
        <f t="shared" si="37"/>
        <v>5.8169999999999993</v>
      </c>
      <c r="N118" s="87">
        <f t="shared" si="37"/>
        <v>6.0977333333333323</v>
      </c>
      <c r="O118" s="87">
        <f t="shared" si="37"/>
        <v>6.5845439215988852</v>
      </c>
      <c r="P118" s="87">
        <f t="shared" si="37"/>
        <v>7.1870961524778236</v>
      </c>
      <c r="Q118" s="284">
        <f t="shared" si="37"/>
        <v>7.926669661086347</v>
      </c>
      <c r="R118" s="8"/>
      <c r="S118" s="8"/>
      <c r="T118" s="8"/>
    </row>
    <row r="119" spans="1:24" outlineLevel="1">
      <c r="A119" s="6"/>
      <c r="B119" s="68" t="s">
        <v>117</v>
      </c>
      <c r="C119" s="30"/>
      <c r="D119" s="30"/>
      <c r="E119" s="30"/>
      <c r="F119" s="30"/>
      <c r="G119" s="85">
        <f>G118/IS!O50</f>
        <v>5.8887625091996978E-2</v>
      </c>
      <c r="H119" s="85">
        <f>H118/IS!T50</f>
        <v>8.3130336462117871E-2</v>
      </c>
      <c r="I119" s="85">
        <f>I118/IS!Y50</f>
        <v>2.1375883901074467E-2</v>
      </c>
      <c r="J119" s="85">
        <f>J118/IS!AD50</f>
        <v>1.9724450508519762E-2</v>
      </c>
      <c r="K119" s="85">
        <f>K118/IS!AI50</f>
        <v>2.3980596965088502E-2</v>
      </c>
      <c r="L119" s="85">
        <f>L118/IS!AN50</f>
        <v>2.4479383129802718E-2</v>
      </c>
      <c r="M119" s="85">
        <f>M118/IS!AS50</f>
        <v>2.0354106161867107E-2</v>
      </c>
      <c r="N119" s="85">
        <f>N118/IS!AX50</f>
        <v>1.640759047934252E-2</v>
      </c>
      <c r="O119" s="85">
        <f>O118/IS!BC50</f>
        <v>1.5752088670410919E-2</v>
      </c>
      <c r="P119" s="85">
        <f>P118/IS!BH50</f>
        <v>1.6701014100343033E-2</v>
      </c>
      <c r="Q119" s="286">
        <f>Q118/IS!BM50</f>
        <v>1.8873440215760706E-2</v>
      </c>
      <c r="R119" s="8"/>
      <c r="S119" s="8"/>
      <c r="T119" s="8"/>
      <c r="U119" s="6"/>
      <c r="V119" s="6"/>
      <c r="W119" s="6"/>
      <c r="X119" s="6"/>
    </row>
    <row r="120" spans="1:24" outlineLevel="1">
      <c r="A120" s="6"/>
      <c r="B120" s="28"/>
      <c r="C120" s="6"/>
      <c r="D120" s="6"/>
      <c r="E120" s="6"/>
      <c r="F120" s="6"/>
      <c r="G120" s="29"/>
      <c r="H120" s="29"/>
      <c r="I120" s="29"/>
      <c r="J120" s="29"/>
      <c r="K120" s="29"/>
      <c r="L120" s="29"/>
      <c r="M120" s="29"/>
      <c r="N120" s="29"/>
      <c r="O120" s="29"/>
      <c r="P120" s="29"/>
      <c r="Q120" s="29"/>
      <c r="R120" s="8"/>
      <c r="S120" s="8"/>
      <c r="T120" s="8"/>
      <c r="U120" s="6"/>
      <c r="V120" s="6"/>
      <c r="W120" s="6"/>
      <c r="X120" s="6"/>
    </row>
    <row r="121" spans="1:24" outlineLevel="1">
      <c r="A121" s="6"/>
      <c r="B121" s="91" t="s">
        <v>118</v>
      </c>
      <c r="C121" s="26"/>
      <c r="D121" s="26"/>
      <c r="E121" s="26"/>
      <c r="F121" s="50"/>
      <c r="G121" s="90"/>
      <c r="H121" s="90"/>
      <c r="I121" s="90"/>
      <c r="J121" s="90"/>
      <c r="K121" s="90"/>
      <c r="L121" s="90"/>
      <c r="M121" s="90"/>
      <c r="N121" s="90"/>
      <c r="O121" s="90"/>
      <c r="P121" s="90"/>
      <c r="Q121" s="1067"/>
      <c r="R121" s="8"/>
      <c r="S121" s="8"/>
      <c r="T121" s="8"/>
      <c r="U121" s="6"/>
      <c r="V121" s="6"/>
      <c r="W121" s="6"/>
      <c r="X121" s="6"/>
    </row>
    <row r="122" spans="1:24" outlineLevel="1">
      <c r="A122" s="6"/>
      <c r="B122" s="67" t="s">
        <v>123</v>
      </c>
      <c r="C122" s="6"/>
      <c r="D122" s="6"/>
      <c r="E122" s="6"/>
      <c r="F122" s="23"/>
      <c r="G122" s="87">
        <f t="shared" ref="G122:O122" si="38">F126</f>
        <v>21.754000000000001</v>
      </c>
      <c r="H122" s="87">
        <f t="shared" si="38"/>
        <v>34.369</v>
      </c>
      <c r="I122" s="87">
        <f t="shared" si="38"/>
        <v>33.625</v>
      </c>
      <c r="J122" s="87">
        <f t="shared" si="38"/>
        <v>37.536999999999999</v>
      </c>
      <c r="K122" s="87">
        <f t="shared" si="38"/>
        <v>37.375999999999998</v>
      </c>
      <c r="L122" s="87">
        <f t="shared" si="38"/>
        <v>29.826000000000001</v>
      </c>
      <c r="M122" s="87">
        <f t="shared" si="38"/>
        <v>21.074999999999999</v>
      </c>
      <c r="N122" s="87">
        <f t="shared" si="38"/>
        <v>20.512</v>
      </c>
      <c r="O122" s="87">
        <f t="shared" si="38"/>
        <v>17.274000000000001</v>
      </c>
      <c r="P122" s="87">
        <f>O126</f>
        <v>17.991614902384413</v>
      </c>
      <c r="Q122" s="284">
        <f>P126</f>
        <v>19.842802213090664</v>
      </c>
      <c r="R122" s="8"/>
      <c r="S122" s="8"/>
      <c r="T122" s="8"/>
      <c r="U122" s="6"/>
      <c r="V122" s="6"/>
      <c r="W122" s="6"/>
      <c r="X122" s="6"/>
    </row>
    <row r="123" spans="1:24" outlineLevel="1">
      <c r="A123" s="6"/>
      <c r="B123" s="51" t="s">
        <v>119</v>
      </c>
      <c r="C123" s="6"/>
      <c r="D123" s="80"/>
      <c r="E123" s="80">
        <v>21.465</v>
      </c>
      <c r="F123" s="80">
        <f>-CF!F42</f>
        <v>3.524</v>
      </c>
      <c r="G123" s="80">
        <f>-CF!G42</f>
        <v>17.22</v>
      </c>
      <c r="H123" s="80">
        <f>-CF!H42</f>
        <v>9.6820000000000004</v>
      </c>
      <c r="I123" s="80">
        <f>-CF!I42</f>
        <v>13.978999999999999</v>
      </c>
      <c r="J123" s="80">
        <f>-CF!J42</f>
        <v>9.5920000000000005</v>
      </c>
      <c r="K123" s="80">
        <f>-CF!K42</f>
        <v>3.5379999999999998</v>
      </c>
      <c r="L123" s="529">
        <f>-CF!L42</f>
        <v>4.0490000000000004</v>
      </c>
      <c r="M123" s="87">
        <f>-CF!M42</f>
        <v>4.2060000000000004</v>
      </c>
      <c r="N123" s="87">
        <f>-CF!N42</f>
        <v>4.2110000000000003</v>
      </c>
      <c r="O123" s="87">
        <f>O124*IS!BC29</f>
        <v>7.3021588239832971</v>
      </c>
      <c r="P123" s="87">
        <f>P124*IS!BH29</f>
        <v>9.0382834631840758</v>
      </c>
      <c r="Q123" s="284">
        <f>Q124*IS!BM29</f>
        <v>11.093602629127854</v>
      </c>
      <c r="R123" s="8"/>
      <c r="S123" s="8"/>
      <c r="T123" s="8"/>
      <c r="U123" s="6"/>
      <c r="V123" s="6"/>
      <c r="W123" s="6"/>
      <c r="X123" s="6"/>
    </row>
    <row r="124" spans="1:24" outlineLevel="1">
      <c r="A124" s="6"/>
      <c r="B124" s="67" t="s">
        <v>120</v>
      </c>
      <c r="C124" s="6"/>
      <c r="D124" s="79"/>
      <c r="E124" s="79">
        <f>E123/IS!E29</f>
        <v>1.1676548985475712</v>
      </c>
      <c r="F124" s="79">
        <f>F123/IS!J29</f>
        <v>0.10267766090731623</v>
      </c>
      <c r="G124" s="79">
        <f>G123/IS!O29</f>
        <v>0.39263971543881249</v>
      </c>
      <c r="H124" s="79">
        <f>H123/IS!T29</f>
        <v>0.14698425710859103</v>
      </c>
      <c r="I124" s="79">
        <f>I123/IS!Y29</f>
        <v>9.3041365769243572E-2</v>
      </c>
      <c r="J124" s="79">
        <f>J123/IS!AD29</f>
        <v>0.41921244700843496</v>
      </c>
      <c r="K124" s="79">
        <f>K123/IS!AE29</f>
        <v>0.24224580623074288</v>
      </c>
      <c r="L124" s="530">
        <f>L123/IS!AF29</f>
        <v>0.59195906432748546</v>
      </c>
      <c r="M124" s="530">
        <f>M123/IS!AG29</f>
        <v>0.24861094692043981</v>
      </c>
      <c r="N124" s="530">
        <f>N123/IS!AH29</f>
        <v>0.11060331468494737</v>
      </c>
      <c r="O124" s="86">
        <v>0.02</v>
      </c>
      <c r="P124" s="86">
        <v>0.02</v>
      </c>
      <c r="Q124" s="1068">
        <v>0.02</v>
      </c>
      <c r="R124" s="8"/>
      <c r="S124" s="8"/>
      <c r="T124" s="8"/>
      <c r="U124" s="6"/>
      <c r="V124" s="6"/>
      <c r="W124" s="6"/>
      <c r="X124" s="6"/>
    </row>
    <row r="125" spans="1:24" outlineLevel="1">
      <c r="A125" s="6"/>
      <c r="B125" s="51" t="s">
        <v>121</v>
      </c>
      <c r="C125" s="6"/>
      <c r="D125" s="6"/>
      <c r="E125" s="6"/>
      <c r="F125" s="87">
        <f>CF!F12</f>
        <v>4.7629999999999999</v>
      </c>
      <c r="G125" s="87">
        <f>CF!G12</f>
        <v>6.1609999999999996</v>
      </c>
      <c r="H125" s="87">
        <f>CF!H12</f>
        <v>9.9990000000000006</v>
      </c>
      <c r="I125" s="87">
        <f>CF!I12</f>
        <v>11.324999999999999</v>
      </c>
      <c r="J125" s="87">
        <f>CF!J12</f>
        <v>11.728999999999999</v>
      </c>
      <c r="K125" s="87">
        <f>CF!K12</f>
        <v>12.331</v>
      </c>
      <c r="L125" s="87">
        <f>CF!L12</f>
        <v>11.63</v>
      </c>
      <c r="M125" s="87">
        <f>CF!M12</f>
        <v>11.26</v>
      </c>
      <c r="N125" s="87">
        <f>CF!N12</f>
        <v>14.617000000000001</v>
      </c>
      <c r="O125" s="87">
        <f>O118</f>
        <v>6.5845439215988852</v>
      </c>
      <c r="P125" s="87">
        <f>P118</f>
        <v>7.1870961524778236</v>
      </c>
      <c r="Q125" s="284">
        <f>Q118</f>
        <v>7.926669661086347</v>
      </c>
      <c r="R125" s="8"/>
      <c r="S125" s="8"/>
      <c r="T125" s="8"/>
      <c r="U125" s="6"/>
      <c r="V125" s="6"/>
      <c r="W125" s="6"/>
      <c r="X125" s="6"/>
    </row>
    <row r="126" spans="1:24" outlineLevel="1">
      <c r="A126" s="6"/>
      <c r="B126" s="68" t="s">
        <v>122</v>
      </c>
      <c r="C126" s="1069"/>
      <c r="D126" s="1069"/>
      <c r="E126" s="1069"/>
      <c r="F126" s="1070">
        <f t="shared" ref="F126:N126" si="39">F17</f>
        <v>21.754000000000001</v>
      </c>
      <c r="G126" s="1070">
        <f t="shared" si="39"/>
        <v>34.369</v>
      </c>
      <c r="H126" s="1070">
        <f t="shared" si="39"/>
        <v>33.625</v>
      </c>
      <c r="I126" s="1070">
        <f t="shared" si="39"/>
        <v>37.536999999999999</v>
      </c>
      <c r="J126" s="1070">
        <f t="shared" si="39"/>
        <v>37.375999999999998</v>
      </c>
      <c r="K126" s="1070">
        <f t="shared" si="39"/>
        <v>29.826000000000001</v>
      </c>
      <c r="L126" s="1070">
        <f t="shared" si="39"/>
        <v>21.074999999999999</v>
      </c>
      <c r="M126" s="1070">
        <f t="shared" si="39"/>
        <v>20.512</v>
      </c>
      <c r="N126" s="1070">
        <f t="shared" si="39"/>
        <v>17.274000000000001</v>
      </c>
      <c r="O126" s="1071">
        <f>SUM(O122,O123,-O125)</f>
        <v>17.991614902384413</v>
      </c>
      <c r="P126" s="1071">
        <f>SUM(P122,P123,-P125)</f>
        <v>19.842802213090664</v>
      </c>
      <c r="Q126" s="1072">
        <f>SUM(Q122,Q123,-Q125)</f>
        <v>23.009735181132172</v>
      </c>
      <c r="R126" s="8"/>
      <c r="S126" s="8"/>
      <c r="T126" s="8"/>
      <c r="U126" s="6"/>
      <c r="V126" s="6"/>
      <c r="W126" s="6"/>
      <c r="X126" s="6"/>
    </row>
    <row r="127" spans="1:24" outlineLevel="1">
      <c r="B127" s="63"/>
      <c r="G127" s="7"/>
      <c r="H127" s="7"/>
      <c r="I127" s="52"/>
      <c r="J127" s="53"/>
      <c r="K127" s="7"/>
      <c r="L127" s="7"/>
      <c r="M127" s="7"/>
      <c r="N127" s="7"/>
      <c r="O127" s="7"/>
      <c r="P127" s="7"/>
      <c r="Q127" s="7"/>
      <c r="R127" s="8"/>
      <c r="S127" s="8"/>
      <c r="T127" s="8"/>
    </row>
    <row r="128" spans="1:24" outlineLevel="1">
      <c r="B128" s="300" t="s">
        <v>124</v>
      </c>
      <c r="C128" s="300"/>
      <c r="D128" s="300"/>
      <c r="E128" s="300"/>
      <c r="F128" s="300"/>
      <c r="G128" s="137"/>
      <c r="H128" s="406">
        <f>+DCF!P14</f>
        <v>15.286659658331253</v>
      </c>
      <c r="I128" s="137"/>
      <c r="J128" s="137"/>
      <c r="K128" s="137"/>
      <c r="L128" s="137"/>
      <c r="M128" s="137"/>
      <c r="N128" s="137"/>
      <c r="O128" s="137"/>
      <c r="P128" s="137"/>
      <c r="Q128" s="137"/>
      <c r="R128" s="54"/>
      <c r="S128" s="54"/>
      <c r="T128" s="54"/>
    </row>
    <row r="129" spans="2:20" outlineLevel="1">
      <c r="B129" s="342" t="s">
        <v>440</v>
      </c>
      <c r="C129" s="343"/>
      <c r="D129" s="344"/>
      <c r="E129" s="344"/>
      <c r="F129" s="344">
        <v>8</v>
      </c>
      <c r="G129" s="344">
        <v>11.639567099567097</v>
      </c>
      <c r="H129" s="344">
        <v>13.132153944664037</v>
      </c>
      <c r="I129" s="344">
        <v>12.728782868525911</v>
      </c>
      <c r="J129" s="506">
        <v>12.918599771146244</v>
      </c>
      <c r="K129" s="506">
        <v>13.437580000000001</v>
      </c>
      <c r="L129" s="506">
        <v>13.02198412698413</v>
      </c>
      <c r="M129" s="344">
        <f>+L129*(1+$S$130)</f>
        <v>13.673083333333336</v>
      </c>
      <c r="N129" s="344">
        <f>+M129*(1+$S$130)</f>
        <v>14.356737500000003</v>
      </c>
      <c r="O129" s="344">
        <f>+N129*(1+$S$130)</f>
        <v>15.074574375000005</v>
      </c>
      <c r="P129" s="344">
        <f>+O129*(1+$S$130)</f>
        <v>15.828303093750005</v>
      </c>
      <c r="Q129" s="345">
        <f>+P129*(1+$S$130)</f>
        <v>16.619718248437508</v>
      </c>
      <c r="R129" s="8"/>
      <c r="S129" s="8"/>
      <c r="T129" s="8"/>
    </row>
    <row r="130" spans="2:20" outlineLevel="1">
      <c r="B130" s="346" t="s">
        <v>125</v>
      </c>
      <c r="C130" s="302"/>
      <c r="D130" s="303"/>
      <c r="E130" s="303"/>
      <c r="F130" s="304">
        <v>11.505865999999999</v>
      </c>
      <c r="G130" s="304">
        <v>13.691579000000001</v>
      </c>
      <c r="H130" s="304">
        <v>14.603229499999999</v>
      </c>
      <c r="I130" s="304">
        <v>16.424499999999998</v>
      </c>
      <c r="J130" s="304">
        <f t="shared" ref="J130:O130" si="40">I130+I141-I135-I133</f>
        <v>19.539428999999995</v>
      </c>
      <c r="K130" s="304">
        <f t="shared" si="40"/>
        <v>20.927873999999996</v>
      </c>
      <c r="L130" s="304">
        <f t="shared" si="40"/>
        <v>19.957772999999996</v>
      </c>
      <c r="M130" s="304">
        <f t="shared" si="40"/>
        <v>20.566859999999995</v>
      </c>
      <c r="N130" s="304">
        <f t="shared" si="40"/>
        <v>21.280070551089157</v>
      </c>
      <c r="O130" s="304">
        <f t="shared" si="40"/>
        <v>22.018013574232143</v>
      </c>
      <c r="P130" s="304">
        <f>O130+O141-O135-O133</f>
        <v>22.781546733653016</v>
      </c>
      <c r="Q130" s="347">
        <f>P130+P141-P135-P133</f>
        <v>23.571557435363054</v>
      </c>
      <c r="S130" s="405">
        <v>0.05</v>
      </c>
      <c r="T130" s="8"/>
    </row>
    <row r="131" spans="2:20" outlineLevel="1">
      <c r="B131" s="346" t="s">
        <v>392</v>
      </c>
      <c r="C131" s="302"/>
      <c r="D131" s="302"/>
      <c r="E131" s="302"/>
      <c r="F131" s="303"/>
      <c r="G131" s="303">
        <v>7.0859670000000001</v>
      </c>
      <c r="H131" s="303">
        <v>6.779369</v>
      </c>
      <c r="I131" s="303">
        <f>8.194142</f>
        <v>8.1941419999999994</v>
      </c>
      <c r="J131" s="507">
        <f>10.220168</f>
        <v>10.220167999999999</v>
      </c>
      <c r="K131" s="507">
        <v>11.570658</v>
      </c>
      <c r="L131" s="507">
        <v>12.669438</v>
      </c>
      <c r="M131" s="303">
        <f>M130*M132</f>
        <v>13.056093865015901</v>
      </c>
      <c r="N131" s="303">
        <f>N130*N132</f>
        <v>13.508848631691018</v>
      </c>
      <c r="O131" s="303">
        <f>O130*O132</f>
        <v>13.977303873628214</v>
      </c>
      <c r="P131" s="303">
        <f>P130*P132</f>
        <v>14.462004046549655</v>
      </c>
      <c r="Q131" s="348">
        <f>Q130*Q132</f>
        <v>14.963512486627204</v>
      </c>
      <c r="S131" s="8"/>
      <c r="T131" s="8"/>
    </row>
    <row r="132" spans="2:20" outlineLevel="1">
      <c r="B132" s="349" t="s">
        <v>126</v>
      </c>
      <c r="C132" s="396"/>
      <c r="D132" s="396"/>
      <c r="E132" s="396"/>
      <c r="F132" s="397">
        <f t="shared" ref="F132:L132" si="41">F131/F130</f>
        <v>0</v>
      </c>
      <c r="G132" s="397">
        <f t="shared" si="41"/>
        <v>0.51754198693956333</v>
      </c>
      <c r="H132" s="397">
        <f t="shared" si="41"/>
        <v>0.46423765373268977</v>
      </c>
      <c r="I132" s="397">
        <f t="shared" si="41"/>
        <v>0.49889750068495237</v>
      </c>
      <c r="J132" s="397">
        <f t="shared" si="41"/>
        <v>0.52305356517838886</v>
      </c>
      <c r="K132" s="397">
        <f t="shared" si="41"/>
        <v>0.55288262916720554</v>
      </c>
      <c r="L132" s="533">
        <f t="shared" si="41"/>
        <v>0.63481221076119076</v>
      </c>
      <c r="M132" s="398">
        <f>L132</f>
        <v>0.63481221076119076</v>
      </c>
      <c r="N132" s="398">
        <f>M132</f>
        <v>0.63481221076119076</v>
      </c>
      <c r="O132" s="398">
        <f>N132</f>
        <v>0.63481221076119076</v>
      </c>
      <c r="P132" s="398">
        <f>O132</f>
        <v>0.63481221076119076</v>
      </c>
      <c r="Q132" s="399">
        <f>P132</f>
        <v>0.63481221076119076</v>
      </c>
      <c r="S132" s="8"/>
      <c r="T132" s="8"/>
    </row>
    <row r="133" spans="2:20" outlineLevel="1">
      <c r="B133" s="349" t="s">
        <v>127</v>
      </c>
      <c r="C133" s="305"/>
      <c r="D133" s="306"/>
      <c r="E133" s="306"/>
      <c r="F133" s="306">
        <v>0.469412</v>
      </c>
      <c r="G133" s="303">
        <v>9.4166E-2</v>
      </c>
      <c r="H133" s="303">
        <v>0.29141299999999998</v>
      </c>
      <c r="I133" s="303">
        <f>0.347684</f>
        <v>0.34768399999999999</v>
      </c>
      <c r="J133" s="507">
        <f>0.645784</f>
        <v>0.64578400000000002</v>
      </c>
      <c r="K133" s="507">
        <v>2.1298430000000002</v>
      </c>
      <c r="L133" s="507">
        <v>0.90453300000000003</v>
      </c>
      <c r="M133" s="303">
        <f>M134*M130</f>
        <v>0.93213824891083796</v>
      </c>
      <c r="N133" s="303">
        <f>N134*N130</f>
        <v>0.96446262094414714</v>
      </c>
      <c r="O133" s="303">
        <f>O134*O130</f>
        <v>0.99790792651769955</v>
      </c>
      <c r="P133" s="303">
        <f>P134*P130</f>
        <v>1.0325130369822009</v>
      </c>
      <c r="Q133" s="348">
        <f>Q134*Q130</f>
        <v>1.0683181716557881</v>
      </c>
      <c r="S133" s="55"/>
    </row>
    <row r="134" spans="2:20" outlineLevel="1">
      <c r="B134" s="349" t="s">
        <v>128</v>
      </c>
      <c r="C134" s="396"/>
      <c r="D134" s="397"/>
      <c r="E134" s="397"/>
      <c r="F134" s="397">
        <f t="shared" ref="F134:L134" si="42">F133/F130</f>
        <v>4.0797624446521456E-2</v>
      </c>
      <c r="G134" s="397">
        <f t="shared" si="42"/>
        <v>6.8776581576164442E-3</v>
      </c>
      <c r="H134" s="397">
        <f t="shared" si="42"/>
        <v>1.9955380417735678E-2</v>
      </c>
      <c r="I134" s="397">
        <f t="shared" si="42"/>
        <v>2.1168620049316571E-2</v>
      </c>
      <c r="J134" s="397">
        <f t="shared" si="42"/>
        <v>3.3050300497522223E-2</v>
      </c>
      <c r="K134" s="397">
        <f t="shared" si="42"/>
        <v>0.10177063374903732</v>
      </c>
      <c r="L134" s="533">
        <f t="shared" si="42"/>
        <v>4.5322341325357306E-2</v>
      </c>
      <c r="M134" s="398">
        <f>+L134</f>
        <v>4.5322341325357306E-2</v>
      </c>
      <c r="N134" s="398">
        <f>+M134</f>
        <v>4.5322341325357306E-2</v>
      </c>
      <c r="O134" s="398">
        <f>+N134</f>
        <v>4.5322341325357306E-2</v>
      </c>
      <c r="P134" s="398">
        <f>+O134</f>
        <v>4.5322341325357306E-2</v>
      </c>
      <c r="Q134" s="399">
        <f>+P134</f>
        <v>4.5322341325357306E-2</v>
      </c>
      <c r="S134" s="8"/>
      <c r="T134" s="8"/>
    </row>
    <row r="135" spans="2:20" outlineLevel="1">
      <c r="B135" s="349" t="s">
        <v>129</v>
      </c>
      <c r="C135" s="305"/>
      <c r="D135" s="306"/>
      <c r="E135" s="306"/>
      <c r="F135" s="306">
        <v>0.25587500000000002</v>
      </c>
      <c r="G135" s="303">
        <v>1.746184</v>
      </c>
      <c r="H135" s="303">
        <v>1.5023660000000001</v>
      </c>
      <c r="I135" s="303">
        <f>0.866637</f>
        <v>0.86663699999999999</v>
      </c>
      <c r="J135" s="507">
        <f>1.823141</f>
        <v>1.8231409999999999</v>
      </c>
      <c r="K135" s="507">
        <v>3.3430580000000001</v>
      </c>
      <c r="L135" s="507">
        <v>2.0053299999999998</v>
      </c>
      <c r="M135" s="303">
        <f>M136*M130</f>
        <v>0.4113371999999999</v>
      </c>
      <c r="N135" s="303">
        <f>N136*N130</f>
        <v>0.42560141102178317</v>
      </c>
      <c r="O135" s="303">
        <f>O136*O130</f>
        <v>0.44036027148464285</v>
      </c>
      <c r="P135" s="303">
        <f>P136*P130</f>
        <v>0.45563093467306032</v>
      </c>
      <c r="Q135" s="348">
        <f>Q136*Q130</f>
        <v>0.47143114870726111</v>
      </c>
    </row>
    <row r="136" spans="2:20" outlineLevel="1">
      <c r="B136" s="349" t="s">
        <v>130</v>
      </c>
      <c r="C136" s="400"/>
      <c r="D136" s="401"/>
      <c r="E136" s="401"/>
      <c r="F136" s="401">
        <f t="shared" ref="F136:L136" si="43">F135/F130</f>
        <v>2.2238656351464551E-2</v>
      </c>
      <c r="G136" s="401">
        <f t="shared" si="43"/>
        <v>0.12753707954356469</v>
      </c>
      <c r="H136" s="401">
        <f t="shared" si="43"/>
        <v>0.10287902412271205</v>
      </c>
      <c r="I136" s="401">
        <f t="shared" si="43"/>
        <v>5.2764893908490366E-2</v>
      </c>
      <c r="J136" s="401">
        <f t="shared" si="43"/>
        <v>9.3305746037921605E-2</v>
      </c>
      <c r="K136" s="401">
        <f t="shared" si="43"/>
        <v>0.15974188300254488</v>
      </c>
      <c r="L136" s="533">
        <f t="shared" si="43"/>
        <v>0.100478645588363</v>
      </c>
      <c r="M136" s="398">
        <v>0.02</v>
      </c>
      <c r="N136" s="398">
        <v>0.02</v>
      </c>
      <c r="O136" s="398">
        <v>0.02</v>
      </c>
      <c r="P136" s="398">
        <v>0.02</v>
      </c>
      <c r="Q136" s="399">
        <v>0.02</v>
      </c>
    </row>
    <row r="137" spans="2:20" outlineLevel="1">
      <c r="B137" s="349" t="s">
        <v>131</v>
      </c>
      <c r="C137" s="307"/>
      <c r="D137" s="308"/>
      <c r="E137" s="308"/>
      <c r="F137" s="308">
        <v>1.06</v>
      </c>
      <c r="G137" s="309">
        <v>1.01</v>
      </c>
      <c r="H137" s="309">
        <v>1.8</v>
      </c>
      <c r="I137" s="309">
        <v>3.04</v>
      </c>
      <c r="J137" s="508">
        <f>3.37</f>
        <v>3.37</v>
      </c>
      <c r="K137" s="508">
        <v>6.17</v>
      </c>
      <c r="L137" s="508">
        <v>5.49</v>
      </c>
      <c r="M137" s="309">
        <f>L137*(1+$S$137)</f>
        <v>6.5880000000000001</v>
      </c>
      <c r="N137" s="309">
        <f>M137*(1+$S$137)</f>
        <v>7.9055999999999997</v>
      </c>
      <c r="O137" s="309">
        <f>N137*(1+$S$137)</f>
        <v>9.48672</v>
      </c>
      <c r="P137" s="309">
        <f>O137*(1+$S$137)</f>
        <v>11.384064</v>
      </c>
      <c r="Q137" s="350">
        <f>P137*(1+$S$137)</f>
        <v>13.6608768</v>
      </c>
      <c r="S137" s="405">
        <v>0.2</v>
      </c>
      <c r="T137" s="123"/>
    </row>
    <row r="138" spans="2:20" outlineLevel="1">
      <c r="B138" s="349" t="s">
        <v>132</v>
      </c>
      <c r="C138" s="396"/>
      <c r="D138" s="402"/>
      <c r="E138" s="402"/>
      <c r="F138" s="402">
        <f>IS!J59</f>
        <v>4.9092778717617011E-3</v>
      </c>
      <c r="G138" s="402">
        <f>IS!O59</f>
        <v>4.9599865217757569E-2</v>
      </c>
      <c r="H138" s="402">
        <f>IS!T59</f>
        <v>-5.6479093322288535E-5</v>
      </c>
      <c r="I138" s="402">
        <f>IS!Y59</f>
        <v>0</v>
      </c>
      <c r="J138" s="402">
        <f>IS!AD59</f>
        <v>0</v>
      </c>
      <c r="K138" s="402">
        <f>IS!AI59</f>
        <v>0</v>
      </c>
      <c r="L138" s="402">
        <f>IS!AN59</f>
        <v>0</v>
      </c>
      <c r="M138" s="402">
        <f>IS!AS59</f>
        <v>0</v>
      </c>
      <c r="N138" s="402">
        <f>IS!AX59</f>
        <v>0</v>
      </c>
      <c r="O138" s="402">
        <f>IS!BC59</f>
        <v>0</v>
      </c>
      <c r="P138" s="402">
        <f>IS!BH59</f>
        <v>0</v>
      </c>
      <c r="Q138" s="403">
        <f>IS!BM59</f>
        <v>0</v>
      </c>
    </row>
    <row r="139" spans="2:20" outlineLevel="1">
      <c r="B139" s="349" t="s">
        <v>133</v>
      </c>
      <c r="C139" s="310"/>
      <c r="D139" s="311"/>
      <c r="E139" s="311"/>
      <c r="F139" s="311">
        <v>0.27200000000000002</v>
      </c>
      <c r="G139" s="303">
        <f>2.021+0.259</f>
        <v>2.2799999999999998</v>
      </c>
      <c r="H139" s="303">
        <f>3.391+0.03</f>
        <v>3.4209999999999998</v>
      </c>
      <c r="I139" s="303">
        <f t="shared" ref="I139:O139" si="44">I137*I135</f>
        <v>2.6345764800000002</v>
      </c>
      <c r="J139" s="303">
        <f t="shared" si="44"/>
        <v>6.1439851699999997</v>
      </c>
      <c r="K139" s="303">
        <f t="shared" si="44"/>
        <v>20.626667860000001</v>
      </c>
      <c r="L139" s="303">
        <f t="shared" si="44"/>
        <v>11.0092617</v>
      </c>
      <c r="M139" s="303">
        <f t="shared" si="44"/>
        <v>2.7098894735999992</v>
      </c>
      <c r="N139" s="303">
        <f t="shared" si="44"/>
        <v>3.3646345149738091</v>
      </c>
      <c r="O139" s="303">
        <f t="shared" si="44"/>
        <v>4.1775745946987914</v>
      </c>
      <c r="P139" s="303">
        <f>P137*P135</f>
        <v>5.1869317206979382</v>
      </c>
      <c r="Q139" s="348">
        <f>Q137*Q135</f>
        <v>6.4401628421723736</v>
      </c>
      <c r="S139" s="105"/>
    </row>
    <row r="140" spans="2:20" outlineLevel="1">
      <c r="B140" s="349" t="s">
        <v>134</v>
      </c>
      <c r="C140" s="312"/>
      <c r="D140" s="313"/>
      <c r="E140" s="313"/>
      <c r="F140" s="313"/>
      <c r="G140" s="314"/>
      <c r="H140" s="313">
        <v>0</v>
      </c>
      <c r="I140" s="313">
        <v>0</v>
      </c>
      <c r="J140" s="509">
        <v>0</v>
      </c>
      <c r="K140" s="509">
        <v>0</v>
      </c>
      <c r="L140" s="509">
        <v>0</v>
      </c>
      <c r="M140" s="313">
        <f>(M129-M137)*M135*M138</f>
        <v>0</v>
      </c>
      <c r="N140" s="313">
        <f>(N129-N137)*N135*N138</f>
        <v>0</v>
      </c>
      <c r="O140" s="313">
        <f>(O129-O137)*O135*O138</f>
        <v>0</v>
      </c>
      <c r="P140" s="313">
        <f>(P129-P137)*P135*P138</f>
        <v>0</v>
      </c>
      <c r="Q140" s="313">
        <f>(Q129-Q137)*Q135*Q138</f>
        <v>0</v>
      </c>
    </row>
    <row r="141" spans="2:20" outlineLevel="1">
      <c r="B141" s="349" t="s">
        <v>135</v>
      </c>
      <c r="C141" s="305"/>
      <c r="D141" s="306"/>
      <c r="E141" s="306"/>
      <c r="F141" s="306">
        <v>2.911</v>
      </c>
      <c r="G141" s="303">
        <v>2.7519999999999998</v>
      </c>
      <c r="H141" s="303">
        <v>3.6150500000000001</v>
      </c>
      <c r="I141" s="303">
        <f>4.32925</f>
        <v>4.32925</v>
      </c>
      <c r="J141" s="507">
        <f xml:space="preserve">   3.85737</f>
        <v>3.85737</v>
      </c>
      <c r="K141" s="507">
        <v>4.5027999999999997</v>
      </c>
      <c r="L141" s="507">
        <v>3.5189499999999998</v>
      </c>
      <c r="M141" s="303">
        <f>M142*M130</f>
        <v>2.0566859999999996</v>
      </c>
      <c r="N141" s="303">
        <f>N142*N130</f>
        <v>2.1280070551089159</v>
      </c>
      <c r="O141" s="303">
        <f>O142*O130</f>
        <v>2.2018013574232143</v>
      </c>
      <c r="P141" s="303">
        <f>P142*P130</f>
        <v>2.2781546733653015</v>
      </c>
      <c r="Q141" s="348">
        <f>Q142*Q130</f>
        <v>2.3571557435363055</v>
      </c>
      <c r="S141" s="239"/>
    </row>
    <row r="142" spans="2:20" outlineLevel="1">
      <c r="B142" s="349" t="s">
        <v>130</v>
      </c>
      <c r="C142" s="400"/>
      <c r="D142" s="404"/>
      <c r="E142" s="404"/>
      <c r="F142" s="404">
        <f t="shared" ref="F142:L142" si="45">F141/F130</f>
        <v>0.25300138207762896</v>
      </c>
      <c r="G142" s="404">
        <f t="shared" si="45"/>
        <v>0.2009994610555875</v>
      </c>
      <c r="H142" s="404">
        <f t="shared" si="45"/>
        <v>0.2475514063515882</v>
      </c>
      <c r="I142" s="404">
        <f t="shared" si="45"/>
        <v>0.26358488842887151</v>
      </c>
      <c r="J142" s="404">
        <f t="shared" si="45"/>
        <v>0.19741467368365784</v>
      </c>
      <c r="K142" s="404">
        <f t="shared" si="45"/>
        <v>0.21515802321822086</v>
      </c>
      <c r="L142" s="533">
        <f t="shared" si="45"/>
        <v>0.17631977275220037</v>
      </c>
      <c r="M142" s="398">
        <v>0.1</v>
      </c>
      <c r="N142" s="398">
        <v>0.1</v>
      </c>
      <c r="O142" s="398">
        <v>0.1</v>
      </c>
      <c r="P142" s="398">
        <v>0.1</v>
      </c>
      <c r="Q142" s="399">
        <v>0.1</v>
      </c>
      <c r="S142" s="239"/>
    </row>
    <row r="143" spans="2:20" outlineLevel="1">
      <c r="B143" s="349"/>
      <c r="C143" s="301"/>
      <c r="D143" s="301"/>
      <c r="E143" s="301"/>
      <c r="F143" s="301"/>
      <c r="G143" s="315"/>
      <c r="H143" s="316"/>
      <c r="I143" s="317"/>
      <c r="J143" s="316"/>
      <c r="K143" s="318"/>
      <c r="L143" s="318"/>
      <c r="M143" s="137"/>
      <c r="N143" s="137"/>
      <c r="O143" s="137"/>
      <c r="P143" s="137"/>
      <c r="Q143" s="351"/>
      <c r="S143" s="239"/>
    </row>
    <row r="144" spans="2:20" outlineLevel="1">
      <c r="B144" s="349" t="s">
        <v>136</v>
      </c>
      <c r="C144" s="319"/>
      <c r="D144" s="319"/>
      <c r="E144" s="319"/>
      <c r="F144" s="319"/>
      <c r="G144" s="320">
        <v>21.666667</v>
      </c>
      <c r="H144" s="304"/>
      <c r="I144" s="303">
        <f>5.25+0.7875</f>
        <v>6.0374999999999996</v>
      </c>
      <c r="J144" s="510">
        <f>10.5+0.704948</f>
        <v>11.204948</v>
      </c>
      <c r="K144" s="511">
        <v>15.784325000000001</v>
      </c>
      <c r="L144" s="321"/>
      <c r="M144" s="304"/>
      <c r="N144" s="304"/>
      <c r="O144" s="304"/>
      <c r="P144" s="304"/>
      <c r="Q144" s="347"/>
      <c r="S144" s="239"/>
    </row>
    <row r="145" spans="2:19" outlineLevel="1">
      <c r="B145" s="349" t="s">
        <v>137</v>
      </c>
      <c r="C145" s="322"/>
      <c r="D145" s="322"/>
      <c r="E145" s="322"/>
      <c r="F145" s="322"/>
      <c r="G145" s="308">
        <v>9.3738460096331373</v>
      </c>
      <c r="H145" s="308"/>
      <c r="I145" s="308">
        <v>15.09</v>
      </c>
      <c r="J145" s="308"/>
      <c r="K145" s="512">
        <v>12.75</v>
      </c>
      <c r="L145" s="308">
        <f>L129</f>
        <v>13.02198412698413</v>
      </c>
      <c r="M145" s="323"/>
      <c r="N145" s="323">
        <v>15</v>
      </c>
      <c r="O145" s="323">
        <f>N145*1.1</f>
        <v>16.5</v>
      </c>
      <c r="P145" s="323">
        <f>O145*1.1</f>
        <v>18.150000000000002</v>
      </c>
      <c r="Q145" s="352"/>
      <c r="S145" s="239"/>
    </row>
    <row r="146" spans="2:19" outlineLevel="1">
      <c r="B146" s="349" t="s">
        <v>138</v>
      </c>
      <c r="C146" s="324"/>
      <c r="D146" s="324"/>
      <c r="E146" s="324"/>
      <c r="F146" s="324"/>
      <c r="G146" s="325">
        <f>203.148</f>
        <v>203.148</v>
      </c>
      <c r="H146" s="304"/>
      <c r="I146" s="304">
        <v>85.227999999999994</v>
      </c>
      <c r="J146" s="511">
        <v>137.69999999999999</v>
      </c>
      <c r="K146" s="511">
        <v>190.41200000000001</v>
      </c>
      <c r="L146" s="304">
        <f>L145*L144</f>
        <v>0</v>
      </c>
      <c r="M146" s="304"/>
      <c r="N146" s="304"/>
      <c r="O146" s="304"/>
      <c r="P146" s="304"/>
      <c r="Q146" s="347"/>
      <c r="S146" s="239"/>
    </row>
    <row r="147" spans="2:19" outlineLevel="1">
      <c r="B147" s="349" t="s">
        <v>139</v>
      </c>
      <c r="C147" s="301"/>
      <c r="D147" s="301"/>
      <c r="E147" s="301"/>
      <c r="F147" s="301"/>
      <c r="G147" s="326"/>
      <c r="H147" s="327"/>
      <c r="I147" s="327"/>
      <c r="J147" s="328"/>
      <c r="K147" s="318"/>
      <c r="L147" s="318"/>
      <c r="M147" s="137"/>
      <c r="N147" s="137"/>
      <c r="O147" s="137"/>
      <c r="P147" s="137"/>
      <c r="Q147" s="351"/>
      <c r="S147" s="239"/>
    </row>
    <row r="148" spans="2:19" outlineLevel="1">
      <c r="B148" s="349" t="s">
        <v>140</v>
      </c>
      <c r="C148" s="301"/>
      <c r="D148" s="301"/>
      <c r="E148" s="301"/>
      <c r="F148" s="301"/>
      <c r="G148" s="323"/>
      <c r="H148" s="329"/>
      <c r="I148" s="329"/>
      <c r="J148" s="329"/>
      <c r="K148" s="318"/>
      <c r="L148" s="318"/>
      <c r="M148" s="137"/>
      <c r="N148" s="137"/>
      <c r="O148" s="137"/>
      <c r="P148" s="137"/>
      <c r="Q148" s="351"/>
      <c r="S148" s="239"/>
    </row>
    <row r="149" spans="2:19" outlineLevel="1">
      <c r="B149" s="349" t="s">
        <v>141</v>
      </c>
      <c r="C149" s="301"/>
      <c r="D149" s="301"/>
      <c r="E149" s="301"/>
      <c r="F149" s="308">
        <f>CF!F16</f>
        <v>5.0949999999999998</v>
      </c>
      <c r="G149" s="308">
        <f>0.123+7.114+0.059+0.055+2.933</f>
        <v>10.283999999999999</v>
      </c>
      <c r="H149" s="308">
        <f>IS!T68</f>
        <v>11.732000000000001</v>
      </c>
      <c r="I149" s="308">
        <f>IS!Y68</f>
        <v>17.573</v>
      </c>
      <c r="J149" s="308">
        <f>IS!AD68</f>
        <v>19.829000000000001</v>
      </c>
      <c r="K149" s="308">
        <f>IS!AI68</f>
        <v>26.184000000000001</v>
      </c>
      <c r="L149" s="308">
        <f>IS!AN68</f>
        <v>25.469000000000001</v>
      </c>
      <c r="M149" s="308">
        <f>IS!AS68</f>
        <v>29.2</v>
      </c>
      <c r="N149" s="308">
        <f>IS!AX68</f>
        <v>29.116</v>
      </c>
      <c r="O149" s="308">
        <f>IS!BC68</f>
        <v>29.116</v>
      </c>
      <c r="P149" s="308">
        <f>IS!BH68</f>
        <v>29.116</v>
      </c>
      <c r="Q149" s="353">
        <f>IS!BM68</f>
        <v>29.116</v>
      </c>
      <c r="S149" s="239"/>
    </row>
    <row r="150" spans="2:19" outlineLevel="1">
      <c r="B150" s="349" t="s">
        <v>149</v>
      </c>
      <c r="C150" s="301"/>
      <c r="D150" s="301"/>
      <c r="E150" s="301"/>
      <c r="F150" s="311"/>
      <c r="G150" s="304"/>
      <c r="H150" s="330"/>
      <c r="I150" s="330"/>
      <c r="J150" s="330"/>
      <c r="K150" s="330"/>
      <c r="L150" s="330"/>
      <c r="M150" s="330"/>
      <c r="N150" s="304"/>
      <c r="O150" s="330"/>
      <c r="P150" s="330"/>
      <c r="Q150" s="354"/>
      <c r="S150" s="239"/>
    </row>
    <row r="151" spans="2:19" outlineLevel="1">
      <c r="B151" s="349" t="s">
        <v>154</v>
      </c>
      <c r="C151" s="301"/>
      <c r="D151" s="301"/>
      <c r="E151" s="301"/>
      <c r="F151" s="311"/>
      <c r="G151" s="308">
        <f>298.28</f>
        <v>298.27999999999997</v>
      </c>
      <c r="H151" s="330"/>
      <c r="I151" s="330"/>
      <c r="J151" s="330"/>
      <c r="K151" s="330"/>
      <c r="L151" s="330"/>
      <c r="M151" s="330"/>
      <c r="N151" s="330"/>
      <c r="O151" s="330"/>
      <c r="P151" s="330"/>
      <c r="Q151" s="354"/>
      <c r="S151" s="239"/>
    </row>
    <row r="152" spans="2:19" outlineLevel="1">
      <c r="B152" s="349"/>
      <c r="C152" s="301"/>
      <c r="D152" s="301"/>
      <c r="E152" s="301"/>
      <c r="F152" s="311"/>
      <c r="G152" s="308"/>
      <c r="H152" s="330"/>
      <c r="I152" s="330"/>
      <c r="J152" s="330"/>
      <c r="K152" s="330"/>
      <c r="L152" s="330"/>
      <c r="M152" s="330"/>
      <c r="N152" s="330"/>
      <c r="O152" s="330"/>
      <c r="P152" s="330"/>
      <c r="Q152" s="354"/>
      <c r="S152" s="239"/>
    </row>
    <row r="153" spans="2:19" outlineLevel="1">
      <c r="B153" s="349" t="s">
        <v>142</v>
      </c>
      <c r="C153" s="331"/>
      <c r="D153" s="332"/>
      <c r="E153" s="332"/>
      <c r="F153" s="333">
        <f t="shared" ref="F153:Q153" si="46">F139+F146-F148+F149+F140+F151</f>
        <v>5.367</v>
      </c>
      <c r="G153" s="333">
        <f t="shared" si="46"/>
        <v>513.99199999999996</v>
      </c>
      <c r="H153" s="333">
        <f t="shared" si="46"/>
        <v>15.153</v>
      </c>
      <c r="I153" s="333">
        <f t="shared" si="46"/>
        <v>105.43557648000001</v>
      </c>
      <c r="J153" s="333">
        <f t="shared" si="46"/>
        <v>163.67298517</v>
      </c>
      <c r="K153" s="333">
        <f>K139+K146-K148+K149+K140+K151</f>
        <v>237.22266786</v>
      </c>
      <c r="L153" s="333">
        <f t="shared" si="46"/>
        <v>36.478261700000004</v>
      </c>
      <c r="M153" s="333">
        <f t="shared" si="46"/>
        <v>31.9098894736</v>
      </c>
      <c r="N153" s="333">
        <f t="shared" si="46"/>
        <v>32.480634514973808</v>
      </c>
      <c r="O153" s="333">
        <f t="shared" si="46"/>
        <v>33.293574594698789</v>
      </c>
      <c r="P153" s="333">
        <f t="shared" si="46"/>
        <v>34.302931720697941</v>
      </c>
      <c r="Q153" s="355">
        <f t="shared" si="46"/>
        <v>35.55616284217237</v>
      </c>
      <c r="R153" s="56"/>
      <c r="S153" s="239"/>
    </row>
    <row r="154" spans="2:19" outlineLevel="1">
      <c r="B154" s="1001"/>
      <c r="C154" s="1002"/>
      <c r="D154" s="1003"/>
      <c r="E154" s="1003"/>
      <c r="F154" s="1004"/>
      <c r="G154" s="1004"/>
      <c r="H154" s="1004"/>
      <c r="I154" s="1004"/>
      <c r="J154" s="1004"/>
      <c r="K154" s="1004"/>
      <c r="L154" s="1004">
        <f>124.915658+15.907272</f>
        <v>140.82292999999999</v>
      </c>
      <c r="M154" s="1004"/>
      <c r="N154" s="1004"/>
      <c r="O154" s="1004"/>
      <c r="P154" s="1004"/>
      <c r="Q154" s="1005"/>
      <c r="R154" s="56"/>
      <c r="S154" s="239"/>
    </row>
    <row r="155" spans="2:19" outlineLevel="1">
      <c r="B155" s="1006" t="s">
        <v>143</v>
      </c>
      <c r="C155" s="1007"/>
      <c r="D155" s="1008"/>
      <c r="E155" s="1009"/>
      <c r="F155" s="1009"/>
      <c r="G155" s="1009">
        <f t="shared" ref="G155:O155" si="47">F156</f>
        <v>78.246222000000003</v>
      </c>
      <c r="H155" s="1009">
        <f t="shared" si="47"/>
        <v>98.615753999999995</v>
      </c>
      <c r="I155" s="1009">
        <f t="shared" si="47"/>
        <v>100.3948</v>
      </c>
      <c r="J155" s="1009">
        <f t="shared" si="47"/>
        <v>107.493026</v>
      </c>
      <c r="K155" s="1010">
        <f>102.803093+18.362037</f>
        <v>121.16513</v>
      </c>
      <c r="L155" s="1009">
        <f>124.915658+15.907272</f>
        <v>140.82292999999999</v>
      </c>
      <c r="M155" s="1009">
        <f t="shared" si="47"/>
        <v>142.82825999999997</v>
      </c>
      <c r="N155" s="1009">
        <f t="shared" si="47"/>
        <v>143.23959719999996</v>
      </c>
      <c r="O155" s="1009">
        <f t="shared" si="47"/>
        <v>143.66519861102174</v>
      </c>
      <c r="P155" s="1009">
        <f>O156</f>
        <v>144.10555888250639</v>
      </c>
      <c r="Q155" s="1011">
        <f>P156</f>
        <v>144.56118981717944</v>
      </c>
      <c r="R155" s="57"/>
      <c r="S155" s="239"/>
    </row>
    <row r="156" spans="2:19" outlineLevel="1">
      <c r="B156" s="1006" t="s">
        <v>144</v>
      </c>
      <c r="C156" s="1007"/>
      <c r="D156" s="1012" t="s">
        <v>246</v>
      </c>
      <c r="E156" s="1013" t="s">
        <v>246</v>
      </c>
      <c r="F156" s="1009">
        <v>78.246222000000003</v>
      </c>
      <c r="G156" s="1009">
        <f>IS!N78</f>
        <v>98.615753999999995</v>
      </c>
      <c r="H156" s="1009">
        <f>IS!S78</f>
        <v>100.3948</v>
      </c>
      <c r="I156" s="1009">
        <f>IS!X78</f>
        <v>107.493026</v>
      </c>
      <c r="J156" s="1009">
        <f t="shared" ref="J156:Q156" si="48">+J155+J135+J144-J147+J150</f>
        <v>120.52111500000001</v>
      </c>
      <c r="K156" s="1009">
        <f>+K155+K135+K144-K147+K150</f>
        <v>140.29251300000001</v>
      </c>
      <c r="L156" s="1009">
        <f>+L155+L135+L144-L147+L150</f>
        <v>142.82825999999997</v>
      </c>
      <c r="M156" s="1009">
        <f t="shared" si="48"/>
        <v>143.23959719999996</v>
      </c>
      <c r="N156" s="1009">
        <f t="shared" si="48"/>
        <v>143.66519861102174</v>
      </c>
      <c r="O156" s="1009">
        <f t="shared" si="48"/>
        <v>144.10555888250639</v>
      </c>
      <c r="P156" s="1009">
        <f t="shared" si="48"/>
        <v>144.56118981717944</v>
      </c>
      <c r="Q156" s="1011">
        <f t="shared" si="48"/>
        <v>145.03262096588671</v>
      </c>
      <c r="R156" s="57"/>
      <c r="S156" s="239"/>
    </row>
    <row r="157" spans="2:19" outlineLevel="1">
      <c r="B157" s="1001" t="s">
        <v>145</v>
      </c>
      <c r="C157" s="1007"/>
      <c r="D157" s="1008"/>
      <c r="E157" s="1009"/>
      <c r="F157" s="1009">
        <f>AVERAGE(F155:F156)</f>
        <v>78.246222000000003</v>
      </c>
      <c r="G157" s="1009">
        <f>IS!O78</f>
        <v>89.653363999999996</v>
      </c>
      <c r="H157" s="1009">
        <f>IS!T78</f>
        <v>99.874790000000004</v>
      </c>
      <c r="I157" s="1009">
        <f>IS!Y78</f>
        <v>106.40263899999999</v>
      </c>
      <c r="J157" s="1009">
        <f t="shared" ref="J157:O157" si="49">AVERAGE(J155:J156)</f>
        <v>114.0070705</v>
      </c>
      <c r="K157" s="1009">
        <f t="shared" si="49"/>
        <v>130.72882150000001</v>
      </c>
      <c r="L157" s="1009">
        <f>AVERAGE(L155:L156)</f>
        <v>141.82559499999996</v>
      </c>
      <c r="M157" s="1009">
        <f t="shared" si="49"/>
        <v>143.03392859999997</v>
      </c>
      <c r="N157" s="1009">
        <f t="shared" si="49"/>
        <v>143.45239790551085</v>
      </c>
      <c r="O157" s="1009">
        <f t="shared" si="49"/>
        <v>143.88537874676405</v>
      </c>
      <c r="P157" s="1009">
        <f>AVERAGE(P155:P156)</f>
        <v>144.33337434984293</v>
      </c>
      <c r="Q157" s="1011">
        <f>AVERAGE(Q155:Q156)</f>
        <v>144.79690539153307</v>
      </c>
      <c r="R157" s="58"/>
      <c r="S157" s="239"/>
    </row>
    <row r="158" spans="2:19" outlineLevel="1">
      <c r="B158" s="1001" t="s">
        <v>146</v>
      </c>
      <c r="C158" s="1014"/>
      <c r="D158" s="1008"/>
      <c r="E158" s="1009"/>
      <c r="F158" s="1009">
        <f>IS!J79</f>
        <v>7.1167740000000004</v>
      </c>
      <c r="G158" s="1009">
        <f>IS!O79</f>
        <v>89.653363999999996</v>
      </c>
      <c r="H158" s="1015">
        <f>IS!T79</f>
        <v>99.874790000000004</v>
      </c>
      <c r="I158" s="1015">
        <f t="shared" ref="I158:Q158" si="50">I157+I131-((I131*I137)/I129)</f>
        <v>112.63978385916616</v>
      </c>
      <c r="J158" s="1015">
        <f t="shared" si="50"/>
        <v>121.56116270462422</v>
      </c>
      <c r="K158" s="1015">
        <f t="shared" si="50"/>
        <v>136.98669551210935</v>
      </c>
      <c r="L158" s="1015">
        <f t="shared" si="50"/>
        <v>149.15366459241085</v>
      </c>
      <c r="M158" s="1015">
        <f t="shared" si="50"/>
        <v>149.79930190946757</v>
      </c>
      <c r="N158" s="1015">
        <f t="shared" si="50"/>
        <v>149.52254023344057</v>
      </c>
      <c r="O158" s="1015">
        <f t="shared" si="50"/>
        <v>149.06649608102762</v>
      </c>
      <c r="P158" s="1015">
        <f t="shared" si="50"/>
        <v>148.39398674631803</v>
      </c>
      <c r="Q158" s="1016">
        <f t="shared" si="50"/>
        <v>147.46088923878074</v>
      </c>
      <c r="R158" s="58"/>
      <c r="S158" s="239"/>
    </row>
    <row r="159" spans="2:19" outlineLevel="1">
      <c r="B159" s="349"/>
      <c r="C159" s="336"/>
      <c r="D159" s="334"/>
      <c r="E159" s="335"/>
      <c r="F159" s="335"/>
      <c r="G159" s="335"/>
      <c r="H159" s="337"/>
      <c r="I159" s="337"/>
      <c r="J159" s="337"/>
      <c r="K159" s="337"/>
      <c r="L159" s="337"/>
      <c r="M159" s="337"/>
      <c r="N159" s="337"/>
      <c r="O159" s="337"/>
      <c r="P159" s="337"/>
      <c r="Q159" s="356"/>
      <c r="R159" s="58"/>
      <c r="S159" s="239"/>
    </row>
    <row r="160" spans="2:19" outlineLevel="1">
      <c r="B160" s="357" t="s">
        <v>147</v>
      </c>
      <c r="C160" s="295"/>
      <c r="D160" s="338"/>
      <c r="E160" s="338"/>
      <c r="F160" s="339">
        <f t="shared" ref="F160:O160" si="51">F139-(F135*F129)</f>
        <v>-1.7750000000000001</v>
      </c>
      <c r="G160" s="339">
        <f t="shared" si="51"/>
        <v>-18.044825836190469</v>
      </c>
      <c r="H160" s="339">
        <f t="shared" si="51"/>
        <v>-16.308301593229132</v>
      </c>
      <c r="I160" s="339">
        <f t="shared" si="51"/>
        <v>-8.3966577188306903</v>
      </c>
      <c r="J160" s="339">
        <f>J139-(J135*J129)</f>
        <v>-17.408443735367332</v>
      </c>
      <c r="K160" s="339">
        <f t="shared" si="51"/>
        <v>-24.295941459640002</v>
      </c>
      <c r="L160" s="339">
        <f t="shared" si="51"/>
        <v>-15.104113729365082</v>
      </c>
      <c r="M160" s="339">
        <f>M139-(M135*M129)</f>
        <v>-2.9143583401000011</v>
      </c>
      <c r="N160" s="339">
        <f t="shared" si="51"/>
        <v>-2.7456132226955399</v>
      </c>
      <c r="O160" s="339">
        <f t="shared" si="51"/>
        <v>-2.4606690695916509</v>
      </c>
      <c r="P160" s="339">
        <f>P139-(P135*P129)</f>
        <v>-2.0249328121958685</v>
      </c>
      <c r="Q160" s="358">
        <f>Q139-(Q135*Q129)</f>
        <v>-1.39489002287955</v>
      </c>
      <c r="R160" s="59"/>
      <c r="S160" s="239"/>
    </row>
    <row r="161" spans="2:19" outlineLevel="1">
      <c r="B161" s="296" t="s">
        <v>148</v>
      </c>
      <c r="C161" s="297"/>
      <c r="D161" s="298"/>
      <c r="E161" s="298"/>
      <c r="F161" s="298"/>
      <c r="G161" s="299"/>
      <c r="H161" s="299"/>
      <c r="I161" s="299"/>
      <c r="J161" s="299"/>
      <c r="K161" s="299"/>
      <c r="L161" s="299"/>
      <c r="M161" s="299"/>
      <c r="N161" s="299"/>
      <c r="O161" s="299"/>
      <c r="P161" s="299"/>
      <c r="Q161" s="359"/>
      <c r="R161" s="60"/>
      <c r="S161" s="239"/>
    </row>
    <row r="162" spans="2:19" outlineLevel="1">
      <c r="B162" s="20"/>
      <c r="C162" s="20"/>
      <c r="D162" s="20"/>
      <c r="E162" s="20"/>
      <c r="F162" s="340"/>
      <c r="G162" s="340"/>
      <c r="H162" s="137"/>
      <c r="I162" s="137"/>
      <c r="J162" s="137"/>
      <c r="K162" s="137"/>
      <c r="L162" s="137"/>
      <c r="M162" s="137"/>
      <c r="N162" s="137"/>
      <c r="O162" s="137"/>
      <c r="P162" s="137"/>
      <c r="Q162" s="137"/>
      <c r="R162" s="8"/>
      <c r="S162" s="239"/>
    </row>
    <row r="163" spans="2:19" outlineLevel="1">
      <c r="B163" s="20"/>
      <c r="C163" s="20"/>
      <c r="D163" s="20"/>
      <c r="E163" s="20"/>
      <c r="F163" s="20"/>
      <c r="G163" s="20"/>
      <c r="H163" s="20"/>
      <c r="I163" s="137"/>
      <c r="J163" s="137"/>
      <c r="K163" s="137"/>
      <c r="L163" s="137"/>
      <c r="M163" s="137"/>
      <c r="N163" s="137"/>
      <c r="O163" s="137"/>
      <c r="P163" s="137"/>
      <c r="Q163" s="137"/>
      <c r="R163" s="8"/>
      <c r="S163" s="239"/>
    </row>
    <row r="164" spans="2:19" outlineLevel="1">
      <c r="B164" s="20"/>
      <c r="C164" s="20"/>
      <c r="D164" s="20"/>
      <c r="E164" s="20"/>
      <c r="F164" s="20"/>
      <c r="G164" s="20"/>
      <c r="H164" s="20"/>
      <c r="I164" s="341"/>
      <c r="J164" s="341"/>
      <c r="K164" s="341"/>
      <c r="L164" s="341"/>
      <c r="M164" s="341"/>
      <c r="N164" s="341"/>
      <c r="O164" s="341"/>
      <c r="P164" s="341"/>
      <c r="Q164" s="341"/>
      <c r="R164" s="8"/>
      <c r="S164" s="239"/>
    </row>
    <row r="165" spans="2:19" outlineLevel="1">
      <c r="B165" s="20"/>
      <c r="C165" s="20"/>
      <c r="D165" s="20"/>
      <c r="E165" s="20"/>
      <c r="F165" s="20"/>
      <c r="G165" s="20"/>
      <c r="H165" s="20"/>
      <c r="I165" s="137"/>
      <c r="J165" s="137"/>
      <c r="K165" s="137"/>
      <c r="L165" s="137"/>
      <c r="M165" s="137"/>
      <c r="N165" s="137"/>
      <c r="O165" s="137"/>
      <c r="P165" s="137"/>
      <c r="Q165" s="137"/>
      <c r="R165" s="8"/>
      <c r="S165" s="239"/>
    </row>
    <row r="166" spans="2:19" outlineLevel="1">
      <c r="B166" s="20"/>
      <c r="C166" s="20"/>
      <c r="D166" s="20"/>
      <c r="E166" s="20"/>
      <c r="F166" s="20"/>
      <c r="G166" s="20"/>
      <c r="H166" s="20"/>
      <c r="I166" s="20"/>
      <c r="J166" s="20"/>
      <c r="K166" s="20"/>
      <c r="L166" s="20"/>
      <c r="M166" s="20"/>
      <c r="N166" s="20"/>
      <c r="O166" s="20"/>
      <c r="P166" s="20"/>
      <c r="Q166" s="20"/>
      <c r="S166" s="239"/>
    </row>
    <row r="167" spans="2:19">
      <c r="B167" s="94"/>
      <c r="C167" s="94"/>
      <c r="D167" s="94"/>
      <c r="E167" s="94"/>
      <c r="F167" s="94"/>
      <c r="G167" s="95"/>
      <c r="H167" s="95"/>
      <c r="I167" s="95"/>
      <c r="J167" s="95"/>
      <c r="K167" s="95"/>
      <c r="L167" s="95"/>
      <c r="M167" s="95"/>
      <c r="N167" s="95"/>
      <c r="O167" s="95"/>
      <c r="P167" s="95"/>
      <c r="Q167" s="95"/>
      <c r="S167" s="239"/>
    </row>
    <row r="168" spans="2:19">
      <c r="B168" s="94"/>
      <c r="C168" s="94"/>
      <c r="D168" s="94"/>
      <c r="E168" s="94"/>
      <c r="F168" s="94"/>
      <c r="G168" s="95"/>
      <c r="H168" s="95"/>
      <c r="I168" s="95"/>
      <c r="J168" s="95"/>
      <c r="K168" s="95"/>
      <c r="L168" s="95"/>
      <c r="M168" s="95"/>
      <c r="N168" s="95"/>
      <c r="O168" s="95"/>
      <c r="P168" s="95"/>
      <c r="Q168" s="95"/>
      <c r="S168" s="239"/>
    </row>
    <row r="169" spans="2:19">
      <c r="B169" s="94"/>
      <c r="C169" s="94"/>
      <c r="D169" s="94"/>
      <c r="E169" s="94"/>
      <c r="F169" s="94"/>
      <c r="G169" s="95"/>
      <c r="H169" s="95"/>
      <c r="I169" s="95"/>
      <c r="J169" s="95"/>
      <c r="K169" s="95"/>
      <c r="L169" s="95"/>
      <c r="M169" s="95"/>
      <c r="N169" s="95"/>
      <c r="O169" s="95"/>
      <c r="P169" s="95"/>
      <c r="Q169" s="95"/>
      <c r="S169" s="239"/>
    </row>
    <row r="170" spans="2:19">
      <c r="B170" s="94"/>
      <c r="C170" s="94"/>
      <c r="D170" s="94"/>
      <c r="E170" s="94"/>
      <c r="F170" s="94"/>
      <c r="G170" s="95"/>
      <c r="H170" s="95"/>
      <c r="I170" s="95"/>
      <c r="J170" s="95"/>
      <c r="K170" s="95"/>
      <c r="L170" s="95"/>
      <c r="M170" s="95"/>
      <c r="N170" s="95"/>
      <c r="O170" s="95"/>
      <c r="P170" s="95"/>
      <c r="Q170" s="95"/>
      <c r="S170" s="239"/>
    </row>
    <row r="171" spans="2:19">
      <c r="B171" s="94"/>
      <c r="C171" s="94"/>
      <c r="D171" s="94"/>
      <c r="E171" s="94"/>
      <c r="F171" s="94"/>
      <c r="G171" s="95"/>
      <c r="H171" s="95"/>
      <c r="I171" s="95"/>
      <c r="J171" s="95"/>
      <c r="K171" s="95"/>
      <c r="L171" s="95"/>
      <c r="M171" s="95"/>
      <c r="N171" s="95"/>
      <c r="O171" s="95"/>
      <c r="P171" s="95"/>
      <c r="Q171" s="95"/>
      <c r="S171" s="239"/>
    </row>
    <row r="172" spans="2:19">
      <c r="B172" s="94"/>
      <c r="C172" s="94"/>
      <c r="D172" s="94"/>
      <c r="E172" s="94"/>
      <c r="F172" s="94"/>
      <c r="G172" s="95"/>
      <c r="H172" s="95"/>
      <c r="I172" s="95"/>
      <c r="J172" s="95"/>
      <c r="K172" s="95"/>
      <c r="L172" s="95"/>
      <c r="M172" s="95"/>
      <c r="N172" s="95"/>
      <c r="O172" s="95"/>
      <c r="P172" s="95"/>
      <c r="Q172" s="95"/>
      <c r="S172" s="239"/>
    </row>
    <row r="173" spans="2:19">
      <c r="B173" s="63"/>
      <c r="G173" s="7"/>
      <c r="H173" s="7"/>
      <c r="I173" s="7"/>
      <c r="J173" s="7"/>
      <c r="K173" s="7"/>
      <c r="L173" s="7"/>
      <c r="M173" s="7"/>
      <c r="N173" s="7"/>
      <c r="O173" s="7"/>
      <c r="P173" s="7"/>
      <c r="Q173" s="7"/>
      <c r="S173" s="239"/>
    </row>
    <row r="174" spans="2:19">
      <c r="B174" s="63"/>
      <c r="G174" s="7"/>
      <c r="H174" s="7"/>
      <c r="I174" s="7"/>
      <c r="J174" s="7"/>
      <c r="K174" s="7"/>
      <c r="L174" s="7"/>
      <c r="M174" s="7"/>
      <c r="N174" s="7"/>
      <c r="O174" s="7"/>
      <c r="P174" s="7"/>
      <c r="Q174" s="7"/>
      <c r="S174" s="239"/>
    </row>
    <row r="175" spans="2:19" hidden="1" outlineLevel="1"/>
    <row r="176" spans="2:19" collapsed="1">
      <c r="S176" s="239"/>
    </row>
    <row r="177" spans="8:19">
      <c r="S177" s="239"/>
    </row>
    <row r="178" spans="8:19">
      <c r="S178" s="239"/>
    </row>
    <row r="179" spans="8:19">
      <c r="S179" s="239"/>
    </row>
    <row r="180" spans="8:19">
      <c r="S180" s="239"/>
    </row>
    <row r="181" spans="8:19">
      <c r="S181" s="239"/>
    </row>
    <row r="182" spans="8:19">
      <c r="S182" s="239"/>
    </row>
    <row r="183" spans="8:19">
      <c r="S183" s="239"/>
    </row>
    <row r="184" spans="8:19">
      <c r="S184" s="239"/>
    </row>
    <row r="185" spans="8:19">
      <c r="S185" s="239"/>
    </row>
    <row r="186" spans="8:19">
      <c r="S186" s="239"/>
    </row>
    <row r="187" spans="8:19">
      <c r="H187" s="239"/>
      <c r="S187" s="239"/>
    </row>
    <row r="188" spans="8:19">
      <c r="S188" s="239"/>
    </row>
    <row r="189" spans="8:19">
      <c r="S189" s="239"/>
    </row>
    <row r="190" spans="8:19">
      <c r="S190" s="239"/>
    </row>
    <row r="191" spans="8:19">
      <c r="S191" s="239"/>
    </row>
    <row r="192" spans="8:19">
      <c r="S192" s="239"/>
    </row>
    <row r="193" spans="19:19">
      <c r="S193" s="239"/>
    </row>
    <row r="194" spans="19:19">
      <c r="S194" s="239"/>
    </row>
    <row r="195" spans="19:19">
      <c r="S195" s="239"/>
    </row>
    <row r="196" spans="19:19">
      <c r="S196" s="239"/>
    </row>
    <row r="197" spans="19:19">
      <c r="S197" s="239"/>
    </row>
    <row r="198" spans="19:19">
      <c r="S198" s="239"/>
    </row>
    <row r="199" spans="19:19">
      <c r="S199" s="239"/>
    </row>
    <row r="200" spans="19:19">
      <c r="S200" s="239"/>
    </row>
    <row r="201" spans="19:19">
      <c r="S201" s="239"/>
    </row>
    <row r="202" spans="19:19">
      <c r="S202" s="239"/>
    </row>
    <row r="203" spans="19:19">
      <c r="S203" s="239"/>
    </row>
    <row r="204" spans="19:19">
      <c r="S204" s="239"/>
    </row>
    <row r="205" spans="19:19">
      <c r="S205" s="239"/>
    </row>
    <row r="206" spans="19:19">
      <c r="S206" s="239"/>
    </row>
    <row r="207" spans="19:19">
      <c r="S207" s="239"/>
    </row>
    <row r="208" spans="19:19">
      <c r="S208" s="239"/>
    </row>
    <row r="209" spans="19:19">
      <c r="S209" s="239"/>
    </row>
    <row r="210" spans="19:19">
      <c r="S210" s="239"/>
    </row>
    <row r="211" spans="19:19">
      <c r="S211" s="239"/>
    </row>
    <row r="212" spans="19:19">
      <c r="S212" s="239"/>
    </row>
    <row r="213" spans="19:19">
      <c r="S213" s="239"/>
    </row>
    <row r="214" spans="19:19">
      <c r="S214" s="239"/>
    </row>
    <row r="215" spans="19:19">
      <c r="S215" s="239"/>
    </row>
    <row r="216" spans="19:19">
      <c r="S216" s="239"/>
    </row>
    <row r="217" spans="19:19">
      <c r="S217" s="239"/>
    </row>
    <row r="218" spans="19:19">
      <c r="S218" s="239"/>
    </row>
    <row r="219" spans="19:19">
      <c r="S219" s="239"/>
    </row>
    <row r="220" spans="19:19">
      <c r="S220" s="239"/>
    </row>
    <row r="221" spans="19:19">
      <c r="S221" s="239"/>
    </row>
    <row r="222" spans="19:19">
      <c r="S222" s="239"/>
    </row>
    <row r="223" spans="19:19">
      <c r="S223" s="239"/>
    </row>
    <row r="224" spans="19:19">
      <c r="S224" s="239"/>
    </row>
    <row r="225" spans="19:19">
      <c r="S225" s="239"/>
    </row>
    <row r="226" spans="19:19">
      <c r="S226" s="239"/>
    </row>
    <row r="227" spans="19:19">
      <c r="S227" s="239"/>
    </row>
    <row r="228" spans="19:19">
      <c r="S228" s="239"/>
    </row>
    <row r="229" spans="19:19">
      <c r="S229" s="239"/>
    </row>
    <row r="230" spans="19:19">
      <c r="S230" s="239"/>
    </row>
    <row r="231" spans="19:19">
      <c r="S231" s="239"/>
    </row>
    <row r="232" spans="19:19">
      <c r="S232" s="239"/>
    </row>
    <row r="233" spans="19:19">
      <c r="S233" s="239"/>
    </row>
    <row r="234" spans="19:19">
      <c r="S234" s="239"/>
    </row>
    <row r="235" spans="19:19">
      <c r="S235" s="239"/>
    </row>
    <row r="236" spans="19:19">
      <c r="S236" s="239"/>
    </row>
    <row r="237" spans="19:19">
      <c r="S237" s="239"/>
    </row>
    <row r="238" spans="19:19">
      <c r="S238" s="239"/>
    </row>
    <row r="239" spans="19:19">
      <c r="S239" s="239"/>
    </row>
    <row r="240" spans="19:19">
      <c r="S240" s="239"/>
    </row>
    <row r="241" spans="19:19">
      <c r="S241" s="239"/>
    </row>
    <row r="242" spans="19:19">
      <c r="S242" s="239"/>
    </row>
    <row r="243" spans="19:19">
      <c r="S243" s="239"/>
    </row>
    <row r="244" spans="19:19">
      <c r="S244" s="239"/>
    </row>
    <row r="245" spans="19:19">
      <c r="S245" s="239"/>
    </row>
    <row r="246" spans="19:19">
      <c r="S246" s="239"/>
    </row>
    <row r="247" spans="19:19">
      <c r="S247" s="239"/>
    </row>
    <row r="248" spans="19:19">
      <c r="S248" s="239"/>
    </row>
    <row r="249" spans="19:19">
      <c r="S249" s="239"/>
    </row>
    <row r="250" spans="19:19">
      <c r="S250" s="239"/>
    </row>
    <row r="251" spans="19:19">
      <c r="S251" s="239"/>
    </row>
    <row r="252" spans="19:19">
      <c r="S252" s="239"/>
    </row>
    <row r="253" spans="19:19">
      <c r="S253" s="239"/>
    </row>
    <row r="254" spans="19:19">
      <c r="S254" s="239"/>
    </row>
    <row r="255" spans="19:19">
      <c r="S255" s="239"/>
    </row>
    <row r="256" spans="19:19">
      <c r="S256" s="239"/>
    </row>
    <row r="257" spans="19:19">
      <c r="S257" s="239"/>
    </row>
    <row r="258" spans="19:19">
      <c r="S258" s="239"/>
    </row>
    <row r="259" spans="19:19">
      <c r="S259" s="239"/>
    </row>
    <row r="260" spans="19:19">
      <c r="S260" s="239"/>
    </row>
    <row r="261" spans="19:19">
      <c r="S261" s="239"/>
    </row>
    <row r="262" spans="19:19">
      <c r="S262" s="239"/>
    </row>
    <row r="263" spans="19:19">
      <c r="S263" s="239"/>
    </row>
    <row r="264" spans="19:19">
      <c r="S264" s="239"/>
    </row>
    <row r="265" spans="19:19">
      <c r="S265" s="239"/>
    </row>
    <row r="266" spans="19:19">
      <c r="S266" s="239"/>
    </row>
    <row r="267" spans="19:19">
      <c r="S267" s="239"/>
    </row>
    <row r="268" spans="19:19">
      <c r="S268" s="239"/>
    </row>
    <row r="269" spans="19:19">
      <c r="S269" s="239"/>
    </row>
    <row r="270" spans="19:19">
      <c r="S270" s="239"/>
    </row>
    <row r="271" spans="19:19">
      <c r="S271" s="239"/>
    </row>
    <row r="272" spans="19:19">
      <c r="S272" s="239"/>
    </row>
    <row r="273" spans="19:19">
      <c r="S273" s="239"/>
    </row>
    <row r="274" spans="19:19">
      <c r="S274" s="239"/>
    </row>
    <row r="275" spans="19:19">
      <c r="S275" s="239"/>
    </row>
    <row r="276" spans="19:19">
      <c r="S276" s="239"/>
    </row>
    <row r="277" spans="19:19">
      <c r="S277" s="239"/>
    </row>
    <row r="278" spans="19:19">
      <c r="S278" s="239"/>
    </row>
    <row r="279" spans="19:19">
      <c r="S279" s="239"/>
    </row>
    <row r="280" spans="19:19">
      <c r="S280" s="239"/>
    </row>
    <row r="281" spans="19:19">
      <c r="S281" s="239"/>
    </row>
    <row r="282" spans="19:19">
      <c r="S282" s="239"/>
    </row>
    <row r="283" spans="19:19">
      <c r="S283" s="239"/>
    </row>
    <row r="284" spans="19:19">
      <c r="S284" s="239"/>
    </row>
    <row r="285" spans="19:19">
      <c r="S285" s="239"/>
    </row>
    <row r="286" spans="19:19">
      <c r="S286" s="239"/>
    </row>
    <row r="287" spans="19:19">
      <c r="S287" s="239"/>
    </row>
    <row r="288" spans="19:19">
      <c r="S288" s="239"/>
    </row>
    <row r="289" spans="19:19">
      <c r="S289" s="239"/>
    </row>
    <row r="290" spans="19:19">
      <c r="S290" s="239"/>
    </row>
    <row r="291" spans="19:19">
      <c r="S291" s="239"/>
    </row>
    <row r="292" spans="19:19">
      <c r="S292" s="239"/>
    </row>
    <row r="293" spans="19:19">
      <c r="S293" s="239"/>
    </row>
    <row r="294" spans="19:19">
      <c r="S294" s="239"/>
    </row>
    <row r="295" spans="19:19">
      <c r="S295" s="239"/>
    </row>
    <row r="296" spans="19:19">
      <c r="S296" s="239"/>
    </row>
    <row r="297" spans="19:19">
      <c r="S297" s="239"/>
    </row>
    <row r="298" spans="19:19">
      <c r="S298" s="239"/>
    </row>
    <row r="299" spans="19:19">
      <c r="S299" s="239"/>
    </row>
    <row r="300" spans="19:19">
      <c r="S300" s="239"/>
    </row>
    <row r="301" spans="19:19">
      <c r="S301" s="239"/>
    </row>
    <row r="302" spans="19:19">
      <c r="S302" s="239"/>
    </row>
    <row r="303" spans="19:19">
      <c r="S303" s="239"/>
    </row>
    <row r="304" spans="19:19">
      <c r="S304" s="239"/>
    </row>
    <row r="305" spans="19:19">
      <c r="S305" s="239"/>
    </row>
    <row r="306" spans="19:19">
      <c r="S306" s="239"/>
    </row>
    <row r="307" spans="19:19">
      <c r="S307" s="239"/>
    </row>
    <row r="308" spans="19:19">
      <c r="S308" s="239"/>
    </row>
    <row r="309" spans="19:19">
      <c r="S309" s="239"/>
    </row>
    <row r="310" spans="19:19">
      <c r="S310" s="239"/>
    </row>
    <row r="311" spans="19:19">
      <c r="S311" s="239"/>
    </row>
    <row r="312" spans="19:19">
      <c r="S312" s="239"/>
    </row>
    <row r="313" spans="19:19">
      <c r="S313" s="239"/>
    </row>
    <row r="314" spans="19:19">
      <c r="S314" s="239"/>
    </row>
    <row r="315" spans="19:19">
      <c r="S315" s="239"/>
    </row>
    <row r="316" spans="19:19">
      <c r="S316" s="239"/>
    </row>
    <row r="317" spans="19:19">
      <c r="S317" s="239"/>
    </row>
    <row r="318" spans="19:19">
      <c r="S318" s="239"/>
    </row>
    <row r="319" spans="19:19">
      <c r="S319" s="239"/>
    </row>
    <row r="320" spans="19:19">
      <c r="S320" s="239"/>
    </row>
    <row r="321" spans="19:19">
      <c r="S321" s="239"/>
    </row>
    <row r="322" spans="19:19">
      <c r="S322" s="239"/>
    </row>
    <row r="323" spans="19:19">
      <c r="S323" s="239"/>
    </row>
    <row r="324" spans="19:19">
      <c r="S324" s="239"/>
    </row>
    <row r="325" spans="19:19">
      <c r="S325" s="239"/>
    </row>
    <row r="326" spans="19:19">
      <c r="S326" s="239"/>
    </row>
    <row r="327" spans="19:19">
      <c r="S327" s="239"/>
    </row>
    <row r="328" spans="19:19">
      <c r="S328" s="239"/>
    </row>
    <row r="329" spans="19:19">
      <c r="S329" s="239"/>
    </row>
    <row r="330" spans="19:19">
      <c r="S330" s="239"/>
    </row>
    <row r="331" spans="19:19">
      <c r="S331" s="239"/>
    </row>
    <row r="332" spans="19:19">
      <c r="S332" s="239"/>
    </row>
    <row r="333" spans="19:19">
      <c r="S333" s="239"/>
    </row>
    <row r="334" spans="19:19">
      <c r="S334" s="239"/>
    </row>
    <row r="335" spans="19:19">
      <c r="S335" s="239"/>
    </row>
    <row r="336" spans="19:19">
      <c r="S336" s="239"/>
    </row>
    <row r="337" spans="19:19">
      <c r="S337" s="239"/>
    </row>
    <row r="338" spans="19:19">
      <c r="S338" s="239"/>
    </row>
    <row r="339" spans="19:19">
      <c r="S339" s="239"/>
    </row>
    <row r="340" spans="19:19">
      <c r="S340" s="239"/>
    </row>
    <row r="341" spans="19:19">
      <c r="S341" s="239"/>
    </row>
    <row r="342" spans="19:19">
      <c r="S342" s="239"/>
    </row>
    <row r="343" spans="19:19">
      <c r="S343" s="239"/>
    </row>
    <row r="344" spans="19:19">
      <c r="S344" s="239"/>
    </row>
    <row r="345" spans="19:19">
      <c r="S345" s="239"/>
    </row>
    <row r="346" spans="19:19">
      <c r="S346" s="239"/>
    </row>
    <row r="347" spans="19:19">
      <c r="S347" s="239"/>
    </row>
    <row r="348" spans="19:19">
      <c r="S348" s="239"/>
    </row>
    <row r="349" spans="19:19">
      <c r="S349" s="239"/>
    </row>
    <row r="350" spans="19:19">
      <c r="S350" s="239"/>
    </row>
    <row r="351" spans="19:19">
      <c r="S351" s="239"/>
    </row>
    <row r="352" spans="19:19">
      <c r="S352" s="239"/>
    </row>
    <row r="353" spans="19:19">
      <c r="S353" s="239"/>
    </row>
    <row r="354" spans="19:19">
      <c r="S354" s="239"/>
    </row>
    <row r="355" spans="19:19">
      <c r="S355" s="239"/>
    </row>
    <row r="356" spans="19:19">
      <c r="S356" s="239"/>
    </row>
    <row r="357" spans="19:19">
      <c r="S357" s="239"/>
    </row>
    <row r="358" spans="19:19">
      <c r="S358" s="239"/>
    </row>
    <row r="359" spans="19:19">
      <c r="S359" s="239"/>
    </row>
    <row r="360" spans="19:19">
      <c r="S360" s="239"/>
    </row>
    <row r="361" spans="19:19">
      <c r="S361" s="239"/>
    </row>
    <row r="362" spans="19:19">
      <c r="S362" s="239"/>
    </row>
    <row r="363" spans="19:19">
      <c r="S363" s="239"/>
    </row>
    <row r="364" spans="19:19">
      <c r="S364" s="239"/>
    </row>
    <row r="365" spans="19:19">
      <c r="S365" s="239"/>
    </row>
    <row r="366" spans="19:19">
      <c r="S366" s="239"/>
    </row>
    <row r="367" spans="19:19">
      <c r="S367" s="239"/>
    </row>
    <row r="368" spans="19:19">
      <c r="S368" s="239"/>
    </row>
    <row r="369" spans="19:19">
      <c r="S369" s="239"/>
    </row>
    <row r="370" spans="19:19">
      <c r="S370" s="239"/>
    </row>
    <row r="371" spans="19:19">
      <c r="S371" s="239"/>
    </row>
    <row r="372" spans="19:19">
      <c r="S372" s="239"/>
    </row>
    <row r="373" spans="19:19">
      <c r="S373" s="239"/>
    </row>
    <row r="374" spans="19:19">
      <c r="S374" s="239"/>
    </row>
    <row r="375" spans="19:19">
      <c r="S375" s="239"/>
    </row>
    <row r="376" spans="19:19">
      <c r="S376" s="239"/>
    </row>
    <row r="377" spans="19:19">
      <c r="S377" s="239"/>
    </row>
    <row r="378" spans="19:19">
      <c r="S378" s="239"/>
    </row>
    <row r="379" spans="19:19">
      <c r="S379" s="239"/>
    </row>
    <row r="380" spans="19:19">
      <c r="S380" s="239"/>
    </row>
    <row r="381" spans="19:19">
      <c r="S381" s="239"/>
    </row>
    <row r="382" spans="19:19">
      <c r="S382" s="239"/>
    </row>
    <row r="383" spans="19:19">
      <c r="S383" s="239"/>
    </row>
    <row r="384" spans="19:19">
      <c r="S384" s="239"/>
    </row>
    <row r="385" spans="19:19">
      <c r="S385" s="239"/>
    </row>
    <row r="386" spans="19:19">
      <c r="S386" s="239"/>
    </row>
    <row r="387" spans="19:19">
      <c r="S387" s="239"/>
    </row>
    <row r="388" spans="19:19">
      <c r="S388" s="239"/>
    </row>
    <row r="389" spans="19:19">
      <c r="S389" s="239"/>
    </row>
  </sheetData>
  <phoneticPr fontId="3" type="noConversion"/>
  <pageMargins left="0" right="0" top="0" bottom="0" header="0" footer="0"/>
  <pageSetup paperSize="5" scale="74"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F84"/>
  <sheetViews>
    <sheetView showGridLines="0" zoomScale="90" zoomScaleNormal="90" zoomScaleSheetLayoutView="85" workbookViewId="0">
      <pane xSplit="3" ySplit="4" topLeftCell="M28" activePane="bottomRight" state="frozen"/>
      <selection activeCell="AC64" sqref="AC64"/>
      <selection pane="topRight" activeCell="AC64" sqref="AC64"/>
      <selection pane="bottomLeft" activeCell="AC64" sqref="AC64"/>
      <selection pane="bottomRight" activeCell="B4" sqref="B4:Q66"/>
    </sheetView>
  </sheetViews>
  <sheetFormatPr defaultRowHeight="12.75" outlineLevelRow="1" outlineLevelCol="1"/>
  <cols>
    <col min="1" max="1" width="6.28515625" customWidth="1"/>
    <col min="3" max="3" width="47.28515625" customWidth="1"/>
    <col min="4" max="5" width="10.7109375" hidden="1" customWidth="1" outlineLevel="1"/>
    <col min="6" max="6" width="9.28515625" hidden="1" customWidth="1" outlineLevel="1" collapsed="1"/>
    <col min="7" max="7" width="8.85546875" hidden="1" customWidth="1" outlineLevel="1" collapsed="1"/>
    <col min="8" max="8" width="8.85546875" hidden="1" customWidth="1" collapsed="1"/>
    <col min="9" max="9" width="8.85546875" hidden="1" customWidth="1"/>
    <col min="10" max="10" width="9.5703125" hidden="1" customWidth="1"/>
    <col min="11" max="11" width="8.42578125" hidden="1" customWidth="1"/>
    <col min="12" max="12" width="9.5703125" hidden="1" customWidth="1"/>
    <col min="13" max="13" width="9.5703125" bestFit="1" customWidth="1"/>
    <col min="14" max="15" width="8.42578125" bestFit="1" customWidth="1"/>
    <col min="16" max="16" width="8.42578125" customWidth="1"/>
    <col min="17" max="17" width="8.42578125" bestFit="1" customWidth="1"/>
    <col min="18" max="23" width="2.7109375" customWidth="1"/>
    <col min="24" max="24" width="5" customWidth="1"/>
    <col min="25" max="25" width="2.7109375" customWidth="1"/>
    <col min="26" max="26" width="37.7109375" hidden="1" customWidth="1" outlineLevel="1"/>
    <col min="27" max="31" width="0" hidden="1" customWidth="1" outlineLevel="1"/>
    <col min="32" max="32" width="9.140625" collapsed="1"/>
  </cols>
  <sheetData>
    <row r="1" spans="1:25" ht="15.75" hidden="1">
      <c r="B1" s="61"/>
      <c r="G1" s="6"/>
      <c r="H1" s="248"/>
      <c r="I1" s="29"/>
      <c r="J1" s="29"/>
      <c r="K1" s="7"/>
      <c r="L1" s="7"/>
      <c r="M1" s="7"/>
      <c r="N1" s="7"/>
      <c r="O1" s="7"/>
      <c r="P1" s="7"/>
      <c r="Q1" s="7"/>
    </row>
    <row r="2" spans="1:25" ht="15.75" hidden="1">
      <c r="B2" s="61"/>
      <c r="G2" s="29"/>
      <c r="H2" s="23"/>
      <c r="I2" s="29"/>
      <c r="J2" s="29"/>
      <c r="K2" s="7"/>
      <c r="L2" s="7"/>
      <c r="M2" s="7"/>
      <c r="N2" s="7"/>
      <c r="O2" s="7"/>
      <c r="P2" s="7"/>
      <c r="Q2" s="7"/>
    </row>
    <row r="3" spans="1:25" ht="16.5" thickBot="1">
      <c r="B3" s="61"/>
      <c r="G3" s="7"/>
      <c r="H3" s="22"/>
      <c r="I3" s="7"/>
      <c r="J3" s="7"/>
      <c r="K3" s="7"/>
      <c r="L3" s="7"/>
      <c r="M3" s="7"/>
      <c r="N3" s="7"/>
      <c r="O3" s="7"/>
      <c r="P3" s="7"/>
      <c r="Q3" s="7"/>
    </row>
    <row r="4" spans="1:25">
      <c r="B4" s="725" t="s">
        <v>514</v>
      </c>
      <c r="C4" s="806"/>
      <c r="D4" s="807"/>
      <c r="E4" s="807" t="s">
        <v>58</v>
      </c>
      <c r="F4" s="807" t="s">
        <v>7</v>
      </c>
      <c r="G4" s="807" t="s">
        <v>314</v>
      </c>
      <c r="H4" s="728" t="s">
        <v>351</v>
      </c>
      <c r="I4" s="728" t="s">
        <v>393</v>
      </c>
      <c r="J4" s="728" t="s">
        <v>400</v>
      </c>
      <c r="K4" s="728" t="s">
        <v>460</v>
      </c>
      <c r="L4" s="728">
        <v>2015</v>
      </c>
      <c r="M4" s="728">
        <v>2016</v>
      </c>
      <c r="N4" s="728">
        <v>2017</v>
      </c>
      <c r="O4" s="728" t="s">
        <v>36</v>
      </c>
      <c r="P4" s="728" t="s">
        <v>359</v>
      </c>
      <c r="Q4" s="728" t="s">
        <v>360</v>
      </c>
    </row>
    <row r="5" spans="1:25">
      <c r="B5" s="620" t="s">
        <v>515</v>
      </c>
      <c r="C5" s="808"/>
      <c r="D5" s="809"/>
      <c r="E5" s="809"/>
      <c r="F5" s="809"/>
      <c r="G5" s="809"/>
      <c r="H5" s="731"/>
      <c r="I5" s="731"/>
      <c r="J5" s="731"/>
      <c r="K5" s="731"/>
      <c r="L5" s="731"/>
      <c r="M5" s="731"/>
      <c r="N5" s="731"/>
      <c r="O5" s="731"/>
      <c r="P5" s="731"/>
      <c r="Q5" s="731"/>
    </row>
    <row r="6" spans="1:25">
      <c r="B6" s="4" t="s">
        <v>60</v>
      </c>
      <c r="C6" s="4"/>
      <c r="D6" s="393"/>
      <c r="E6" s="393"/>
      <c r="F6" s="393">
        <f>IS!J76</f>
        <v>-73.311999999999998</v>
      </c>
      <c r="G6" s="393">
        <f>IS!O76</f>
        <v>-51.859999999999985</v>
      </c>
      <c r="H6" s="393">
        <f>IS!T76</f>
        <v>-64.852000000000004</v>
      </c>
      <c r="I6" s="393">
        <f>IS!Y76</f>
        <v>-72.624000000000052</v>
      </c>
      <c r="J6" s="810">
        <f>IS!AD76</f>
        <v>-272.81200000000001</v>
      </c>
      <c r="K6" s="393">
        <f>IS!AI76</f>
        <v>-189.61799999999997</v>
      </c>
      <c r="L6" s="741">
        <v>-142.66900000000001</v>
      </c>
      <c r="M6" s="741">
        <v>-81.707999999999998</v>
      </c>
      <c r="N6" s="741">
        <v>-116.937</v>
      </c>
      <c r="O6" s="741">
        <f>IS!BC76</f>
        <v>-118.23390544921919</v>
      </c>
      <c r="P6" s="741">
        <f>IS!BH76</f>
        <v>-43.755733765628051</v>
      </c>
      <c r="Q6" s="741">
        <f>IS!BM76</f>
        <v>69.358415907512736</v>
      </c>
      <c r="R6" s="97"/>
    </row>
    <row r="7" spans="1:25">
      <c r="B7" s="94" t="s">
        <v>189</v>
      </c>
      <c r="C7" s="94"/>
      <c r="D7" s="393"/>
      <c r="E7" s="393"/>
      <c r="F7" s="393"/>
      <c r="G7" s="393"/>
      <c r="H7" s="811">
        <v>0</v>
      </c>
      <c r="I7" s="811">
        <v>0</v>
      </c>
      <c r="J7" s="811">
        <v>0</v>
      </c>
      <c r="K7" s="811">
        <v>0</v>
      </c>
      <c r="L7" s="741">
        <v>0</v>
      </c>
      <c r="M7" s="741">
        <v>0</v>
      </c>
      <c r="N7" s="741">
        <v>0</v>
      </c>
      <c r="O7" s="741">
        <f>BS!O47-BS!N47</f>
        <v>0</v>
      </c>
      <c r="P7" s="741">
        <f>BS!P47-BS!O47</f>
        <v>0</v>
      </c>
      <c r="Q7" s="741">
        <f>BS!Q47-BS!P47</f>
        <v>0</v>
      </c>
    </row>
    <row r="8" spans="1:25">
      <c r="B8" s="146" t="s">
        <v>325</v>
      </c>
      <c r="C8" s="146"/>
      <c r="D8" s="812"/>
      <c r="E8" s="812"/>
      <c r="F8" s="812">
        <f>IS!J61</f>
        <v>-13.314</v>
      </c>
      <c r="G8" s="813">
        <f>IS!O61</f>
        <v>4.5510000000000002</v>
      </c>
      <c r="H8" s="814">
        <v>0</v>
      </c>
      <c r="I8" s="814">
        <v>0</v>
      </c>
      <c r="J8" s="814">
        <v>0</v>
      </c>
      <c r="K8" s="814">
        <v>0</v>
      </c>
      <c r="L8" s="815">
        <v>0</v>
      </c>
      <c r="M8" s="815">
        <v>0</v>
      </c>
      <c r="N8" s="815">
        <v>0</v>
      </c>
      <c r="O8" s="815">
        <v>0</v>
      </c>
      <c r="P8" s="815">
        <v>0</v>
      </c>
      <c r="Q8" s="815">
        <v>0</v>
      </c>
    </row>
    <row r="9" spans="1:25">
      <c r="A9" s="17"/>
      <c r="B9" s="792" t="s">
        <v>332</v>
      </c>
      <c r="C9" s="773"/>
      <c r="D9" s="774"/>
      <c r="E9" s="774"/>
      <c r="F9" s="774">
        <f>F6-F8</f>
        <v>-59.997999999999998</v>
      </c>
      <c r="G9" s="774">
        <f>G6-G8</f>
        <v>-56.410999999999987</v>
      </c>
      <c r="H9" s="774">
        <f t="shared" ref="H9:O9" si="0">H6-H8</f>
        <v>-64.852000000000004</v>
      </c>
      <c r="I9" s="774">
        <f t="shared" si="0"/>
        <v>-72.624000000000052</v>
      </c>
      <c r="J9" s="774">
        <f t="shared" si="0"/>
        <v>-272.81200000000001</v>
      </c>
      <c r="K9" s="774">
        <f t="shared" si="0"/>
        <v>-189.61799999999997</v>
      </c>
      <c r="L9" s="765">
        <f t="shared" si="0"/>
        <v>-142.66900000000001</v>
      </c>
      <c r="M9" s="765">
        <f t="shared" si="0"/>
        <v>-81.707999999999998</v>
      </c>
      <c r="N9" s="765">
        <f t="shared" si="0"/>
        <v>-116.937</v>
      </c>
      <c r="O9" s="765">
        <f t="shared" si="0"/>
        <v>-118.23390544921919</v>
      </c>
      <c r="P9" s="765">
        <f>P6-P8</f>
        <v>-43.755733765628051</v>
      </c>
      <c r="Q9" s="791">
        <f>Q6-Q8</f>
        <v>69.358415907512736</v>
      </c>
      <c r="R9" s="17"/>
      <c r="S9" s="17"/>
      <c r="T9" s="17"/>
      <c r="U9" s="17"/>
      <c r="V9" s="17"/>
      <c r="W9" s="17"/>
      <c r="X9" s="17"/>
      <c r="Y9" s="17"/>
    </row>
    <row r="10" spans="1:25">
      <c r="B10" s="94"/>
      <c r="C10" s="94"/>
      <c r="D10" s="534"/>
      <c r="E10" s="534"/>
      <c r="F10" s="534"/>
      <c r="G10" s="534"/>
      <c r="H10" s="534"/>
      <c r="I10" s="534"/>
      <c r="J10" s="534"/>
      <c r="K10" s="534"/>
      <c r="L10" s="764"/>
      <c r="M10" s="764"/>
      <c r="N10" s="764"/>
      <c r="O10" s="764"/>
      <c r="P10" s="764"/>
      <c r="Q10" s="764"/>
    </row>
    <row r="11" spans="1:25">
      <c r="B11" s="94"/>
      <c r="C11" s="94"/>
      <c r="D11" s="534"/>
      <c r="E11" s="534"/>
      <c r="F11" s="534"/>
      <c r="G11" s="534"/>
      <c r="H11" s="534"/>
      <c r="I11" s="534"/>
      <c r="J11" s="534"/>
      <c r="K11" s="534"/>
      <c r="L11" s="764"/>
      <c r="M11" s="764"/>
      <c r="N11" s="764"/>
      <c r="O11" s="764"/>
      <c r="P11" s="764"/>
      <c r="Q11" s="764"/>
    </row>
    <row r="12" spans="1:25">
      <c r="B12" s="4" t="s">
        <v>61</v>
      </c>
      <c r="C12" s="4"/>
      <c r="D12" s="534"/>
      <c r="E12" s="534"/>
      <c r="F12" s="534">
        <v>4.7629999999999999</v>
      </c>
      <c r="G12" s="811">
        <v>6.1609999999999996</v>
      </c>
      <c r="H12" s="811">
        <v>9.9990000000000006</v>
      </c>
      <c r="I12" s="811">
        <v>11.324999999999999</v>
      </c>
      <c r="J12" s="811">
        <v>11.728999999999999</v>
      </c>
      <c r="K12" s="811">
        <v>12.331</v>
      </c>
      <c r="L12" s="741">
        <v>11.63</v>
      </c>
      <c r="M12" s="741">
        <f>10.279+0.981</f>
        <v>11.26</v>
      </c>
      <c r="N12" s="741">
        <f>8.403+6.214</f>
        <v>14.617000000000001</v>
      </c>
      <c r="O12" s="741">
        <f>BS!O118</f>
        <v>6.5845439215988852</v>
      </c>
      <c r="P12" s="741">
        <f>BS!P118</f>
        <v>7.1870961524778236</v>
      </c>
      <c r="Q12" s="741">
        <f>BS!Q118</f>
        <v>7.926669661086347</v>
      </c>
    </row>
    <row r="13" spans="1:25">
      <c r="B13" s="4" t="s">
        <v>177</v>
      </c>
      <c r="C13" s="4"/>
      <c r="D13" s="534"/>
      <c r="E13" s="534"/>
      <c r="F13" s="534">
        <v>0.08</v>
      </c>
      <c r="G13" s="811">
        <v>0.47399999999999998</v>
      </c>
      <c r="H13" s="811">
        <v>7.0000000000000001E-3</v>
      </c>
      <c r="I13" s="811">
        <v>0.02</v>
      </c>
      <c r="J13" s="811">
        <v>0.61</v>
      </c>
      <c r="K13" s="811">
        <v>0.11899999999999999</v>
      </c>
      <c r="L13" s="741">
        <v>-0.19600000000000001</v>
      </c>
      <c r="M13" s="741">
        <v>-0.20399999999999999</v>
      </c>
      <c r="N13" s="741">
        <v>0.69399999999999995</v>
      </c>
      <c r="O13" s="741">
        <v>0</v>
      </c>
      <c r="P13" s="741">
        <v>0</v>
      </c>
      <c r="Q13" s="741">
        <v>0</v>
      </c>
    </row>
    <row r="14" spans="1:25" hidden="1">
      <c r="B14" s="4" t="s">
        <v>178</v>
      </c>
      <c r="C14" s="4"/>
      <c r="D14" s="534"/>
      <c r="E14" s="534"/>
      <c r="F14" s="534"/>
      <c r="G14" s="503">
        <v>0</v>
      </c>
      <c r="H14" s="503">
        <v>0</v>
      </c>
      <c r="I14" s="503">
        <v>0</v>
      </c>
      <c r="J14" s="503">
        <v>0</v>
      </c>
      <c r="K14" s="503">
        <v>0</v>
      </c>
      <c r="L14" s="741">
        <v>0</v>
      </c>
      <c r="M14" s="741">
        <v>0</v>
      </c>
      <c r="N14" s="741">
        <v>0</v>
      </c>
      <c r="O14" s="741">
        <v>0</v>
      </c>
      <c r="P14" s="741">
        <v>0</v>
      </c>
      <c r="Q14" s="741">
        <v>0</v>
      </c>
    </row>
    <row r="15" spans="1:25" hidden="1">
      <c r="B15" s="4" t="s">
        <v>179</v>
      </c>
      <c r="C15" s="4"/>
      <c r="D15" s="534"/>
      <c r="E15" s="534"/>
      <c r="F15" s="534">
        <v>-0.6</v>
      </c>
      <c r="G15" s="503">
        <v>0</v>
      </c>
      <c r="H15" s="503">
        <v>0</v>
      </c>
      <c r="I15" s="503">
        <v>0</v>
      </c>
      <c r="J15" s="503">
        <v>0</v>
      </c>
      <c r="K15" s="503">
        <v>0</v>
      </c>
      <c r="L15" s="741">
        <v>0</v>
      </c>
      <c r="M15" s="741">
        <v>0</v>
      </c>
      <c r="N15" s="741">
        <v>0</v>
      </c>
      <c r="O15" s="741">
        <v>0</v>
      </c>
      <c r="P15" s="741">
        <v>0</v>
      </c>
      <c r="Q15" s="741">
        <v>0</v>
      </c>
      <c r="R15" s="7"/>
      <c r="S15" s="7"/>
      <c r="T15" s="7"/>
    </row>
    <row r="16" spans="1:25">
      <c r="B16" s="4" t="s">
        <v>181</v>
      </c>
      <c r="C16" s="4"/>
      <c r="D16" s="534"/>
      <c r="E16" s="534"/>
      <c r="F16" s="393">
        <v>5.0949999999999998</v>
      </c>
      <c r="G16" s="811">
        <v>7.4960000000000004</v>
      </c>
      <c r="H16" s="811">
        <v>11.731999999999999</v>
      </c>
      <c r="I16" s="811">
        <v>17.573</v>
      </c>
      <c r="J16" s="811">
        <v>19.829000000000001</v>
      </c>
      <c r="K16" s="811">
        <f>IS!AI68</f>
        <v>26.184000000000001</v>
      </c>
      <c r="L16" s="741">
        <v>25.469000000000001</v>
      </c>
      <c r="M16" s="741">
        <v>29.219000000000001</v>
      </c>
      <c r="N16" s="741">
        <v>33.82</v>
      </c>
      <c r="O16" s="741">
        <f>IS!BC68</f>
        <v>29.116</v>
      </c>
      <c r="P16" s="741">
        <f>IS!BH68</f>
        <v>29.116</v>
      </c>
      <c r="Q16" s="741">
        <f>IS!BM68</f>
        <v>29.116</v>
      </c>
    </row>
    <row r="17" spans="2:17">
      <c r="B17" s="4" t="s">
        <v>462</v>
      </c>
      <c r="C17" s="4"/>
      <c r="D17" s="534"/>
      <c r="E17" s="534"/>
      <c r="F17" s="393"/>
      <c r="G17" s="811"/>
      <c r="H17" s="811"/>
      <c r="I17" s="811">
        <v>0</v>
      </c>
      <c r="J17" s="811">
        <v>0</v>
      </c>
      <c r="K17" s="811">
        <v>20.292000000000002</v>
      </c>
      <c r="L17" s="741">
        <v>17.638000000000002</v>
      </c>
      <c r="M17" s="741">
        <v>0.374</v>
      </c>
      <c r="N17" s="741">
        <v>0.309</v>
      </c>
      <c r="O17" s="741">
        <v>0</v>
      </c>
      <c r="P17" s="741">
        <v>0</v>
      </c>
      <c r="Q17" s="741">
        <v>0</v>
      </c>
    </row>
    <row r="18" spans="2:17">
      <c r="B18" s="4" t="s">
        <v>463</v>
      </c>
      <c r="C18" s="4"/>
      <c r="D18" s="534"/>
      <c r="E18" s="534"/>
      <c r="F18" s="393"/>
      <c r="G18" s="811"/>
      <c r="H18" s="811"/>
      <c r="I18" s="811">
        <v>0</v>
      </c>
      <c r="J18" s="811">
        <v>0</v>
      </c>
      <c r="K18" s="811">
        <v>2.573</v>
      </c>
      <c r="L18" s="741">
        <v>0.29599999999999999</v>
      </c>
      <c r="M18" s="741">
        <v>3.48</v>
      </c>
      <c r="N18" s="741">
        <v>-1.579</v>
      </c>
      <c r="O18" s="741">
        <v>0</v>
      </c>
      <c r="P18" s="741">
        <v>0</v>
      </c>
      <c r="Q18" s="741">
        <v>0</v>
      </c>
    </row>
    <row r="19" spans="2:17">
      <c r="B19" s="4" t="s">
        <v>180</v>
      </c>
      <c r="C19" s="4"/>
      <c r="D19" s="534"/>
      <c r="E19" s="534"/>
      <c r="F19" s="534">
        <v>0.23899999999999999</v>
      </c>
      <c r="G19" s="534">
        <v>1.619</v>
      </c>
      <c r="H19" s="534">
        <v>2.234</v>
      </c>
      <c r="I19" s="534">
        <v>1.157</v>
      </c>
      <c r="J19" s="534">
        <v>1.254</v>
      </c>
      <c r="K19" s="393">
        <v>1.085</v>
      </c>
      <c r="L19" s="741">
        <v>1.1140000000000001</v>
      </c>
      <c r="M19" s="741">
        <v>0.66700000000000004</v>
      </c>
      <c r="N19" s="741">
        <v>-7.4999999999999997E-2</v>
      </c>
      <c r="O19" s="741">
        <v>0</v>
      </c>
      <c r="P19" s="741">
        <v>0</v>
      </c>
      <c r="Q19" s="741">
        <v>0</v>
      </c>
    </row>
    <row r="20" spans="2:17">
      <c r="B20" s="4" t="s">
        <v>404</v>
      </c>
      <c r="C20" s="4"/>
      <c r="D20" s="534"/>
      <c r="E20" s="534"/>
      <c r="F20" s="534"/>
      <c r="G20" s="534"/>
      <c r="H20" s="534">
        <v>0</v>
      </c>
      <c r="I20" s="534">
        <v>0</v>
      </c>
      <c r="J20" s="503">
        <v>1.7190000000000001</v>
      </c>
      <c r="K20" s="393">
        <v>1.5660000000000001</v>
      </c>
      <c r="L20" s="741">
        <v>8.1020000000000003</v>
      </c>
      <c r="M20" s="741">
        <v>14.811999999999999</v>
      </c>
      <c r="N20" s="741">
        <v>16.079999999999998</v>
      </c>
      <c r="O20" s="741">
        <v>0</v>
      </c>
      <c r="P20" s="741">
        <v>0</v>
      </c>
      <c r="Q20" s="741">
        <v>0</v>
      </c>
    </row>
    <row r="21" spans="2:17">
      <c r="B21" s="4" t="s">
        <v>478</v>
      </c>
      <c r="C21" s="4"/>
      <c r="D21" s="534"/>
      <c r="E21" s="534"/>
      <c r="F21" s="534"/>
      <c r="G21" s="534"/>
      <c r="H21" s="534">
        <v>0</v>
      </c>
      <c r="I21" s="534">
        <v>0</v>
      </c>
      <c r="J21" s="503">
        <v>0</v>
      </c>
      <c r="K21" s="393">
        <v>0</v>
      </c>
      <c r="L21" s="741">
        <v>4.4790000000000001</v>
      </c>
      <c r="M21" s="741">
        <v>37.908999999999999</v>
      </c>
      <c r="N21" s="741">
        <v>-21.048999999999999</v>
      </c>
      <c r="O21" s="741">
        <v>0</v>
      </c>
      <c r="P21" s="741">
        <v>0</v>
      </c>
      <c r="Q21" s="741">
        <v>0</v>
      </c>
    </row>
    <row r="22" spans="2:17">
      <c r="B22" s="4" t="s">
        <v>479</v>
      </c>
      <c r="C22" s="4"/>
      <c r="D22" s="534"/>
      <c r="E22" s="534"/>
      <c r="F22" s="534"/>
      <c r="G22" s="534"/>
      <c r="H22" s="534">
        <v>0</v>
      </c>
      <c r="I22" s="534">
        <v>0</v>
      </c>
      <c r="J22" s="503">
        <v>0</v>
      </c>
      <c r="K22" s="393">
        <v>0</v>
      </c>
      <c r="L22" s="741">
        <v>5.4489999999999998</v>
      </c>
      <c r="M22" s="741">
        <v>-46.055</v>
      </c>
      <c r="N22" s="741">
        <v>24.332999999999998</v>
      </c>
      <c r="O22" s="741">
        <v>0</v>
      </c>
      <c r="P22" s="741">
        <v>0</v>
      </c>
      <c r="Q22" s="741">
        <v>0</v>
      </c>
    </row>
    <row r="23" spans="2:17">
      <c r="B23" s="18" t="s">
        <v>531</v>
      </c>
      <c r="C23" s="4"/>
      <c r="D23" s="534"/>
      <c r="E23" s="534"/>
      <c r="F23" s="534"/>
      <c r="G23" s="534"/>
      <c r="H23" s="534"/>
      <c r="I23" s="534"/>
      <c r="J23" s="503"/>
      <c r="K23" s="393"/>
      <c r="L23" s="741"/>
      <c r="M23" s="741">
        <v>9.8309999999999995</v>
      </c>
      <c r="N23" s="741">
        <f>2.009+1.313-31.31</f>
        <v>-27.988</v>
      </c>
      <c r="O23" s="741"/>
      <c r="P23" s="741"/>
      <c r="Q23" s="741"/>
    </row>
    <row r="24" spans="2:17">
      <c r="B24" s="4"/>
      <c r="C24" s="4"/>
      <c r="D24" s="534"/>
      <c r="E24" s="534"/>
      <c r="F24" s="534"/>
      <c r="G24" s="534"/>
      <c r="H24" s="534"/>
      <c r="I24" s="534"/>
      <c r="J24" s="534"/>
      <c r="K24" s="534"/>
      <c r="L24" s="764"/>
      <c r="M24" s="764"/>
      <c r="N24" s="764"/>
      <c r="O24" s="764"/>
      <c r="P24" s="764"/>
      <c r="Q24" s="764"/>
    </row>
    <row r="25" spans="2:17">
      <c r="B25" s="17" t="s">
        <v>62</v>
      </c>
      <c r="C25" s="4"/>
      <c r="D25" s="534"/>
      <c r="E25" s="534"/>
      <c r="F25" s="534"/>
      <c r="G25" s="811"/>
      <c r="H25" s="142"/>
      <c r="I25" s="816"/>
      <c r="J25" s="816"/>
      <c r="K25" s="816"/>
      <c r="L25" s="741"/>
      <c r="M25" s="741"/>
      <c r="N25" s="741"/>
      <c r="O25" s="741"/>
      <c r="P25" s="741"/>
      <c r="Q25" s="741"/>
    </row>
    <row r="26" spans="2:17">
      <c r="B26" s="4" t="s">
        <v>63</v>
      </c>
      <c r="C26" s="4"/>
      <c r="D26" s="534"/>
      <c r="E26" s="534"/>
      <c r="F26" s="534">
        <v>-0.64800000000000002</v>
      </c>
      <c r="G26" s="534">
        <v>2.3239999999999998</v>
      </c>
      <c r="H26" s="534">
        <v>2.2429999999999999</v>
      </c>
      <c r="I26" s="534">
        <v>-0.83499999999999996</v>
      </c>
      <c r="J26" s="534">
        <v>-1.726</v>
      </c>
      <c r="K26" s="534">
        <v>-23.68</v>
      </c>
      <c r="L26" s="764">
        <v>-28.678999999999998</v>
      </c>
      <c r="M26" s="764">
        <v>-10.336</v>
      </c>
      <c r="N26" s="764">
        <v>-17.303000000000001</v>
      </c>
      <c r="O26" s="764">
        <f>-(BS!O8-BS!N8+BS!O10-BS!N10)</f>
        <v>-1.1698146228831092</v>
      </c>
      <c r="P26" s="764">
        <f>-(BS!P8-BS!O8+BS!P10-BS!O10)</f>
        <v>-15.384359186305076</v>
      </c>
      <c r="Q26" s="764">
        <f>-(BS!Q8-BS!P8+BS!Q10-BS!P10)</f>
        <v>-0.50086674607275938</v>
      </c>
    </row>
    <row r="27" spans="2:17">
      <c r="B27" s="4" t="s">
        <v>380</v>
      </c>
      <c r="C27" s="4"/>
      <c r="D27" s="534"/>
      <c r="E27" s="534"/>
      <c r="F27" s="534"/>
      <c r="G27" s="534">
        <v>0</v>
      </c>
      <c r="H27" s="534">
        <v>0</v>
      </c>
      <c r="I27" s="534">
        <v>-6.6989999999999998</v>
      </c>
      <c r="J27" s="534">
        <v>-11.914999999999999</v>
      </c>
      <c r="K27" s="534">
        <v>-3.0779999999999998</v>
      </c>
      <c r="L27" s="764">
        <v>0</v>
      </c>
      <c r="M27" s="764">
        <v>0</v>
      </c>
      <c r="N27" s="764">
        <v>0.34599999999999997</v>
      </c>
      <c r="O27" s="764">
        <f>BS!N9-BS!O9</f>
        <v>-17.520397059958242</v>
      </c>
      <c r="P27" s="764">
        <f>BS!O9-BS!P9</f>
        <v>-2.0807407322059284</v>
      </c>
      <c r="Q27" s="764">
        <f>BS!P9-BS!Q9</f>
        <v>-1.8510674660915392</v>
      </c>
    </row>
    <row r="28" spans="2:17">
      <c r="B28" s="4" t="s">
        <v>182</v>
      </c>
      <c r="C28" s="4"/>
      <c r="D28" s="534"/>
      <c r="E28" s="534"/>
      <c r="F28" s="534">
        <v>-0.44600000000000001</v>
      </c>
      <c r="G28" s="534">
        <v>-2.3479999999999999</v>
      </c>
      <c r="H28" s="534">
        <v>2.8330000000000002</v>
      </c>
      <c r="I28" s="534">
        <v>0</v>
      </c>
      <c r="J28" s="534">
        <v>-0.5</v>
      </c>
      <c r="K28" s="534">
        <v>0</v>
      </c>
      <c r="L28" s="764">
        <f>-0.6</f>
        <v>-0.6</v>
      </c>
      <c r="M28" s="764">
        <v>0.5</v>
      </c>
      <c r="N28" s="764">
        <v>1.19</v>
      </c>
      <c r="O28" s="764">
        <f>-(BS!O16-BS!N16)</f>
        <v>0</v>
      </c>
      <c r="P28" s="764">
        <f>-(BS!P16-BS!O16)</f>
        <v>0</v>
      </c>
      <c r="Q28" s="764">
        <f>-(BS!Q16-BS!P16)</f>
        <v>0</v>
      </c>
    </row>
    <row r="29" spans="2:17">
      <c r="B29" s="4" t="s">
        <v>64</v>
      </c>
      <c r="C29" s="4"/>
      <c r="D29" s="534"/>
      <c r="E29" s="534"/>
      <c r="F29" s="534">
        <v>-0.46400000000000002</v>
      </c>
      <c r="G29" s="534">
        <v>-2.6469999999999998</v>
      </c>
      <c r="H29" s="534">
        <v>2.4209999999999998</v>
      </c>
      <c r="I29" s="534">
        <v>-5.1269999999999998</v>
      </c>
      <c r="J29" s="534">
        <v>-5.1999999999999998E-2</v>
      </c>
      <c r="K29" s="534">
        <v>-3.9470000000000001</v>
      </c>
      <c r="L29" s="764">
        <v>2.5680000000000001</v>
      </c>
      <c r="M29" s="764">
        <v>-3.069</v>
      </c>
      <c r="N29" s="764">
        <v>1.3839999999999999</v>
      </c>
      <c r="O29" s="764">
        <f>-(BS!O11-BS!N11)</f>
        <v>-3.6652382359749449</v>
      </c>
      <c r="P29" s="764">
        <f>-(BS!P11-BS!O11)</f>
        <v>-2.6041869588011668</v>
      </c>
      <c r="Q29" s="764">
        <f>-(BS!Q11-BS!P11)</f>
        <v>-3.0829787489156679</v>
      </c>
    </row>
    <row r="30" spans="2:17">
      <c r="B30" s="4" t="s">
        <v>65</v>
      </c>
      <c r="C30" s="4"/>
      <c r="D30" s="534"/>
      <c r="E30" s="534"/>
      <c r="F30" s="534">
        <v>0.05</v>
      </c>
      <c r="G30" s="534">
        <v>-0.253</v>
      </c>
      <c r="H30" s="534">
        <v>0.13600000000000001</v>
      </c>
      <c r="I30" s="534">
        <v>-0.14499999999999999</v>
      </c>
      <c r="J30" s="534">
        <v>0.11600000000000001</v>
      </c>
      <c r="K30" s="534">
        <v>-2.8759999999999999</v>
      </c>
      <c r="L30" s="764">
        <v>0.41399999999999998</v>
      </c>
      <c r="M30" s="764">
        <v>1.6439999999999999</v>
      </c>
      <c r="N30" s="764">
        <v>0.115</v>
      </c>
      <c r="O30" s="764">
        <f>-(BS!O18-BS!N18)</f>
        <v>-2.7385735396241841</v>
      </c>
      <c r="P30" s="764">
        <f>-(BS!P18-BS!O18)</f>
        <v>-2.9096705292812146</v>
      </c>
      <c r="Q30" s="764">
        <f>-(BS!Q18-BS!P18)</f>
        <v>-4.7425966825763339</v>
      </c>
    </row>
    <row r="31" spans="2:17">
      <c r="B31" s="4" t="s">
        <v>183</v>
      </c>
      <c r="C31" s="4"/>
      <c r="D31" s="534"/>
      <c r="E31" s="534"/>
      <c r="F31" s="534">
        <v>1.732</v>
      </c>
      <c r="G31" s="534">
        <v>2.74</v>
      </c>
      <c r="H31" s="534">
        <v>5.0860000000000003</v>
      </c>
      <c r="I31" s="534">
        <v>24.241</v>
      </c>
      <c r="J31" s="534">
        <v>-11.724</v>
      </c>
      <c r="K31" s="534">
        <v>1.425</v>
      </c>
      <c r="L31" s="764">
        <v>-1.5509999999999999</v>
      </c>
      <c r="M31" s="764">
        <v>19.683</v>
      </c>
      <c r="N31" s="764">
        <v>-6.843</v>
      </c>
      <c r="O31" s="764">
        <f>(BS!O23-BS!N23)+(BS!O25-BS!N25)</f>
        <v>6.7619391808470386</v>
      </c>
      <c r="P31" s="764">
        <f>(BS!P23-BS!O23)+(BS!P25-BS!O25)</f>
        <v>1.7977543561719216</v>
      </c>
      <c r="Q31" s="764">
        <f>(BS!Q23-BS!P23)+(BS!Q25-BS!P25)</f>
        <v>-1.5090375701811993</v>
      </c>
    </row>
    <row r="32" spans="2:17">
      <c r="B32" s="4" t="s">
        <v>184</v>
      </c>
      <c r="C32" s="4"/>
      <c r="D32" s="534"/>
      <c r="E32" s="534"/>
      <c r="F32" s="534">
        <v>2.99</v>
      </c>
      <c r="G32" s="534">
        <v>-4.2610000000000001</v>
      </c>
      <c r="H32" s="534">
        <v>-1.1299999999999999</v>
      </c>
      <c r="I32" s="534">
        <v>-1.3460000000000001</v>
      </c>
      <c r="J32" s="534">
        <v>-2.2519999999999998</v>
      </c>
      <c r="K32" s="534">
        <v>0.16200000000000001</v>
      </c>
      <c r="L32" s="764">
        <v>0.67100000000000004</v>
      </c>
      <c r="M32" s="764">
        <v>2.6920000000000002</v>
      </c>
      <c r="N32" s="764">
        <v>0.376</v>
      </c>
      <c r="O32" s="764">
        <f>BS!O24-BS!N24</f>
        <v>0.74996904914034435</v>
      </c>
      <c r="P32" s="764">
        <f>BS!P24-BS!O24</f>
        <v>-0.24475728733445834</v>
      </c>
      <c r="Q32" s="764">
        <f>BS!Q24-BS!P24</f>
        <v>-0.23174602734157279</v>
      </c>
    </row>
    <row r="33" spans="1:25">
      <c r="B33" s="4" t="s">
        <v>66</v>
      </c>
      <c r="C33" s="4"/>
      <c r="D33" s="534"/>
      <c r="E33" s="534"/>
      <c r="F33" s="534">
        <v>53.993000000000002</v>
      </c>
      <c r="G33" s="534">
        <v>-23.568999999999999</v>
      </c>
      <c r="H33" s="534">
        <v>-45.012</v>
      </c>
      <c r="I33" s="534">
        <v>-36.015999999999998</v>
      </c>
      <c r="J33" s="534">
        <v>-4.915</v>
      </c>
      <c r="K33" s="534">
        <v>0.74399999999999999</v>
      </c>
      <c r="L33" s="764">
        <v>-7.1909999999999998</v>
      </c>
      <c r="M33" s="764">
        <v>-8.9890000000000008</v>
      </c>
      <c r="N33" s="764">
        <v>0</v>
      </c>
      <c r="O33" s="764">
        <f>(BS!O29-BS!N29)+(BS!O35-BS!N35)</f>
        <v>18.43681318681319</v>
      </c>
      <c r="P33" s="764">
        <f>(BS!P29-BS!O29)+(BS!P35-BS!O35)</f>
        <v>-2.75</v>
      </c>
      <c r="Q33" s="764">
        <f>(BS!Q29-BS!P29)+(BS!Q35-BS!P35)</f>
        <v>0</v>
      </c>
    </row>
    <row r="34" spans="1:25">
      <c r="B34" s="4" t="s">
        <v>309</v>
      </c>
      <c r="C34" s="4"/>
      <c r="D34" s="534"/>
      <c r="E34" s="534"/>
      <c r="F34" s="534">
        <v>1.2789999999999999</v>
      </c>
      <c r="G34" s="534">
        <v>6.7450000000000001</v>
      </c>
      <c r="H34" s="534">
        <v>-0.93400000000000005</v>
      </c>
      <c r="I34" s="534">
        <v>-2.149</v>
      </c>
      <c r="J34" s="534">
        <v>-2.7160000000000002</v>
      </c>
      <c r="K34" s="534">
        <v>1.8109999999999999</v>
      </c>
      <c r="L34" s="764">
        <v>-3.871</v>
      </c>
      <c r="M34" s="764">
        <v>-7.1429999999999998</v>
      </c>
      <c r="N34" s="764">
        <v>-1.0529999999999999</v>
      </c>
      <c r="O34" s="764">
        <f>BS!O28-BS!N28+BS!O34-BS!N34+BS!O27-BS!N27+BS!O33-BS!N33</f>
        <v>1.2128943772859859</v>
      </c>
      <c r="P34" s="764">
        <f>BS!P28-BS!O28+BS!P34-BS!O34+BS!P27-BS!O27+BS!P33-BS!O33</f>
        <v>0.32246462028503053</v>
      </c>
      <c r="Q34" s="764">
        <f>BS!Q28-BS!P28+BS!Q34-BS!P34+BS!Q27-BS!P27+BS!Q33-BS!P33</f>
        <v>-0.27067726210409493</v>
      </c>
    </row>
    <row r="35" spans="1:25">
      <c r="B35" s="4" t="s">
        <v>388</v>
      </c>
      <c r="C35" s="4"/>
      <c r="D35" s="534"/>
      <c r="E35" s="534"/>
      <c r="F35" s="534"/>
      <c r="G35" s="534"/>
      <c r="H35" s="534"/>
      <c r="I35" s="534">
        <v>0.99199999999999999</v>
      </c>
      <c r="J35" s="534">
        <v>0</v>
      </c>
      <c r="K35" s="534">
        <v>-0.66100000000000003</v>
      </c>
      <c r="L35" s="764">
        <v>0</v>
      </c>
      <c r="M35" s="764">
        <v>0</v>
      </c>
      <c r="N35" s="764">
        <v>0</v>
      </c>
      <c r="O35" s="764">
        <f>BS!O39-BS!N39</f>
        <v>1.5499761983545639</v>
      </c>
      <c r="P35" s="764">
        <f>BS!P39-BS!O39</f>
        <v>1.1095254248802959</v>
      </c>
      <c r="Q35" s="764">
        <f>BS!Q39-BS!P39</f>
        <v>-0.93133722383566209</v>
      </c>
    </row>
    <row r="36" spans="1:25">
      <c r="B36" s="93" t="s">
        <v>327</v>
      </c>
      <c r="C36" s="93"/>
      <c r="D36" s="814"/>
      <c r="E36" s="814"/>
      <c r="F36" s="812">
        <v>-11.51</v>
      </c>
      <c r="G36" s="817">
        <v>-5.9690000000000003</v>
      </c>
      <c r="H36" s="817">
        <v>0</v>
      </c>
      <c r="I36" s="817">
        <v>0</v>
      </c>
      <c r="J36" s="817">
        <v>0</v>
      </c>
      <c r="K36" s="817">
        <v>0</v>
      </c>
      <c r="L36" s="744">
        <v>0</v>
      </c>
      <c r="M36" s="744">
        <v>0</v>
      </c>
      <c r="N36" s="744">
        <v>0</v>
      </c>
      <c r="O36" s="744">
        <v>0</v>
      </c>
      <c r="P36" s="744">
        <v>0</v>
      </c>
      <c r="Q36" s="744">
        <v>0</v>
      </c>
    </row>
    <row r="37" spans="1:25">
      <c r="A37" s="17"/>
      <c r="B37" s="792" t="s">
        <v>67</v>
      </c>
      <c r="C37" s="773"/>
      <c r="D37" s="774"/>
      <c r="E37" s="774"/>
      <c r="F37" s="774">
        <f t="shared" ref="F37:Q37" si="1">SUM(F9:F36)</f>
        <v>-3.4450000000000056</v>
      </c>
      <c r="G37" s="774">
        <f t="shared" si="1"/>
        <v>-67.898999999999987</v>
      </c>
      <c r="H37" s="774">
        <f t="shared" si="1"/>
        <v>-75.236999999999995</v>
      </c>
      <c r="I37" s="774">
        <f t="shared" si="1"/>
        <v>-69.633000000000052</v>
      </c>
      <c r="J37" s="774">
        <f t="shared" si="1"/>
        <v>-273.35500000000002</v>
      </c>
      <c r="K37" s="774">
        <f t="shared" si="1"/>
        <v>-155.56799999999996</v>
      </c>
      <c r="L37" s="765">
        <f t="shared" si="1"/>
        <v>-106.92699999999999</v>
      </c>
      <c r="M37" s="765">
        <f t="shared" si="1"/>
        <v>-25.432999999999996</v>
      </c>
      <c r="N37" s="765">
        <f t="shared" si="1"/>
        <v>-99.562999999999974</v>
      </c>
      <c r="O37" s="765">
        <f t="shared" si="1"/>
        <v>-78.915792993619647</v>
      </c>
      <c r="P37" s="765">
        <f t="shared" si="1"/>
        <v>-30.196607905740827</v>
      </c>
      <c r="Q37" s="791">
        <f t="shared" si="1"/>
        <v>93.280777841480273</v>
      </c>
      <c r="R37" s="17"/>
      <c r="S37" s="17"/>
      <c r="T37" s="17"/>
      <c r="U37" s="17"/>
      <c r="V37" s="17"/>
      <c r="W37" s="17"/>
      <c r="X37" s="17"/>
      <c r="Y37" s="17"/>
    </row>
    <row r="38" spans="1:25">
      <c r="B38" s="4"/>
      <c r="C38" s="4"/>
      <c r="D38" s="534"/>
      <c r="E38" s="534"/>
      <c r="F38" s="534"/>
      <c r="G38" s="811"/>
      <c r="H38" s="142"/>
      <c r="I38" s="816"/>
      <c r="J38" s="816"/>
      <c r="K38" s="816"/>
      <c r="L38" s="741"/>
      <c r="M38" s="741"/>
      <c r="N38" s="741"/>
      <c r="O38" s="741"/>
      <c r="P38" s="741"/>
      <c r="Q38" s="741"/>
    </row>
    <row r="39" spans="1:25">
      <c r="B39" s="17" t="s">
        <v>68</v>
      </c>
      <c r="C39" s="4"/>
      <c r="D39" s="534"/>
      <c r="E39" s="534"/>
      <c r="F39" s="534"/>
      <c r="G39" s="811"/>
      <c r="H39" s="142"/>
      <c r="I39" s="816"/>
      <c r="J39" s="816"/>
      <c r="K39" s="816"/>
      <c r="L39" s="741"/>
      <c r="M39" s="741"/>
      <c r="N39" s="741"/>
      <c r="O39" s="741"/>
      <c r="P39" s="741"/>
      <c r="Q39" s="741"/>
      <c r="X39" s="211"/>
    </row>
    <row r="40" spans="1:25">
      <c r="B40" s="4" t="s">
        <v>70</v>
      </c>
      <c r="C40" s="534"/>
      <c r="D40" s="534"/>
      <c r="E40" s="534"/>
      <c r="F40" s="534">
        <v>-26.672999999999998</v>
      </c>
      <c r="G40" s="534">
        <v>-441.79899999999998</v>
      </c>
      <c r="H40" s="534">
        <v>-97.510999999999996</v>
      </c>
      <c r="I40" s="534">
        <v>-96.709000000000003</v>
      </c>
      <c r="J40" s="534">
        <v>-287.94299999999998</v>
      </c>
      <c r="K40" s="764">
        <v>-253.995</v>
      </c>
      <c r="L40" s="764">
        <v>-281.95800000000003</v>
      </c>
      <c r="M40" s="764">
        <v>-311.11599999999999</v>
      </c>
      <c r="N40" s="764">
        <v>-191.35400000000001</v>
      </c>
      <c r="O40" s="764">
        <v>0</v>
      </c>
      <c r="P40" s="764">
        <v>0</v>
      </c>
      <c r="Q40" s="818">
        <v>0</v>
      </c>
    </row>
    <row r="41" spans="1:25">
      <c r="B41" s="4" t="s">
        <v>71</v>
      </c>
      <c r="C41" s="534"/>
      <c r="D41" s="534"/>
      <c r="E41" s="534"/>
      <c r="F41" s="534">
        <v>48.454999999999998</v>
      </c>
      <c r="G41" s="534">
        <v>236.47499999999999</v>
      </c>
      <c r="H41" s="534">
        <v>222.25399999999999</v>
      </c>
      <c r="I41" s="534">
        <v>140.75700000000001</v>
      </c>
      <c r="J41" s="534">
        <v>196.102</v>
      </c>
      <c r="K41" s="764">
        <v>200.964</v>
      </c>
      <c r="L41" s="764">
        <v>276.70699999999999</v>
      </c>
      <c r="M41" s="764">
        <v>237.423</v>
      </c>
      <c r="N41" s="764">
        <v>346.89</v>
      </c>
      <c r="O41" s="764">
        <v>90</v>
      </c>
      <c r="P41" s="764">
        <v>0</v>
      </c>
      <c r="Q41" s="818">
        <v>0</v>
      </c>
    </row>
    <row r="42" spans="1:25">
      <c r="B42" s="4" t="s">
        <v>69</v>
      </c>
      <c r="C42" s="534"/>
      <c r="D42" s="534"/>
      <c r="E42" s="534"/>
      <c r="F42" s="534">
        <v>-3.524</v>
      </c>
      <c r="G42" s="534">
        <v>-17.22</v>
      </c>
      <c r="H42" s="534">
        <v>-9.6820000000000004</v>
      </c>
      <c r="I42" s="534">
        <v>-13.978999999999999</v>
      </c>
      <c r="J42" s="534">
        <v>-9.5920000000000005</v>
      </c>
      <c r="K42" s="764">
        <v>-3.5379999999999998</v>
      </c>
      <c r="L42" s="764">
        <v>-4.0490000000000004</v>
      </c>
      <c r="M42" s="764">
        <v>-4.2060000000000004</v>
      </c>
      <c r="N42" s="764">
        <v>-4.2110000000000003</v>
      </c>
      <c r="O42" s="764">
        <f>-BS!O123</f>
        <v>-7.3021588239832971</v>
      </c>
      <c r="P42" s="764">
        <f>-BS!P123</f>
        <v>-9.0382834631840758</v>
      </c>
      <c r="Q42" s="818">
        <f>-BS!Q123</f>
        <v>-11.093602629127854</v>
      </c>
      <c r="S42" s="72"/>
    </row>
    <row r="43" spans="1:25">
      <c r="B43" s="4" t="s">
        <v>237</v>
      </c>
      <c r="C43" s="534"/>
      <c r="D43" s="534"/>
      <c r="E43" s="534"/>
      <c r="F43" s="534">
        <v>2.1000000000000001E-2</v>
      </c>
      <c r="G43" s="534">
        <v>1E-3</v>
      </c>
      <c r="H43" s="534">
        <v>4.0000000000000001E-3</v>
      </c>
      <c r="I43" s="534">
        <v>8.9999999999999993E-3</v>
      </c>
      <c r="J43" s="534">
        <v>0</v>
      </c>
      <c r="K43" s="764">
        <v>0</v>
      </c>
      <c r="L43" s="764">
        <v>0.14699999999999999</v>
      </c>
      <c r="M43" s="764">
        <v>0.22500000000000001</v>
      </c>
      <c r="N43" s="764">
        <v>0.13500000000000001</v>
      </c>
      <c r="O43" s="764">
        <v>0</v>
      </c>
      <c r="P43" s="764">
        <v>0</v>
      </c>
      <c r="Q43" s="818">
        <v>0</v>
      </c>
    </row>
    <row r="44" spans="1:25" hidden="1">
      <c r="B44" s="4" t="s">
        <v>326</v>
      </c>
      <c r="C44" s="534"/>
      <c r="D44" s="534"/>
      <c r="E44" s="534"/>
      <c r="F44" s="534"/>
      <c r="G44" s="534">
        <v>9.5</v>
      </c>
      <c r="H44" s="534">
        <v>0</v>
      </c>
      <c r="I44" s="534">
        <v>0</v>
      </c>
      <c r="J44" s="534">
        <v>0</v>
      </c>
      <c r="K44" s="764">
        <v>0</v>
      </c>
      <c r="L44" s="764">
        <v>0</v>
      </c>
      <c r="M44" s="764">
        <v>0</v>
      </c>
      <c r="N44" s="764">
        <v>0</v>
      </c>
      <c r="O44" s="764">
        <v>0</v>
      </c>
      <c r="P44" s="764">
        <v>0</v>
      </c>
      <c r="Q44" s="818">
        <v>0</v>
      </c>
    </row>
    <row r="45" spans="1:25">
      <c r="B45" s="18" t="s">
        <v>531</v>
      </c>
      <c r="C45" s="534"/>
      <c r="D45" s="534"/>
      <c r="E45" s="534"/>
      <c r="F45" s="534">
        <v>-0.52100000000000002</v>
      </c>
      <c r="G45" s="534">
        <v>1E-3</v>
      </c>
      <c r="H45" s="534">
        <v>0</v>
      </c>
      <c r="I45" s="534">
        <v>0</v>
      </c>
      <c r="J45" s="534">
        <v>0</v>
      </c>
      <c r="K45" s="764">
        <v>0</v>
      </c>
      <c r="L45" s="764">
        <v>0</v>
      </c>
      <c r="M45" s="764">
        <v>-100</v>
      </c>
      <c r="N45" s="764">
        <v>0</v>
      </c>
      <c r="O45" s="764">
        <v>0</v>
      </c>
      <c r="P45" s="764">
        <v>0</v>
      </c>
      <c r="Q45" s="818">
        <v>0</v>
      </c>
    </row>
    <row r="46" spans="1:25">
      <c r="A46" s="17"/>
      <c r="B46" s="792" t="s">
        <v>72</v>
      </c>
      <c r="C46" s="773"/>
      <c r="D46" s="774"/>
      <c r="E46" s="774"/>
      <c r="F46" s="774">
        <f>SUM(F40:F45)</f>
        <v>17.757999999999999</v>
      </c>
      <c r="G46" s="774">
        <f>SUM(G40:G45)</f>
        <v>-213.04199999999997</v>
      </c>
      <c r="H46" s="774">
        <f>SUM(H40:H45)</f>
        <v>115.065</v>
      </c>
      <c r="I46" s="774">
        <f>SUM(I40:I45)</f>
        <v>30.078000000000003</v>
      </c>
      <c r="J46" s="774">
        <f t="shared" ref="J46:Q46" si="2">SUM(J40:J45)</f>
        <v>-101.43299999999998</v>
      </c>
      <c r="K46" s="774">
        <f t="shared" si="2"/>
        <v>-56.569000000000003</v>
      </c>
      <c r="L46" s="765">
        <f t="shared" si="2"/>
        <v>-9.1530000000000324</v>
      </c>
      <c r="M46" s="765">
        <f t="shared" si="2"/>
        <v>-177.67399999999998</v>
      </c>
      <c r="N46" s="765">
        <f t="shared" si="2"/>
        <v>151.45999999999995</v>
      </c>
      <c r="O46" s="765">
        <f t="shared" si="2"/>
        <v>82.697841176016709</v>
      </c>
      <c r="P46" s="765">
        <f t="shared" si="2"/>
        <v>-9.0382834631840758</v>
      </c>
      <c r="Q46" s="791">
        <f t="shared" si="2"/>
        <v>-11.093602629127854</v>
      </c>
      <c r="R46" s="17"/>
      <c r="S46" s="17"/>
      <c r="T46" s="17"/>
      <c r="U46" s="17"/>
      <c r="V46" s="17"/>
      <c r="W46" s="17"/>
      <c r="X46" s="17"/>
      <c r="Y46" s="17"/>
    </row>
    <row r="47" spans="1:25">
      <c r="B47" s="4"/>
      <c r="C47" s="4"/>
      <c r="D47" s="534"/>
      <c r="E47" s="534"/>
      <c r="F47" s="534"/>
      <c r="G47" s="534"/>
      <c r="H47" s="534"/>
      <c r="I47" s="534"/>
      <c r="J47" s="534"/>
      <c r="K47" s="534"/>
      <c r="L47" s="764"/>
      <c r="M47" s="764"/>
      <c r="N47" s="764"/>
      <c r="O47" s="764"/>
      <c r="P47" s="764"/>
      <c r="Q47" s="764"/>
      <c r="R47" s="7"/>
    </row>
    <row r="48" spans="1:25">
      <c r="B48" s="17" t="s">
        <v>73</v>
      </c>
      <c r="C48" s="4"/>
      <c r="D48" s="534"/>
      <c r="E48" s="534"/>
      <c r="F48" s="534"/>
      <c r="G48" s="534"/>
      <c r="H48" s="534"/>
      <c r="I48" s="534"/>
      <c r="J48" s="534"/>
      <c r="K48" s="534"/>
      <c r="L48" s="764"/>
      <c r="M48" s="764"/>
      <c r="N48" s="764"/>
      <c r="O48" s="764"/>
      <c r="P48" s="764"/>
      <c r="Q48" s="764"/>
      <c r="R48" s="73"/>
      <c r="S48" s="2"/>
      <c r="T48" s="2"/>
      <c r="U48" s="2"/>
      <c r="V48" s="2"/>
      <c r="W48" s="2"/>
    </row>
    <row r="49" spans="1:25">
      <c r="B49" s="4" t="s">
        <v>187</v>
      </c>
      <c r="C49" s="4"/>
      <c r="D49" s="534"/>
      <c r="E49" s="534"/>
      <c r="F49" s="534">
        <v>40.25</v>
      </c>
      <c r="G49" s="534"/>
      <c r="H49" s="534"/>
      <c r="I49" s="534"/>
      <c r="J49" s="534"/>
      <c r="K49" s="534"/>
      <c r="L49" s="764"/>
      <c r="M49" s="764"/>
      <c r="N49" s="764"/>
      <c r="O49" s="764"/>
      <c r="P49" s="764"/>
      <c r="Q49" s="764"/>
      <c r="R49" s="73"/>
      <c r="S49" s="2"/>
      <c r="T49" s="2"/>
      <c r="U49" s="2"/>
      <c r="V49" s="2"/>
      <c r="W49" s="2"/>
    </row>
    <row r="50" spans="1:25">
      <c r="B50" s="4" t="s">
        <v>352</v>
      </c>
      <c r="C50" s="4"/>
      <c r="D50" s="534"/>
      <c r="E50" s="534"/>
      <c r="F50" s="534">
        <v>0.27200000000000002</v>
      </c>
      <c r="G50" s="534">
        <v>203.167</v>
      </c>
      <c r="H50" s="393">
        <v>0</v>
      </c>
      <c r="I50" s="393">
        <v>85.227999999999994</v>
      </c>
      <c r="J50" s="393">
        <v>137.76599999999999</v>
      </c>
      <c r="K50" s="393">
        <v>190.428</v>
      </c>
      <c r="L50" s="741">
        <v>0</v>
      </c>
      <c r="M50" s="741">
        <v>0</v>
      </c>
      <c r="N50" s="741">
        <f>BS!N146</f>
        <v>0</v>
      </c>
      <c r="O50" s="741">
        <f>BS!O146</f>
        <v>0</v>
      </c>
      <c r="P50" s="741">
        <f>BS!P146</f>
        <v>0</v>
      </c>
      <c r="Q50" s="741">
        <f>BS!Q146</f>
        <v>0</v>
      </c>
      <c r="R50" s="7"/>
    </row>
    <row r="51" spans="1:25">
      <c r="B51" s="4" t="s">
        <v>328</v>
      </c>
      <c r="C51" s="4"/>
      <c r="D51" s="534"/>
      <c r="E51" s="534"/>
      <c r="F51" s="534"/>
      <c r="G51" s="534">
        <v>2.0230000000000001</v>
      </c>
      <c r="H51" s="534">
        <v>3.3929999999999998</v>
      </c>
      <c r="I51" s="534">
        <v>4.0199999999999996</v>
      </c>
      <c r="J51" s="534">
        <v>9.2970000000000006</v>
      </c>
      <c r="K51" s="534">
        <v>22.741</v>
      </c>
      <c r="L51" s="764">
        <v>14.196</v>
      </c>
      <c r="M51" s="764">
        <v>24.841000000000001</v>
      </c>
      <c r="N51" s="764">
        <v>26.37</v>
      </c>
      <c r="O51" s="764">
        <f>+BS!O139</f>
        <v>4.1775745946987914</v>
      </c>
      <c r="P51" s="764">
        <f>+BS!P139</f>
        <v>5.1869317206979382</v>
      </c>
      <c r="Q51" s="764">
        <f>+BS!Q139</f>
        <v>6.4401628421723736</v>
      </c>
      <c r="R51" s="7"/>
    </row>
    <row r="52" spans="1:25">
      <c r="B52" s="4" t="s">
        <v>185</v>
      </c>
      <c r="C52" s="4"/>
      <c r="D52" s="534"/>
      <c r="E52" s="534"/>
      <c r="F52" s="534"/>
      <c r="G52" s="534">
        <v>0</v>
      </c>
      <c r="H52" s="534">
        <v>0</v>
      </c>
      <c r="I52" s="534">
        <v>0</v>
      </c>
      <c r="J52" s="534">
        <v>0</v>
      </c>
      <c r="K52" s="534">
        <v>0</v>
      </c>
      <c r="L52" s="764">
        <v>0</v>
      </c>
      <c r="M52" s="764">
        <v>0</v>
      </c>
      <c r="N52" s="764">
        <v>0</v>
      </c>
      <c r="O52" s="764">
        <v>0</v>
      </c>
      <c r="P52" s="764">
        <v>0</v>
      </c>
      <c r="Q52" s="764">
        <v>0</v>
      </c>
      <c r="R52" s="7"/>
    </row>
    <row r="53" spans="1:25">
      <c r="A53" s="2"/>
      <c r="B53" s="94" t="s">
        <v>74</v>
      </c>
      <c r="C53" s="94"/>
      <c r="D53" s="393"/>
      <c r="E53" s="393"/>
      <c r="F53" s="393"/>
      <c r="G53" s="393"/>
      <c r="H53" s="393">
        <v>0</v>
      </c>
      <c r="I53" s="393">
        <v>0</v>
      </c>
      <c r="J53" s="393">
        <v>0</v>
      </c>
      <c r="K53" s="393">
        <v>0</v>
      </c>
      <c r="L53" s="741">
        <v>0</v>
      </c>
      <c r="M53" s="741">
        <f>BS!M140</f>
        <v>0</v>
      </c>
      <c r="N53" s="741">
        <f>BS!N140</f>
        <v>0</v>
      </c>
      <c r="O53" s="741">
        <f>BS!O140</f>
        <v>0</v>
      </c>
      <c r="P53" s="741">
        <f>BS!P140</f>
        <v>0</v>
      </c>
      <c r="Q53" s="741">
        <f>BS!Q140</f>
        <v>0</v>
      </c>
      <c r="R53" s="2"/>
      <c r="S53" s="2"/>
      <c r="T53" s="2"/>
      <c r="U53" s="2"/>
      <c r="V53" s="2"/>
      <c r="W53" s="2"/>
      <c r="X53" s="2"/>
      <c r="Y53" s="2"/>
    </row>
    <row r="54" spans="1:25">
      <c r="A54" s="2"/>
      <c r="B54" s="94" t="s">
        <v>75</v>
      </c>
      <c r="C54" s="94"/>
      <c r="D54" s="393"/>
      <c r="E54" s="393"/>
      <c r="F54" s="393"/>
      <c r="G54" s="393"/>
      <c r="H54" s="393">
        <f>BS!H148</f>
        <v>0</v>
      </c>
      <c r="I54" s="393">
        <f>BS!I148</f>
        <v>0</v>
      </c>
      <c r="J54" s="393">
        <v>0</v>
      </c>
      <c r="K54" s="393">
        <v>0</v>
      </c>
      <c r="L54" s="741">
        <v>0</v>
      </c>
      <c r="M54" s="741">
        <f>BS!M148</f>
        <v>0</v>
      </c>
      <c r="N54" s="741">
        <f>BS!N148</f>
        <v>0</v>
      </c>
      <c r="O54" s="741">
        <f>BS!O148</f>
        <v>0</v>
      </c>
      <c r="P54" s="741">
        <f>BS!P148</f>
        <v>0</v>
      </c>
      <c r="Q54" s="741">
        <f>BS!Q148</f>
        <v>0</v>
      </c>
      <c r="R54" s="2"/>
      <c r="S54" s="2"/>
      <c r="T54" s="2"/>
      <c r="U54" s="2"/>
      <c r="V54" s="2"/>
      <c r="W54" s="2"/>
      <c r="X54" s="2"/>
      <c r="Y54" s="2"/>
    </row>
    <row r="55" spans="1:25">
      <c r="B55" s="20" t="s">
        <v>403</v>
      </c>
      <c r="C55" s="20"/>
      <c r="D55" s="819"/>
      <c r="E55" s="819"/>
      <c r="F55" s="819">
        <v>1.079</v>
      </c>
      <c r="G55" s="819"/>
      <c r="H55" s="534"/>
      <c r="I55" s="534">
        <v>0</v>
      </c>
      <c r="J55" s="534">
        <f>IS!AD131</f>
        <v>175</v>
      </c>
      <c r="K55" s="534">
        <v>0</v>
      </c>
      <c r="L55" s="764">
        <v>335.69900000000001</v>
      </c>
      <c r="M55" s="764">
        <v>0</v>
      </c>
      <c r="N55" s="764">
        <v>146.25</v>
      </c>
      <c r="O55" s="764">
        <f>BS!O38-BS!N38+BS!O26-BS!N26</f>
        <v>-25.471000000000004</v>
      </c>
      <c r="P55" s="764">
        <f>BS!P38-BS!O38+BS!P26-BS!O26</f>
        <v>-40.612560228472375</v>
      </c>
      <c r="Q55" s="764">
        <f>BS!Q38-BS!P38+BS!Q26-BS!P26</f>
        <v>-73.013458751101723</v>
      </c>
    </row>
    <row r="56" spans="1:25">
      <c r="B56" s="20" t="s">
        <v>480</v>
      </c>
      <c r="C56" s="20"/>
      <c r="D56" s="819"/>
      <c r="E56" s="819"/>
      <c r="F56" s="819"/>
      <c r="G56" s="819"/>
      <c r="H56" s="534">
        <v>0</v>
      </c>
      <c r="I56" s="534">
        <v>0</v>
      </c>
      <c r="J56" s="534">
        <v>0</v>
      </c>
      <c r="K56" s="534">
        <v>0</v>
      </c>
      <c r="L56" s="764">
        <v>70.849000000000004</v>
      </c>
      <c r="M56" s="764">
        <v>0</v>
      </c>
      <c r="N56" s="764">
        <v>0</v>
      </c>
      <c r="O56" s="764">
        <v>0</v>
      </c>
      <c r="P56" s="764">
        <v>0</v>
      </c>
      <c r="Q56" s="764">
        <v>0</v>
      </c>
    </row>
    <row r="57" spans="1:25">
      <c r="B57" s="20" t="s">
        <v>481</v>
      </c>
      <c r="C57" s="20"/>
      <c r="D57" s="819"/>
      <c r="E57" s="819"/>
      <c r="F57" s="819"/>
      <c r="G57" s="819"/>
      <c r="H57" s="534">
        <v>0</v>
      </c>
      <c r="I57" s="534">
        <v>0</v>
      </c>
      <c r="J57" s="534">
        <v>0</v>
      </c>
      <c r="K57" s="534">
        <v>0</v>
      </c>
      <c r="L57" s="764">
        <v>-91.915000000000006</v>
      </c>
      <c r="M57" s="764">
        <v>0</v>
      </c>
      <c r="N57" s="764">
        <v>0</v>
      </c>
      <c r="O57" s="764">
        <v>0</v>
      </c>
      <c r="P57" s="764">
        <v>0</v>
      </c>
      <c r="Q57" s="764">
        <v>0</v>
      </c>
    </row>
    <row r="58" spans="1:25">
      <c r="B58" s="20" t="s">
        <v>406</v>
      </c>
      <c r="C58" s="20"/>
      <c r="D58" s="819"/>
      <c r="E58" s="819"/>
      <c r="F58" s="819"/>
      <c r="G58" s="819"/>
      <c r="H58" s="534"/>
      <c r="I58" s="534"/>
      <c r="J58" s="534">
        <v>-7.7169999999999996</v>
      </c>
      <c r="K58" s="534">
        <v>0</v>
      </c>
      <c r="L58" s="764">
        <v>-11.73</v>
      </c>
      <c r="M58" s="764">
        <v>-0.246</v>
      </c>
      <c r="N58" s="764">
        <v>-0.23499999999999999</v>
      </c>
      <c r="O58" s="764">
        <v>0</v>
      </c>
      <c r="P58" s="764">
        <v>0</v>
      </c>
      <c r="Q58" s="764">
        <v>0</v>
      </c>
    </row>
    <row r="59" spans="1:25">
      <c r="B59" s="20" t="s">
        <v>389</v>
      </c>
      <c r="C59" s="20"/>
      <c r="D59" s="819"/>
      <c r="E59" s="819"/>
      <c r="F59" s="819">
        <v>-1.25</v>
      </c>
      <c r="G59" s="819">
        <v>-1.9570000000000001</v>
      </c>
      <c r="H59" s="534">
        <v>-0.26</v>
      </c>
      <c r="I59" s="534">
        <v>-0.27500000000000002</v>
      </c>
      <c r="J59" s="534">
        <v>-0.76800000000000002</v>
      </c>
      <c r="K59" s="534">
        <v>-1.0620000000000001</v>
      </c>
      <c r="L59" s="764">
        <f>-1.317</f>
        <v>-1.3169999999999999</v>
      </c>
      <c r="M59" s="764">
        <v>-1.903</v>
      </c>
      <c r="N59" s="764">
        <v>-3.234</v>
      </c>
      <c r="O59" s="764">
        <f>-IS!BC137</f>
        <v>0</v>
      </c>
      <c r="P59" s="764">
        <f>-IS!BH137</f>
        <v>0</v>
      </c>
      <c r="Q59" s="764">
        <f>-IS!BM137</f>
        <v>0</v>
      </c>
    </row>
    <row r="60" spans="1:25">
      <c r="B60" s="20" t="s">
        <v>464</v>
      </c>
      <c r="C60" s="20"/>
      <c r="D60" s="819"/>
      <c r="E60" s="819"/>
      <c r="F60" s="819"/>
      <c r="G60" s="819"/>
      <c r="H60" s="534"/>
      <c r="I60" s="534"/>
      <c r="J60" s="534"/>
      <c r="K60" s="534">
        <v>-1.163</v>
      </c>
      <c r="L60" s="764">
        <v>-12.712</v>
      </c>
      <c r="M60" s="764">
        <v>-26.867999999999999</v>
      </c>
      <c r="N60" s="764">
        <v>-134.25800000000001</v>
      </c>
      <c r="O60" s="764">
        <v>0</v>
      </c>
      <c r="P60" s="764">
        <v>0</v>
      </c>
      <c r="Q60" s="764">
        <v>0</v>
      </c>
    </row>
    <row r="61" spans="1:25">
      <c r="B61" s="43" t="s">
        <v>541</v>
      </c>
      <c r="C61" s="146"/>
      <c r="D61" s="814"/>
      <c r="E61" s="814"/>
      <c r="F61" s="814">
        <v>1.3120000000000001</v>
      </c>
      <c r="G61" s="814">
        <v>-0.27700000000000002</v>
      </c>
      <c r="H61" s="814"/>
      <c r="I61" s="814"/>
      <c r="J61" s="814"/>
      <c r="K61" s="814"/>
      <c r="L61" s="815"/>
      <c r="M61" s="815"/>
      <c r="N61" s="815">
        <v>-15.058</v>
      </c>
      <c r="O61" s="815">
        <v>-18.3</v>
      </c>
      <c r="P61" s="815"/>
      <c r="Q61" s="815"/>
    </row>
    <row r="62" spans="1:25">
      <c r="A62" s="17"/>
      <c r="B62" s="792" t="s">
        <v>76</v>
      </c>
      <c r="C62" s="773"/>
      <c r="D62" s="774"/>
      <c r="E62" s="774"/>
      <c r="F62" s="774">
        <f t="shared" ref="F62:Q62" si="3">SUM(F49:F61)</f>
        <v>41.662999999999997</v>
      </c>
      <c r="G62" s="774">
        <f t="shared" si="3"/>
        <v>202.95600000000002</v>
      </c>
      <c r="H62" s="774">
        <f t="shared" si="3"/>
        <v>3.133</v>
      </c>
      <c r="I62" s="774">
        <f t="shared" si="3"/>
        <v>88.972999999999985</v>
      </c>
      <c r="J62" s="774">
        <f t="shared" si="3"/>
        <v>313.57800000000003</v>
      </c>
      <c r="K62" s="774">
        <f t="shared" si="3"/>
        <v>210.94399999999996</v>
      </c>
      <c r="L62" s="765">
        <f t="shared" si="3"/>
        <v>303.07</v>
      </c>
      <c r="M62" s="765">
        <f t="shared" si="3"/>
        <v>-4.1759999999999948</v>
      </c>
      <c r="N62" s="765">
        <f t="shared" si="3"/>
        <v>19.834999999999972</v>
      </c>
      <c r="O62" s="765">
        <f t="shared" si="3"/>
        <v>-39.593425405301218</v>
      </c>
      <c r="P62" s="765">
        <f t="shared" si="3"/>
        <v>-35.425628507774434</v>
      </c>
      <c r="Q62" s="791">
        <f t="shared" si="3"/>
        <v>-66.573295908929353</v>
      </c>
      <c r="R62" s="17"/>
      <c r="S62" s="17"/>
      <c r="T62" s="17"/>
      <c r="U62" s="17"/>
      <c r="V62" s="17"/>
      <c r="W62" s="17"/>
      <c r="X62" s="17"/>
      <c r="Y62" s="17"/>
    </row>
    <row r="63" spans="1:25" ht="6.75" customHeight="1">
      <c r="B63" s="4"/>
      <c r="C63" s="4"/>
      <c r="D63" s="534"/>
      <c r="E63" s="534"/>
      <c r="F63" s="534"/>
      <c r="G63" s="820"/>
      <c r="H63" s="534"/>
      <c r="I63" s="534"/>
      <c r="J63" s="534"/>
      <c r="K63" s="534"/>
      <c r="L63" s="764"/>
      <c r="M63" s="764"/>
      <c r="N63" s="764"/>
      <c r="O63" s="764"/>
      <c r="P63" s="764"/>
      <c r="Q63" s="764"/>
    </row>
    <row r="64" spans="1:25">
      <c r="B64" s="88" t="s">
        <v>77</v>
      </c>
      <c r="C64" s="386"/>
      <c r="D64" s="775"/>
      <c r="E64" s="775"/>
      <c r="F64" s="775">
        <f t="shared" ref="F64:Q64" si="4">SUM(F37,F46,F62)</f>
        <v>55.975999999999992</v>
      </c>
      <c r="G64" s="776">
        <f t="shared" si="4"/>
        <v>-77.984999999999957</v>
      </c>
      <c r="H64" s="775">
        <f t="shared" si="4"/>
        <v>42.961000000000006</v>
      </c>
      <c r="I64" s="775">
        <f t="shared" si="4"/>
        <v>49.417999999999935</v>
      </c>
      <c r="J64" s="775">
        <f t="shared" si="4"/>
        <v>-61.20999999999998</v>
      </c>
      <c r="K64" s="775">
        <f t="shared" si="4"/>
        <v>-1.1929999999999836</v>
      </c>
      <c r="L64" s="785">
        <f t="shared" si="4"/>
        <v>186.98999999999995</v>
      </c>
      <c r="M64" s="785">
        <f t="shared" si="4"/>
        <v>-207.28299999999996</v>
      </c>
      <c r="N64" s="785">
        <f t="shared" si="4"/>
        <v>71.731999999999942</v>
      </c>
      <c r="O64" s="785">
        <f t="shared" si="4"/>
        <v>-35.811377222904156</v>
      </c>
      <c r="P64" s="785">
        <f t="shared" si="4"/>
        <v>-74.66051987669934</v>
      </c>
      <c r="Q64" s="786">
        <f t="shared" si="4"/>
        <v>15.613879303423062</v>
      </c>
    </row>
    <row r="65" spans="2:19">
      <c r="B65" s="777" t="s">
        <v>78</v>
      </c>
      <c r="C65" s="27"/>
      <c r="D65" s="778"/>
      <c r="E65" s="778"/>
      <c r="F65" s="778">
        <v>66.33</v>
      </c>
      <c r="G65" s="779">
        <f>(F66)</f>
        <v>122.30599999999998</v>
      </c>
      <c r="H65" s="778">
        <f t="shared" ref="H65:O65" si="5">G66</f>
        <v>44.321000000000026</v>
      </c>
      <c r="I65" s="778">
        <f t="shared" si="5"/>
        <v>87.282000000000039</v>
      </c>
      <c r="J65" s="778">
        <f t="shared" si="5"/>
        <v>136.69999999999999</v>
      </c>
      <c r="K65" s="778">
        <f t="shared" si="5"/>
        <v>75.490000000000009</v>
      </c>
      <c r="L65" s="787">
        <f t="shared" si="5"/>
        <v>74.297000000000025</v>
      </c>
      <c r="M65" s="787">
        <f t="shared" si="5"/>
        <v>261.28699999999998</v>
      </c>
      <c r="N65" s="787">
        <f t="shared" si="5"/>
        <v>54.004000000000019</v>
      </c>
      <c r="O65" s="787">
        <f t="shared" si="5"/>
        <v>125.73599999999996</v>
      </c>
      <c r="P65" s="787">
        <f>O66</f>
        <v>89.924622777095806</v>
      </c>
      <c r="Q65" s="788">
        <f>P66</f>
        <v>15.264102900396466</v>
      </c>
    </row>
    <row r="66" spans="2:19">
      <c r="B66" s="780" t="s">
        <v>79</v>
      </c>
      <c r="C66" s="781"/>
      <c r="D66" s="782"/>
      <c r="E66" s="783"/>
      <c r="F66" s="783">
        <f>SUM(F64:F65)</f>
        <v>122.30599999999998</v>
      </c>
      <c r="G66" s="784">
        <f t="shared" ref="G66:O66" si="6">SUM(G64:G65)</f>
        <v>44.321000000000026</v>
      </c>
      <c r="H66" s="784">
        <f t="shared" si="6"/>
        <v>87.282000000000039</v>
      </c>
      <c r="I66" s="782">
        <f t="shared" si="6"/>
        <v>136.69999999999999</v>
      </c>
      <c r="J66" s="784">
        <f t="shared" si="6"/>
        <v>75.490000000000009</v>
      </c>
      <c r="K66" s="784">
        <f t="shared" si="6"/>
        <v>74.297000000000025</v>
      </c>
      <c r="L66" s="789">
        <f t="shared" si="6"/>
        <v>261.28699999999998</v>
      </c>
      <c r="M66" s="789">
        <f t="shared" si="6"/>
        <v>54.004000000000019</v>
      </c>
      <c r="N66" s="789">
        <f t="shared" si="6"/>
        <v>125.73599999999996</v>
      </c>
      <c r="O66" s="789">
        <f t="shared" si="6"/>
        <v>89.924622777095806</v>
      </c>
      <c r="P66" s="789">
        <f>SUM(P64:P65)</f>
        <v>15.264102900396466</v>
      </c>
      <c r="Q66" s="790">
        <f>SUM(Q64:Q65)</f>
        <v>30.877982203819528</v>
      </c>
    </row>
    <row r="67" spans="2:19">
      <c r="B67" s="75"/>
      <c r="C67" s="18"/>
      <c r="D67" s="124"/>
      <c r="E67" s="124"/>
      <c r="F67" s="124"/>
      <c r="G67" s="38"/>
      <c r="H67" s="39"/>
      <c r="I67" s="39"/>
      <c r="J67" s="39"/>
      <c r="K67" s="39"/>
      <c r="L67" s="732"/>
      <c r="M67" s="732"/>
      <c r="N67" s="732"/>
      <c r="O67" s="732"/>
      <c r="P67" s="732"/>
      <c r="Q67" s="732"/>
    </row>
    <row r="68" spans="2:19" hidden="1" outlineLevel="1">
      <c r="B68" s="109" t="s">
        <v>158</v>
      </c>
      <c r="C68" s="110"/>
      <c r="D68" s="111"/>
      <c r="E68" s="112"/>
      <c r="F68" s="112"/>
      <c r="G68" s="112"/>
      <c r="H68" s="112"/>
      <c r="I68" s="112"/>
      <c r="J68" s="112"/>
      <c r="K68" s="112"/>
      <c r="L68" s="733"/>
      <c r="M68" s="733"/>
      <c r="N68" s="733"/>
      <c r="O68" s="733"/>
      <c r="P68" s="733"/>
      <c r="Q68" s="734"/>
    </row>
    <row r="69" spans="2:19" hidden="1" outlineLevel="1">
      <c r="B69" s="113" t="s">
        <v>159</v>
      </c>
      <c r="C69" s="114"/>
      <c r="D69" s="115"/>
      <c r="E69" s="116"/>
      <c r="F69" s="116"/>
      <c r="G69" s="116">
        <f t="shared" ref="G69:Q69" si="7">G37</f>
        <v>-67.898999999999987</v>
      </c>
      <c r="H69" s="116">
        <f t="shared" si="7"/>
        <v>-75.236999999999995</v>
      </c>
      <c r="I69" s="116">
        <f t="shared" si="7"/>
        <v>-69.633000000000052</v>
      </c>
      <c r="J69" s="116">
        <f t="shared" si="7"/>
        <v>-273.35500000000002</v>
      </c>
      <c r="K69" s="116">
        <f t="shared" si="7"/>
        <v>-155.56799999999996</v>
      </c>
      <c r="L69" s="735">
        <f t="shared" si="7"/>
        <v>-106.92699999999999</v>
      </c>
      <c r="M69" s="735">
        <f t="shared" si="7"/>
        <v>-25.432999999999996</v>
      </c>
      <c r="N69" s="735">
        <f t="shared" si="7"/>
        <v>-99.562999999999974</v>
      </c>
      <c r="O69" s="735">
        <f t="shared" si="7"/>
        <v>-78.915792993619647</v>
      </c>
      <c r="P69" s="735">
        <f t="shared" si="7"/>
        <v>-30.196607905740827</v>
      </c>
      <c r="Q69" s="736">
        <f t="shared" si="7"/>
        <v>93.280777841480273</v>
      </c>
    </row>
    <row r="70" spans="2:19" hidden="1" outlineLevel="1">
      <c r="B70" s="113" t="s">
        <v>160</v>
      </c>
      <c r="C70" s="114"/>
      <c r="D70" s="115"/>
      <c r="E70" s="116"/>
      <c r="F70" s="116"/>
      <c r="G70" s="116">
        <f t="shared" ref="G70:Q70" si="8">G42</f>
        <v>-17.22</v>
      </c>
      <c r="H70" s="116">
        <f t="shared" si="8"/>
        <v>-9.6820000000000004</v>
      </c>
      <c r="I70" s="116">
        <f t="shared" si="8"/>
        <v>-13.978999999999999</v>
      </c>
      <c r="J70" s="116">
        <f t="shared" si="8"/>
        <v>-9.5920000000000005</v>
      </c>
      <c r="K70" s="116">
        <f t="shared" si="8"/>
        <v>-3.5379999999999998</v>
      </c>
      <c r="L70" s="735">
        <f t="shared" si="8"/>
        <v>-4.0490000000000004</v>
      </c>
      <c r="M70" s="735">
        <f t="shared" si="8"/>
        <v>-4.2060000000000004</v>
      </c>
      <c r="N70" s="735">
        <f t="shared" si="8"/>
        <v>-4.2110000000000003</v>
      </c>
      <c r="O70" s="735">
        <f t="shared" si="8"/>
        <v>-7.3021588239832971</v>
      </c>
      <c r="P70" s="735">
        <f t="shared" si="8"/>
        <v>-9.0382834631840758</v>
      </c>
      <c r="Q70" s="736">
        <f t="shared" si="8"/>
        <v>-11.093602629127854</v>
      </c>
    </row>
    <row r="71" spans="2:19" hidden="1" outlineLevel="1">
      <c r="B71" s="196" t="s">
        <v>161</v>
      </c>
      <c r="C71" s="197"/>
      <c r="D71" s="198"/>
      <c r="E71" s="199"/>
      <c r="F71" s="199"/>
      <c r="G71" s="199">
        <f t="shared" ref="G71:O71" si="9">SUM(G69:G70)</f>
        <v>-85.118999999999986</v>
      </c>
      <c r="H71" s="199">
        <f t="shared" si="9"/>
        <v>-84.918999999999997</v>
      </c>
      <c r="I71" s="199">
        <f t="shared" si="9"/>
        <v>-83.612000000000052</v>
      </c>
      <c r="J71" s="199">
        <f t="shared" si="9"/>
        <v>-282.947</v>
      </c>
      <c r="K71" s="199">
        <f t="shared" si="9"/>
        <v>-159.10599999999997</v>
      </c>
      <c r="L71" s="737">
        <f t="shared" si="9"/>
        <v>-110.976</v>
      </c>
      <c r="M71" s="737">
        <f t="shared" si="9"/>
        <v>-29.638999999999996</v>
      </c>
      <c r="N71" s="737">
        <f t="shared" si="9"/>
        <v>-103.77399999999997</v>
      </c>
      <c r="O71" s="737">
        <f t="shared" si="9"/>
        <v>-86.217951817602938</v>
      </c>
      <c r="P71" s="737">
        <f>SUM(P69:P70)</f>
        <v>-39.234891368924906</v>
      </c>
      <c r="Q71" s="738">
        <f>SUM(Q69:Q70)</f>
        <v>82.187175212352415</v>
      </c>
    </row>
    <row r="72" spans="2:19" hidden="1" outlineLevel="1"/>
    <row r="73" spans="2:19" collapsed="1"/>
    <row r="78" spans="2:19">
      <c r="B78" s="63"/>
      <c r="D78" s="17"/>
      <c r="E78" s="74"/>
      <c r="F78" s="74"/>
      <c r="G78" s="74"/>
      <c r="H78" s="74"/>
      <c r="I78" s="74"/>
      <c r="J78" s="74"/>
      <c r="K78" s="74"/>
      <c r="L78" s="74"/>
      <c r="M78" s="74"/>
      <c r="N78" s="74"/>
      <c r="O78" s="74"/>
      <c r="P78" s="74"/>
      <c r="Q78" s="74"/>
      <c r="S78" s="74"/>
    </row>
    <row r="79" spans="2:19">
      <c r="B79" s="63"/>
      <c r="F79" s="7"/>
      <c r="G79" s="7"/>
      <c r="H79" s="7"/>
      <c r="I79" s="7"/>
      <c r="J79" s="7"/>
      <c r="K79" s="7"/>
      <c r="L79" s="7"/>
      <c r="M79" s="7"/>
      <c r="N79" s="7"/>
      <c r="O79" s="7"/>
      <c r="P79" s="7"/>
      <c r="Q79" s="7"/>
    </row>
    <row r="80" spans="2:19">
      <c r="B80" s="63"/>
      <c r="F80" s="7"/>
      <c r="G80" s="7"/>
      <c r="H80" s="7"/>
      <c r="I80" s="7"/>
      <c r="J80" s="7"/>
      <c r="K80" s="7"/>
      <c r="L80" s="7"/>
      <c r="M80" s="7"/>
      <c r="N80" s="7"/>
      <c r="O80" s="7"/>
      <c r="P80" s="7"/>
      <c r="Q80" s="7"/>
    </row>
    <row r="81" spans="2:17">
      <c r="B81" s="63"/>
      <c r="F81" s="7"/>
      <c r="G81" s="7"/>
      <c r="H81" s="7"/>
      <c r="I81" s="7"/>
      <c r="J81" s="7"/>
      <c r="K81" s="7"/>
      <c r="L81" s="7"/>
      <c r="M81" s="7"/>
      <c r="N81" s="7"/>
      <c r="O81" s="7"/>
      <c r="P81" s="7"/>
      <c r="Q81" s="7"/>
    </row>
    <row r="82" spans="2:17">
      <c r="B82" s="63"/>
      <c r="F82" s="7"/>
      <c r="G82" s="7"/>
      <c r="H82" s="7"/>
      <c r="I82" s="7"/>
      <c r="J82" s="7"/>
      <c r="K82" s="7"/>
      <c r="L82" s="7"/>
      <c r="M82" s="7"/>
      <c r="N82" s="7"/>
      <c r="O82" s="7"/>
      <c r="P82" s="7"/>
      <c r="Q82" s="7"/>
    </row>
    <row r="83" spans="2:17" hidden="1" outlineLevel="1"/>
    <row r="84" spans="2:17" collapsed="1"/>
  </sheetData>
  <phoneticPr fontId="3" type="noConversion"/>
  <pageMargins left="0" right="0" top="0" bottom="0" header="0" footer="0"/>
  <pageSetup paperSize="5" scale="8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81"/>
  <sheetViews>
    <sheetView showGridLines="0" topLeftCell="A59" zoomScale="85" zoomScaleNormal="85" workbookViewId="0">
      <selection activeCell="S122" sqref="S122"/>
    </sheetView>
  </sheetViews>
  <sheetFormatPr defaultRowHeight="12.75" outlineLevelRow="1"/>
  <cols>
    <col min="1" max="1" width="3" customWidth="1"/>
    <col min="2" max="2" width="35.42578125" customWidth="1"/>
    <col min="3" max="3" width="13.42578125" customWidth="1"/>
    <col min="4" max="4" width="8.5703125" hidden="1" customWidth="1"/>
    <col min="5" max="7" width="10.140625" hidden="1" customWidth="1"/>
    <col min="8" max="8" width="11.140625" hidden="1" customWidth="1"/>
    <col min="9" max="10" width="10.140625" hidden="1" customWidth="1"/>
    <col min="11" max="11" width="10.28515625" hidden="1" customWidth="1"/>
    <col min="12" max="14" width="10.28515625" bestFit="1" customWidth="1"/>
    <col min="15" max="15" width="9.5703125" bestFit="1" customWidth="1"/>
    <col min="16" max="16" width="11.7109375" bestFit="1" customWidth="1"/>
    <col min="18" max="18" width="9.42578125" bestFit="1" customWidth="1"/>
  </cols>
  <sheetData>
    <row r="1" spans="1:16" ht="7.5" customHeight="1">
      <c r="A1" s="159"/>
    </row>
    <row r="2" spans="1:16">
      <c r="B2" s="17" t="s">
        <v>227</v>
      </c>
      <c r="C2" s="373">
        <f>DCF!C23</f>
        <v>2</v>
      </c>
      <c r="E2" s="211"/>
      <c r="F2" s="588"/>
      <c r="L2" s="374">
        <f>DCF!P14</f>
        <v>15.286659658331253</v>
      </c>
    </row>
    <row r="3" spans="1:16">
      <c r="O3" s="30"/>
      <c r="P3" s="30"/>
    </row>
    <row r="4" spans="1:16">
      <c r="B4" s="144" t="s">
        <v>424</v>
      </c>
      <c r="C4" s="145"/>
      <c r="D4" s="826">
        <f>D32</f>
        <v>2008</v>
      </c>
      <c r="E4" s="826">
        <f t="shared" ref="E4:P4" si="0">E32</f>
        <v>2009</v>
      </c>
      <c r="F4" s="826">
        <f t="shared" si="0"/>
        <v>2010</v>
      </c>
      <c r="G4" s="826">
        <f t="shared" si="0"/>
        <v>2011</v>
      </c>
      <c r="H4" s="826">
        <f t="shared" si="0"/>
        <v>2012</v>
      </c>
      <c r="I4" s="826">
        <f t="shared" si="0"/>
        <v>2013</v>
      </c>
      <c r="J4" s="826">
        <f t="shared" si="0"/>
        <v>2014</v>
      </c>
      <c r="K4" s="826">
        <f t="shared" si="0"/>
        <v>2015</v>
      </c>
      <c r="L4" s="826">
        <f t="shared" si="0"/>
        <v>2016</v>
      </c>
      <c r="M4" s="826" t="str">
        <f t="shared" si="0"/>
        <v>2017E</v>
      </c>
      <c r="N4" s="826" t="str">
        <f t="shared" si="0"/>
        <v>2018E</v>
      </c>
      <c r="O4" s="826" t="str">
        <f t="shared" si="0"/>
        <v>2019E</v>
      </c>
      <c r="P4" s="827" t="str">
        <f t="shared" si="0"/>
        <v>2020E</v>
      </c>
    </row>
    <row r="5" spans="1:16" outlineLevel="1">
      <c r="B5" s="27" t="s">
        <v>427</v>
      </c>
      <c r="C5" s="6"/>
      <c r="D5" s="821"/>
      <c r="E5" s="821"/>
      <c r="F5" s="821"/>
      <c r="G5" s="821"/>
      <c r="H5" s="821"/>
      <c r="I5" s="822"/>
      <c r="J5" s="822"/>
      <c r="K5" s="822"/>
      <c r="L5" s="822"/>
      <c r="M5" s="822"/>
      <c r="N5" s="822"/>
      <c r="O5" s="822"/>
      <c r="P5" s="822"/>
    </row>
    <row r="6" spans="1:16" outlineLevel="1">
      <c r="B6" s="6" t="s">
        <v>228</v>
      </c>
      <c r="C6" s="6"/>
      <c r="D6" s="823"/>
      <c r="E6" s="823"/>
      <c r="F6" s="823"/>
      <c r="G6" s="823"/>
      <c r="H6" s="823"/>
      <c r="I6" s="823"/>
      <c r="J6" s="823">
        <f t="shared" ref="J6:P6" si="1">+J7*1.5</f>
        <v>0.10125000000000001</v>
      </c>
      <c r="K6" s="823">
        <f t="shared" si="1"/>
        <v>0.14081250000000001</v>
      </c>
      <c r="L6" s="823">
        <f t="shared" si="1"/>
        <v>0.18</v>
      </c>
      <c r="M6" s="823">
        <f t="shared" si="1"/>
        <v>0.1875</v>
      </c>
      <c r="N6" s="823">
        <f t="shared" si="1"/>
        <v>0.21375000000000002</v>
      </c>
      <c r="O6" s="823">
        <f t="shared" si="1"/>
        <v>0.23250000000000004</v>
      </c>
      <c r="P6" s="823">
        <f t="shared" si="1"/>
        <v>0.25125000000000008</v>
      </c>
    </row>
    <row r="7" spans="1:16" outlineLevel="1">
      <c r="B7" s="20" t="s">
        <v>229</v>
      </c>
      <c r="C7" s="6"/>
      <c r="D7" s="823"/>
      <c r="E7" s="823"/>
      <c r="F7" s="823"/>
      <c r="G7" s="823"/>
      <c r="H7" s="824">
        <v>1E-3</v>
      </c>
      <c r="I7" s="823">
        <f>+I18*0.5</f>
        <v>3.3750000000000002E-2</v>
      </c>
      <c r="J7" s="823">
        <f>+J18*0.5</f>
        <v>6.7500000000000004E-2</v>
      </c>
      <c r="K7" s="823">
        <f>+K18*0.5</f>
        <v>9.3875E-2</v>
      </c>
      <c r="L7" s="823">
        <v>0.12</v>
      </c>
      <c r="M7" s="823">
        <f>L7+0.005</f>
        <v>0.125</v>
      </c>
      <c r="N7" s="823">
        <f>M7+0.0175</f>
        <v>0.14250000000000002</v>
      </c>
      <c r="O7" s="823">
        <f>N7+0.0125</f>
        <v>0.15500000000000003</v>
      </c>
      <c r="P7" s="823">
        <f>O7+0.0125</f>
        <v>0.16750000000000004</v>
      </c>
    </row>
    <row r="8" spans="1:16" outlineLevel="1">
      <c r="B8" s="6" t="s">
        <v>230</v>
      </c>
      <c r="C8" s="6"/>
      <c r="D8" s="823"/>
      <c r="E8" s="823"/>
      <c r="F8" s="823"/>
      <c r="G8" s="823"/>
      <c r="H8" s="823"/>
      <c r="I8" s="823"/>
      <c r="J8" s="823">
        <f>+J7*0.75</f>
        <v>5.0625000000000003E-2</v>
      </c>
      <c r="K8" s="823">
        <f>+K7*0.75</f>
        <v>7.0406250000000004E-2</v>
      </c>
      <c r="L8" s="823">
        <f>+L7*0.75</f>
        <v>0.09</v>
      </c>
      <c r="M8" s="823">
        <f>+M7*0.75</f>
        <v>9.375E-2</v>
      </c>
      <c r="N8" s="823">
        <f>+N7*0.75</f>
        <v>0.10687500000000001</v>
      </c>
      <c r="O8" s="823">
        <v>0.1</v>
      </c>
      <c r="P8" s="823">
        <v>0.1</v>
      </c>
    </row>
    <row r="9" spans="1:16" outlineLevel="1">
      <c r="B9" s="27" t="s">
        <v>426</v>
      </c>
      <c r="C9" s="6"/>
      <c r="D9" s="823"/>
      <c r="E9" s="823"/>
      <c r="F9" s="823"/>
      <c r="G9" s="823"/>
      <c r="H9" s="823"/>
      <c r="I9" s="823"/>
      <c r="J9" s="823"/>
      <c r="K9" s="823"/>
      <c r="L9" s="823"/>
      <c r="M9" s="823"/>
      <c r="N9" s="823"/>
      <c r="O9" s="823"/>
      <c r="P9" s="823"/>
    </row>
    <row r="10" spans="1:16" outlineLevel="1">
      <c r="B10" s="6" t="s">
        <v>228</v>
      </c>
      <c r="C10" s="6"/>
      <c r="D10" s="823"/>
      <c r="E10" s="823"/>
      <c r="F10" s="823"/>
      <c r="G10" s="823">
        <f>G11*0.95</f>
        <v>0.52249999999999996</v>
      </c>
      <c r="H10" s="823">
        <f t="shared" ref="H10:P10" si="2">H11*0.95</f>
        <v>0.51205000000000001</v>
      </c>
      <c r="I10" s="823">
        <f t="shared" si="2"/>
        <v>0.50180899999999995</v>
      </c>
      <c r="J10" s="823">
        <f t="shared" si="2"/>
        <v>0.49177281999999994</v>
      </c>
      <c r="K10" s="823">
        <f t="shared" si="2"/>
        <v>0.48193736359999995</v>
      </c>
      <c r="L10" s="823">
        <f t="shared" si="2"/>
        <v>0.48449999999999999</v>
      </c>
      <c r="M10" s="823">
        <f t="shared" si="2"/>
        <v>0.48449999999999999</v>
      </c>
      <c r="N10" s="823">
        <f t="shared" si="2"/>
        <v>0.48449999999999999</v>
      </c>
      <c r="O10" s="823">
        <f t="shared" si="2"/>
        <v>0.48449999999999999</v>
      </c>
      <c r="P10" s="823">
        <f t="shared" si="2"/>
        <v>0.48449999999999999</v>
      </c>
    </row>
    <row r="11" spans="1:16" outlineLevel="1">
      <c r="B11" s="20" t="s">
        <v>229</v>
      </c>
      <c r="C11" s="6"/>
      <c r="D11" s="823"/>
      <c r="E11" s="823"/>
      <c r="F11" s="823">
        <f>F42</f>
        <v>0.55000000000000004</v>
      </c>
      <c r="G11" s="823">
        <v>0.55000000000000004</v>
      </c>
      <c r="H11" s="823">
        <f>G11*(0.98)</f>
        <v>0.53900000000000003</v>
      </c>
      <c r="I11" s="823">
        <f>H11*(0.98)</f>
        <v>0.52822000000000002</v>
      </c>
      <c r="J11" s="823">
        <f>I11*(0.98)</f>
        <v>0.51765559999999999</v>
      </c>
      <c r="K11" s="823">
        <f>J11*(0.98)</f>
        <v>0.507302488</v>
      </c>
      <c r="L11" s="823">
        <v>0.51</v>
      </c>
      <c r="M11" s="823">
        <f>+L11</f>
        <v>0.51</v>
      </c>
      <c r="N11" s="823">
        <f>+M11</f>
        <v>0.51</v>
      </c>
      <c r="O11" s="823">
        <f>+N11</f>
        <v>0.51</v>
      </c>
      <c r="P11" s="823">
        <f>+O11</f>
        <v>0.51</v>
      </c>
    </row>
    <row r="12" spans="1:16" outlineLevel="1">
      <c r="B12" s="30" t="s">
        <v>230</v>
      </c>
      <c r="C12" s="30"/>
      <c r="D12" s="825"/>
      <c r="E12" s="825"/>
      <c r="F12" s="825"/>
      <c r="G12" s="825">
        <f>F11</f>
        <v>0.55000000000000004</v>
      </c>
      <c r="H12" s="825">
        <f t="shared" ref="H12:N12" si="3">G12</f>
        <v>0.55000000000000004</v>
      </c>
      <c r="I12" s="825">
        <f t="shared" si="3"/>
        <v>0.55000000000000004</v>
      </c>
      <c r="J12" s="825">
        <f t="shared" si="3"/>
        <v>0.55000000000000004</v>
      </c>
      <c r="K12" s="825">
        <f t="shared" si="3"/>
        <v>0.55000000000000004</v>
      </c>
      <c r="L12" s="825">
        <f t="shared" si="3"/>
        <v>0.55000000000000004</v>
      </c>
      <c r="M12" s="825">
        <f t="shared" si="3"/>
        <v>0.55000000000000004</v>
      </c>
      <c r="N12" s="825">
        <f t="shared" si="3"/>
        <v>0.55000000000000004</v>
      </c>
      <c r="O12" s="825">
        <f>N12</f>
        <v>0.55000000000000004</v>
      </c>
      <c r="P12" s="825">
        <f>O12</f>
        <v>0.55000000000000004</v>
      </c>
    </row>
    <row r="13" spans="1:16">
      <c r="D13" s="823"/>
      <c r="E13" s="823"/>
      <c r="F13" s="823"/>
      <c r="G13" s="823"/>
      <c r="H13" s="823"/>
      <c r="I13" s="823"/>
      <c r="J13" s="823"/>
      <c r="K13" s="823"/>
      <c r="L13" s="823"/>
      <c r="M13" s="823"/>
      <c r="N13" s="823"/>
      <c r="O13" s="823"/>
      <c r="P13" s="823"/>
    </row>
    <row r="14" spans="1:16">
      <c r="B14" s="144" t="s">
        <v>425</v>
      </c>
      <c r="C14" s="145"/>
      <c r="D14" s="826">
        <f>D32</f>
        <v>2008</v>
      </c>
      <c r="E14" s="826">
        <f t="shared" ref="E14:P14" si="4">E32</f>
        <v>2009</v>
      </c>
      <c r="F14" s="826">
        <f t="shared" si="4"/>
        <v>2010</v>
      </c>
      <c r="G14" s="826">
        <f t="shared" si="4"/>
        <v>2011</v>
      </c>
      <c r="H14" s="826">
        <f t="shared" si="4"/>
        <v>2012</v>
      </c>
      <c r="I14" s="826">
        <f t="shared" si="4"/>
        <v>2013</v>
      </c>
      <c r="J14" s="826">
        <f t="shared" si="4"/>
        <v>2014</v>
      </c>
      <c r="K14" s="826">
        <f t="shared" si="4"/>
        <v>2015</v>
      </c>
      <c r="L14" s="826">
        <f t="shared" si="4"/>
        <v>2016</v>
      </c>
      <c r="M14" s="826" t="str">
        <f t="shared" si="4"/>
        <v>2017E</v>
      </c>
      <c r="N14" s="826" t="str">
        <f t="shared" si="4"/>
        <v>2018E</v>
      </c>
      <c r="O14" s="826" t="str">
        <f t="shared" si="4"/>
        <v>2019E</v>
      </c>
      <c r="P14" s="827" t="str">
        <f t="shared" si="4"/>
        <v>2020E</v>
      </c>
    </row>
    <row r="15" spans="1:16" outlineLevel="1">
      <c r="B15" s="27" t="s">
        <v>252</v>
      </c>
      <c r="C15" s="6"/>
      <c r="D15" s="823"/>
      <c r="E15" s="823"/>
      <c r="F15" s="823"/>
      <c r="G15" s="823"/>
      <c r="H15" s="823"/>
      <c r="I15" s="823"/>
      <c r="J15" s="823"/>
      <c r="K15" s="823"/>
      <c r="L15" s="823"/>
      <c r="M15" s="823"/>
      <c r="N15" s="823"/>
      <c r="O15" s="823"/>
      <c r="P15" s="823"/>
    </row>
    <row r="16" spans="1:16" outlineLevel="1">
      <c r="B16" s="370" t="s">
        <v>151</v>
      </c>
      <c r="C16" s="6"/>
      <c r="D16" s="823"/>
      <c r="E16" s="823"/>
      <c r="F16" s="823"/>
      <c r="G16" s="823"/>
      <c r="H16" s="823"/>
      <c r="I16" s="823"/>
      <c r="J16" s="823"/>
      <c r="K16" s="823"/>
      <c r="L16" s="823"/>
      <c r="M16" s="823"/>
      <c r="N16" s="823"/>
      <c r="O16" s="823"/>
      <c r="P16" s="823"/>
    </row>
    <row r="17" spans="2:16" outlineLevel="1">
      <c r="B17" s="375" t="s">
        <v>428</v>
      </c>
      <c r="C17" s="6"/>
      <c r="D17" s="823"/>
      <c r="E17" s="823"/>
      <c r="F17" s="823"/>
      <c r="G17" s="823"/>
      <c r="H17" s="823"/>
      <c r="I17" s="823"/>
      <c r="J17" s="823">
        <f>+J18*1.3</f>
        <v>0.17550000000000002</v>
      </c>
      <c r="K17" s="823">
        <f t="shared" ref="K17:P17" si="5">+K18*1.3</f>
        <v>0.24407500000000001</v>
      </c>
      <c r="L17" s="823">
        <f t="shared" si="5"/>
        <v>0.30114030942157471</v>
      </c>
      <c r="M17" s="823">
        <f t="shared" si="5"/>
        <v>0.3219403094215747</v>
      </c>
      <c r="N17" s="823">
        <f t="shared" si="5"/>
        <v>0.34144030942157477</v>
      </c>
      <c r="O17" s="823">
        <f t="shared" si="5"/>
        <v>0.3739403094215748</v>
      </c>
      <c r="P17" s="823">
        <f t="shared" si="5"/>
        <v>0.41294030942157472</v>
      </c>
    </row>
    <row r="18" spans="2:16" outlineLevel="1">
      <c r="B18" s="375" t="s">
        <v>429</v>
      </c>
      <c r="C18" s="6"/>
      <c r="D18" s="823"/>
      <c r="E18" s="823"/>
      <c r="F18" s="823"/>
      <c r="G18" s="823"/>
      <c r="H18" s="824">
        <v>1E-3</v>
      </c>
      <c r="I18" s="828">
        <v>6.7500000000000004E-2</v>
      </c>
      <c r="J18" s="823">
        <f>+I18+0.0675</f>
        <v>0.13500000000000001</v>
      </c>
      <c r="K18" s="823">
        <f>+J18+0.05275</f>
        <v>0.18775</v>
      </c>
      <c r="L18" s="823">
        <v>0.23164639186274977</v>
      </c>
      <c r="M18" s="823">
        <f>+L18+0.016</f>
        <v>0.24764639186274978</v>
      </c>
      <c r="N18" s="823">
        <f>+M18+0.015</f>
        <v>0.2626463918627498</v>
      </c>
      <c r="O18" s="823">
        <f>+N18+0.025</f>
        <v>0.28764639186274982</v>
      </c>
      <c r="P18" s="823">
        <f>+O18+0.03</f>
        <v>0.31764639186274979</v>
      </c>
    </row>
    <row r="19" spans="2:16" outlineLevel="1">
      <c r="B19" s="375" t="s">
        <v>430</v>
      </c>
      <c r="C19" s="6"/>
      <c r="D19" s="823"/>
      <c r="E19" s="823"/>
      <c r="F19" s="823"/>
      <c r="G19" s="823"/>
      <c r="H19" s="823"/>
      <c r="I19" s="823"/>
      <c r="J19" s="823">
        <f t="shared" ref="J19:O19" si="6">+J18*2/3</f>
        <v>9.0000000000000011E-2</v>
      </c>
      <c r="K19" s="823">
        <f t="shared" si="6"/>
        <v>0.12516666666666668</v>
      </c>
      <c r="L19" s="823">
        <f t="shared" si="6"/>
        <v>0.15443092790849985</v>
      </c>
      <c r="M19" s="823">
        <f t="shared" si="6"/>
        <v>0.16509759457516651</v>
      </c>
      <c r="N19" s="823">
        <f t="shared" si="6"/>
        <v>0.17509759457516652</v>
      </c>
      <c r="O19" s="823">
        <f t="shared" si="6"/>
        <v>0.19176426124183321</v>
      </c>
      <c r="P19" s="823">
        <v>0.21</v>
      </c>
    </row>
    <row r="20" spans="2:16" ht="15" customHeight="1" outlineLevel="1">
      <c r="B20" s="6"/>
      <c r="C20" s="6"/>
      <c r="D20" s="823"/>
      <c r="E20" s="823"/>
      <c r="F20" s="823"/>
      <c r="G20" s="823"/>
      <c r="H20" s="823"/>
      <c r="I20" s="823"/>
      <c r="J20" s="823"/>
      <c r="K20" s="823"/>
      <c r="L20" s="823"/>
      <c r="M20" s="823"/>
      <c r="N20" s="823"/>
      <c r="O20" s="823"/>
      <c r="P20" s="823"/>
    </row>
    <row r="21" spans="2:16" outlineLevel="1">
      <c r="B21" s="370" t="s">
        <v>152</v>
      </c>
      <c r="C21" s="6"/>
      <c r="D21" s="823"/>
      <c r="E21" s="823"/>
      <c r="F21" s="823"/>
      <c r="G21" s="823"/>
      <c r="H21" s="823"/>
      <c r="I21" s="823"/>
      <c r="J21" s="823"/>
      <c r="K21" s="823"/>
      <c r="L21" s="823"/>
      <c r="M21" s="823"/>
      <c r="N21" s="823"/>
      <c r="O21" s="823"/>
      <c r="P21" s="823"/>
    </row>
    <row r="22" spans="2:16" outlineLevel="1">
      <c r="B22" s="375" t="s">
        <v>428</v>
      </c>
      <c r="C22" s="6"/>
      <c r="D22" s="823"/>
      <c r="E22" s="823"/>
      <c r="F22" s="823"/>
      <c r="G22" s="823"/>
      <c r="H22" s="823"/>
      <c r="I22" s="823"/>
      <c r="J22" s="823">
        <f>+I17</f>
        <v>0</v>
      </c>
      <c r="K22" s="823">
        <f>+J17</f>
        <v>0.17550000000000002</v>
      </c>
      <c r="L22" s="823">
        <f>+K17</f>
        <v>0.24407500000000001</v>
      </c>
      <c r="M22" s="823">
        <v>0.33</v>
      </c>
      <c r="N22" s="823">
        <v>0.36</v>
      </c>
      <c r="O22" s="823">
        <v>0.36</v>
      </c>
      <c r="P22" s="823">
        <v>0.36</v>
      </c>
    </row>
    <row r="23" spans="2:16" outlineLevel="1">
      <c r="B23" s="375" t="s">
        <v>429</v>
      </c>
      <c r="C23" s="6"/>
      <c r="D23" s="823"/>
      <c r="E23" s="823"/>
      <c r="F23" s="823"/>
      <c r="G23" s="823"/>
      <c r="H23" s="823"/>
      <c r="I23" s="823">
        <v>1.2500000000000001E-2</v>
      </c>
      <c r="J23" s="823">
        <f>+I18*0.5</f>
        <v>3.3750000000000002E-2</v>
      </c>
      <c r="K23" s="823">
        <f>+J18*0.6</f>
        <v>8.1000000000000003E-2</v>
      </c>
      <c r="L23" s="823">
        <f>+K18*0.7</f>
        <v>0.13142499999999999</v>
      </c>
      <c r="M23" s="823">
        <f>+L18*0.825</f>
        <v>0.19110827328676855</v>
      </c>
      <c r="N23" s="823">
        <f>+M18*0.85</f>
        <v>0.21049943308333732</v>
      </c>
      <c r="O23" s="823">
        <f>+N18*0.85</f>
        <v>0.22324943308333731</v>
      </c>
      <c r="P23" s="823">
        <f>+O18*0.85</f>
        <v>0.24449943308333733</v>
      </c>
    </row>
    <row r="24" spans="2:16" outlineLevel="1">
      <c r="B24" s="375" t="s">
        <v>430</v>
      </c>
      <c r="C24" s="6"/>
      <c r="D24" s="823"/>
      <c r="E24" s="823"/>
      <c r="F24" s="823"/>
      <c r="G24" s="823"/>
      <c r="H24" s="823"/>
      <c r="I24" s="823"/>
      <c r="J24" s="823">
        <f>+J23*0.1</f>
        <v>3.3750000000000004E-3</v>
      </c>
      <c r="K24" s="823">
        <f t="shared" ref="K24:P24" si="7">+K23*0.1</f>
        <v>8.1000000000000013E-3</v>
      </c>
      <c r="L24" s="823">
        <f t="shared" si="7"/>
        <v>1.31425E-2</v>
      </c>
      <c r="M24" s="823">
        <f t="shared" si="7"/>
        <v>1.9110827328676857E-2</v>
      </c>
      <c r="N24" s="823">
        <f t="shared" si="7"/>
        <v>2.1049943308333735E-2</v>
      </c>
      <c r="O24" s="823">
        <f t="shared" si="7"/>
        <v>2.2324943308333733E-2</v>
      </c>
      <c r="P24" s="823">
        <f t="shared" si="7"/>
        <v>2.4449943308333735E-2</v>
      </c>
    </row>
    <row r="25" spans="2:16" outlineLevel="1">
      <c r="B25" s="6"/>
      <c r="C25" s="6"/>
      <c r="D25" s="823"/>
      <c r="E25" s="823"/>
      <c r="F25" s="823"/>
      <c r="G25" s="823"/>
      <c r="H25" s="823"/>
      <c r="I25" s="823"/>
      <c r="J25" s="823"/>
      <c r="K25" s="823"/>
      <c r="L25" s="823"/>
      <c r="M25" s="823"/>
      <c r="N25" s="823"/>
      <c r="O25" s="823"/>
      <c r="P25" s="823"/>
    </row>
    <row r="26" spans="2:16" outlineLevel="1">
      <c r="B26" s="27" t="s">
        <v>253</v>
      </c>
      <c r="C26" s="6"/>
      <c r="D26" s="823"/>
      <c r="E26" s="823"/>
      <c r="F26" s="823"/>
      <c r="G26" s="823"/>
      <c r="H26" s="823"/>
      <c r="I26" s="823"/>
      <c r="J26" s="823"/>
      <c r="K26" s="823"/>
      <c r="L26" s="823"/>
      <c r="M26" s="823"/>
      <c r="N26" s="823"/>
      <c r="O26" s="823"/>
      <c r="P26" s="823"/>
    </row>
    <row r="27" spans="2:16" outlineLevel="1">
      <c r="B27" s="6" t="s">
        <v>228</v>
      </c>
      <c r="C27" s="6"/>
      <c r="D27" s="823"/>
      <c r="E27" s="823"/>
      <c r="F27" s="823"/>
      <c r="G27" s="823">
        <f>G28*1.05</f>
        <v>0.315</v>
      </c>
      <c r="H27" s="823">
        <f>H28*0.95</f>
        <v>0.28499999999999998</v>
      </c>
      <c r="I27" s="823">
        <f>+H27-0.02</f>
        <v>0.26499999999999996</v>
      </c>
      <c r="J27" s="823">
        <v>0.25</v>
      </c>
      <c r="K27" s="823">
        <v>0.24</v>
      </c>
      <c r="L27" s="823">
        <v>0.23</v>
      </c>
      <c r="M27" s="823">
        <v>0.22</v>
      </c>
      <c r="N27" s="823">
        <v>0.21</v>
      </c>
      <c r="O27" s="823">
        <v>0.21</v>
      </c>
      <c r="P27" s="823">
        <v>0.21</v>
      </c>
    </row>
    <row r="28" spans="2:16" outlineLevel="1">
      <c r="B28" s="20" t="s">
        <v>229</v>
      </c>
      <c r="C28" s="6"/>
      <c r="D28" s="823"/>
      <c r="E28" s="823"/>
      <c r="F28" s="823">
        <f>F64</f>
        <v>0.3</v>
      </c>
      <c r="G28" s="823">
        <v>0.3</v>
      </c>
      <c r="H28" s="823">
        <v>0.3</v>
      </c>
      <c r="I28" s="823">
        <v>0.3</v>
      </c>
      <c r="J28" s="823">
        <v>0.3</v>
      </c>
      <c r="K28" s="823">
        <v>0.3</v>
      </c>
      <c r="L28" s="823">
        <v>0.3</v>
      </c>
      <c r="M28" s="823">
        <v>0.3</v>
      </c>
      <c r="N28" s="823">
        <v>0.3</v>
      </c>
      <c r="O28" s="823">
        <v>0.3</v>
      </c>
      <c r="P28" s="823">
        <v>0.3</v>
      </c>
    </row>
    <row r="29" spans="2:16" outlineLevel="1">
      <c r="B29" s="30" t="s">
        <v>230</v>
      </c>
      <c r="C29" s="30"/>
      <c r="D29" s="825"/>
      <c r="E29" s="825"/>
      <c r="F29" s="825"/>
      <c r="G29" s="825">
        <f>F28</f>
        <v>0.3</v>
      </c>
      <c r="H29" s="825">
        <f t="shared" ref="H29:N29" si="8">G29</f>
        <v>0.3</v>
      </c>
      <c r="I29" s="825">
        <f t="shared" si="8"/>
        <v>0.3</v>
      </c>
      <c r="J29" s="825">
        <f t="shared" si="8"/>
        <v>0.3</v>
      </c>
      <c r="K29" s="825">
        <f t="shared" si="8"/>
        <v>0.3</v>
      </c>
      <c r="L29" s="825">
        <f t="shared" si="8"/>
        <v>0.3</v>
      </c>
      <c r="M29" s="825">
        <f t="shared" si="8"/>
        <v>0.3</v>
      </c>
      <c r="N29" s="825">
        <f t="shared" si="8"/>
        <v>0.3</v>
      </c>
      <c r="O29" s="825">
        <f>N29</f>
        <v>0.3</v>
      </c>
      <c r="P29" s="825">
        <f>O29</f>
        <v>0.3</v>
      </c>
    </row>
    <row r="30" spans="2:16" ht="13.5" customHeight="1">
      <c r="D30" s="829"/>
      <c r="E30" s="829"/>
      <c r="F30" s="829"/>
      <c r="G30" s="829"/>
      <c r="H30" s="829"/>
      <c r="I30" s="829"/>
      <c r="J30" s="829"/>
      <c r="K30" s="829"/>
      <c r="L30" s="829"/>
      <c r="M30" s="829"/>
      <c r="N30" s="829"/>
      <c r="O30" s="829"/>
      <c r="P30" s="829"/>
    </row>
    <row r="31" spans="2:16" ht="13.5" customHeight="1">
      <c r="B31" s="17" t="s">
        <v>190</v>
      </c>
      <c r="C31" s="18"/>
      <c r="D31" s="830"/>
      <c r="E31" s="831"/>
      <c r="F31" s="831"/>
      <c r="G31" s="830"/>
      <c r="H31" s="830"/>
      <c r="I31" s="830"/>
      <c r="J31" s="830"/>
      <c r="K31" s="830"/>
      <c r="L31" s="830"/>
      <c r="M31" s="830"/>
      <c r="N31" s="830"/>
      <c r="O31" s="829"/>
      <c r="P31" s="829"/>
    </row>
    <row r="32" spans="2:16">
      <c r="B32" s="144" t="s">
        <v>191</v>
      </c>
      <c r="C32" s="145"/>
      <c r="D32" s="826">
        <v>2008</v>
      </c>
      <c r="E32" s="826">
        <v>2009</v>
      </c>
      <c r="F32" s="826">
        <v>2010</v>
      </c>
      <c r="G32" s="826">
        <v>2011</v>
      </c>
      <c r="H32" s="826">
        <v>2012</v>
      </c>
      <c r="I32" s="826">
        <v>2013</v>
      </c>
      <c r="J32" s="826">
        <v>2014</v>
      </c>
      <c r="K32" s="826">
        <v>2015</v>
      </c>
      <c r="L32" s="826">
        <v>2016</v>
      </c>
      <c r="M32" s="826" t="s">
        <v>35</v>
      </c>
      <c r="N32" s="826" t="s">
        <v>36</v>
      </c>
      <c r="O32" s="826" t="s">
        <v>359</v>
      </c>
      <c r="P32" s="827" t="s">
        <v>360</v>
      </c>
    </row>
    <row r="33" spans="2:16" s="2" customFormat="1">
      <c r="B33" s="15" t="s">
        <v>421</v>
      </c>
      <c r="C33" s="15"/>
      <c r="D33" s="832"/>
      <c r="E33" s="832"/>
      <c r="F33" s="832"/>
      <c r="G33" s="832"/>
      <c r="H33" s="832"/>
      <c r="I33" s="832"/>
      <c r="J33" s="832"/>
      <c r="K33" s="832"/>
      <c r="L33" s="832"/>
      <c r="M33" s="832"/>
      <c r="N33" s="832"/>
      <c r="O33" s="832"/>
      <c r="P33" s="832"/>
    </row>
    <row r="34" spans="2:16">
      <c r="B34" s="148" t="s">
        <v>254</v>
      </c>
      <c r="C34" s="148"/>
      <c r="D34" s="833">
        <v>304059</v>
      </c>
      <c r="E34" s="833">
        <f>D34*1.01</f>
        <v>307099.59000000003</v>
      </c>
      <c r="F34" s="833">
        <f t="shared" ref="F34:M34" si="9">E34*1.015</f>
        <v>311706.08385</v>
      </c>
      <c r="G34" s="833">
        <f t="shared" si="9"/>
        <v>316381.67510774999</v>
      </c>
      <c r="H34" s="833">
        <f t="shared" si="9"/>
        <v>321127.40023436619</v>
      </c>
      <c r="I34" s="833">
        <f t="shared" si="9"/>
        <v>325944.31123788166</v>
      </c>
      <c r="J34" s="833">
        <f t="shared" si="9"/>
        <v>330833.47590644984</v>
      </c>
      <c r="K34" s="833">
        <f t="shared" si="9"/>
        <v>335795.97804504656</v>
      </c>
      <c r="L34" s="833">
        <f t="shared" si="9"/>
        <v>340832.91771572223</v>
      </c>
      <c r="M34" s="833">
        <f t="shared" si="9"/>
        <v>345945.41148145805</v>
      </c>
      <c r="N34" s="833">
        <f>M34*1.015</f>
        <v>351134.59265367989</v>
      </c>
      <c r="O34" s="833">
        <f>N34*1.015</f>
        <v>356401.61154348508</v>
      </c>
      <c r="P34" s="833">
        <f>O34*1.015</f>
        <v>361747.63571663731</v>
      </c>
    </row>
    <row r="35" spans="2:16">
      <c r="B35" s="32" t="s">
        <v>194</v>
      </c>
      <c r="C35" s="32"/>
      <c r="D35" s="834">
        <v>60811.8</v>
      </c>
      <c r="E35" s="834">
        <f t="shared" ref="E35:N35" si="10">E34*E36</f>
        <v>61419.918000000005</v>
      </c>
      <c r="F35" s="834">
        <f t="shared" si="10"/>
        <v>62341.216769999999</v>
      </c>
      <c r="G35" s="834">
        <f t="shared" si="10"/>
        <v>63276.335021550003</v>
      </c>
      <c r="H35" s="834">
        <f t="shared" si="10"/>
        <v>64225.480046873243</v>
      </c>
      <c r="I35" s="834">
        <f t="shared" si="10"/>
        <v>65188.862247576333</v>
      </c>
      <c r="J35" s="834">
        <f t="shared" si="10"/>
        <v>66166.695181289964</v>
      </c>
      <c r="K35" s="834">
        <f t="shared" si="10"/>
        <v>67159.195609009315</v>
      </c>
      <c r="L35" s="834">
        <f t="shared" si="10"/>
        <v>68166.583543144443</v>
      </c>
      <c r="M35" s="834">
        <f t="shared" si="10"/>
        <v>69189.082296291614</v>
      </c>
      <c r="N35" s="834">
        <f t="shared" si="10"/>
        <v>70226.918530735988</v>
      </c>
      <c r="O35" s="834">
        <f>O34*O36</f>
        <v>71280.322308697025</v>
      </c>
      <c r="P35" s="834">
        <f>P34*P36</f>
        <v>72349.527143327461</v>
      </c>
    </row>
    <row r="36" spans="2:16">
      <c r="B36" s="28" t="s">
        <v>193</v>
      </c>
      <c r="C36" s="32"/>
      <c r="D36" s="823">
        <v>0.2</v>
      </c>
      <c r="E36" s="823">
        <v>0.2</v>
      </c>
      <c r="F36" s="823">
        <v>0.2</v>
      </c>
      <c r="G36" s="823">
        <v>0.2</v>
      </c>
      <c r="H36" s="823">
        <v>0.2</v>
      </c>
      <c r="I36" s="823">
        <v>0.2</v>
      </c>
      <c r="J36" s="823">
        <v>0.2</v>
      </c>
      <c r="K36" s="823">
        <v>0.2</v>
      </c>
      <c r="L36" s="823">
        <v>0.2</v>
      </c>
      <c r="M36" s="823">
        <v>0.2</v>
      </c>
      <c r="N36" s="823">
        <v>0.2</v>
      </c>
      <c r="O36" s="823">
        <v>0.2</v>
      </c>
      <c r="P36" s="823">
        <v>0.2</v>
      </c>
    </row>
    <row r="37" spans="2:16">
      <c r="B37" s="28" t="s">
        <v>196</v>
      </c>
      <c r="C37" s="32"/>
      <c r="D37" s="834">
        <v>12162.36</v>
      </c>
      <c r="E37" s="834">
        <f t="shared" ref="E37:N37" si="11">E38*E35</f>
        <v>12283.983600000001</v>
      </c>
      <c r="F37" s="834">
        <f t="shared" si="11"/>
        <v>12468.243354</v>
      </c>
      <c r="G37" s="834">
        <f t="shared" si="11"/>
        <v>12655.267004310001</v>
      </c>
      <c r="H37" s="834">
        <f t="shared" si="11"/>
        <v>12845.096009374649</v>
      </c>
      <c r="I37" s="834">
        <f t="shared" si="11"/>
        <v>13037.772449515267</v>
      </c>
      <c r="J37" s="834">
        <f t="shared" si="11"/>
        <v>13233.339036257994</v>
      </c>
      <c r="K37" s="834">
        <f t="shared" si="11"/>
        <v>13431.839121801864</v>
      </c>
      <c r="L37" s="834">
        <f t="shared" si="11"/>
        <v>13633.316708628889</v>
      </c>
      <c r="M37" s="834">
        <f t="shared" si="11"/>
        <v>13837.816459258323</v>
      </c>
      <c r="N37" s="834">
        <f t="shared" si="11"/>
        <v>14045.383706147199</v>
      </c>
      <c r="O37" s="834">
        <f>O38*O35</f>
        <v>14256.064461739406</v>
      </c>
      <c r="P37" s="834">
        <f>P38*P35</f>
        <v>14469.905428665494</v>
      </c>
    </row>
    <row r="38" spans="2:16">
      <c r="B38" s="28" t="s">
        <v>195</v>
      </c>
      <c r="C38" s="32"/>
      <c r="D38" s="823">
        <v>0.2</v>
      </c>
      <c r="E38" s="823">
        <v>0.2</v>
      </c>
      <c r="F38" s="823">
        <v>0.2</v>
      </c>
      <c r="G38" s="823">
        <v>0.2</v>
      </c>
      <c r="H38" s="823">
        <v>0.2</v>
      </c>
      <c r="I38" s="823">
        <v>0.2</v>
      </c>
      <c r="J38" s="823">
        <v>0.2</v>
      </c>
      <c r="K38" s="823">
        <v>0.2</v>
      </c>
      <c r="L38" s="823">
        <v>0.2</v>
      </c>
      <c r="M38" s="823">
        <v>0.2</v>
      </c>
      <c r="N38" s="823">
        <v>0.2</v>
      </c>
      <c r="O38" s="823">
        <v>0.2</v>
      </c>
      <c r="P38" s="823">
        <v>0.2</v>
      </c>
    </row>
    <row r="39" spans="2:16">
      <c r="B39" s="28" t="s">
        <v>198</v>
      </c>
      <c r="C39" s="32"/>
      <c r="D39" s="834">
        <v>6081.18</v>
      </c>
      <c r="E39" s="834">
        <f t="shared" ref="E39:N39" si="12">E40*E37</f>
        <v>6141.9918000000007</v>
      </c>
      <c r="F39" s="834">
        <f>F40*F37</f>
        <v>6234.1216770000001</v>
      </c>
      <c r="G39" s="834">
        <f t="shared" si="12"/>
        <v>6327.6335021550003</v>
      </c>
      <c r="H39" s="834">
        <f t="shared" si="12"/>
        <v>6422.5480046873245</v>
      </c>
      <c r="I39" s="834">
        <f t="shared" si="12"/>
        <v>6584.0750870052098</v>
      </c>
      <c r="J39" s="834">
        <f t="shared" si="12"/>
        <v>6749.0029084915768</v>
      </c>
      <c r="K39" s="834">
        <f t="shared" si="12"/>
        <v>6917.3971477279601</v>
      </c>
      <c r="L39" s="834">
        <f t="shared" si="12"/>
        <v>7089.3246884870223</v>
      </c>
      <c r="M39" s="834">
        <f t="shared" si="12"/>
        <v>7195.6645588143283</v>
      </c>
      <c r="N39" s="834">
        <f t="shared" si="12"/>
        <v>7303.5995271965439</v>
      </c>
      <c r="O39" s="834">
        <f>O40*O37</f>
        <v>7413.1535201044917</v>
      </c>
      <c r="P39" s="834">
        <f>P40*P37</f>
        <v>7524.3508229060571</v>
      </c>
    </row>
    <row r="40" spans="2:16">
      <c r="B40" s="28" t="s">
        <v>197</v>
      </c>
      <c r="C40" s="32"/>
      <c r="D40" s="823">
        <v>0.5</v>
      </c>
      <c r="E40" s="823">
        <v>0.5</v>
      </c>
      <c r="F40" s="823">
        <v>0.5</v>
      </c>
      <c r="G40" s="823">
        <v>0.5</v>
      </c>
      <c r="H40" s="823">
        <v>0.5</v>
      </c>
      <c r="I40" s="823">
        <v>0.505</v>
      </c>
      <c r="J40" s="823">
        <v>0.51</v>
      </c>
      <c r="K40" s="823">
        <v>0.51500000000000001</v>
      </c>
      <c r="L40" s="823">
        <v>0.52</v>
      </c>
      <c r="M40" s="823">
        <f>L40</f>
        <v>0.52</v>
      </c>
      <c r="N40" s="823">
        <f>M40</f>
        <v>0.52</v>
      </c>
      <c r="O40" s="823">
        <f>N40</f>
        <v>0.52</v>
      </c>
      <c r="P40" s="823">
        <f>O40</f>
        <v>0.52</v>
      </c>
    </row>
    <row r="41" spans="2:16">
      <c r="B41" s="28" t="s">
        <v>200</v>
      </c>
      <c r="C41" s="32"/>
      <c r="D41" s="834">
        <v>2736.5309999999999</v>
      </c>
      <c r="E41" s="834">
        <f t="shared" ref="E41:M41" si="13">E39-(E39*E42)</f>
        <v>2763.8963100000001</v>
      </c>
      <c r="F41" s="834">
        <f t="shared" si="13"/>
        <v>2805.3547546499999</v>
      </c>
      <c r="G41" s="834">
        <f t="shared" si="13"/>
        <v>2847.43507596975</v>
      </c>
      <c r="H41" s="834">
        <f t="shared" si="13"/>
        <v>2960.7946301608563</v>
      </c>
      <c r="I41" s="834">
        <f t="shared" si="13"/>
        <v>3106.2349445473178</v>
      </c>
      <c r="J41" s="834">
        <f t="shared" si="13"/>
        <v>3255.3437584946246</v>
      </c>
      <c r="K41" s="834">
        <f t="shared" si="13"/>
        <v>3408.1843642014624</v>
      </c>
      <c r="L41" s="834">
        <f t="shared" si="13"/>
        <v>3473.7690973586409</v>
      </c>
      <c r="M41" s="834">
        <f t="shared" si="13"/>
        <v>3525.875633819021</v>
      </c>
      <c r="N41" s="834">
        <f>N39-(N39*N42)</f>
        <v>3578.7637683263065</v>
      </c>
      <c r="O41" s="834">
        <f>O39-(O39*O42)</f>
        <v>3632.4452248512007</v>
      </c>
      <c r="P41" s="834">
        <f>P39-(P39*P42)</f>
        <v>3686.9319032239678</v>
      </c>
    </row>
    <row r="42" spans="2:16">
      <c r="B42" s="28" t="s">
        <v>199</v>
      </c>
      <c r="C42" s="32"/>
      <c r="D42" s="823">
        <v>0.55000000000000004</v>
      </c>
      <c r="E42" s="823">
        <v>0.55000000000000004</v>
      </c>
      <c r="F42" s="823">
        <v>0.55000000000000004</v>
      </c>
      <c r="G42" s="835">
        <f t="shared" ref="G42:N42" si="14">CHOOSE($C$2,G10,G11,G12)</f>
        <v>0.55000000000000004</v>
      </c>
      <c r="H42" s="835">
        <f t="shared" si="14"/>
        <v>0.53900000000000003</v>
      </c>
      <c r="I42" s="835">
        <f t="shared" si="14"/>
        <v>0.52822000000000002</v>
      </c>
      <c r="J42" s="835">
        <f t="shared" si="14"/>
        <v>0.51765559999999999</v>
      </c>
      <c r="K42" s="835">
        <f t="shared" si="14"/>
        <v>0.507302488</v>
      </c>
      <c r="L42" s="835">
        <f t="shared" si="14"/>
        <v>0.51</v>
      </c>
      <c r="M42" s="835">
        <f t="shared" si="14"/>
        <v>0.51</v>
      </c>
      <c r="N42" s="835">
        <f t="shared" si="14"/>
        <v>0.51</v>
      </c>
      <c r="O42" s="835">
        <f>CHOOSE($C$2,O10,O11,O12)</f>
        <v>0.51</v>
      </c>
      <c r="P42" s="835">
        <f>CHOOSE($C$2,P10,P11,P12)</f>
        <v>0.51</v>
      </c>
    </row>
    <row r="43" spans="2:16">
      <c r="B43" s="28" t="s">
        <v>202</v>
      </c>
      <c r="C43" s="32"/>
      <c r="D43" s="836">
        <v>0</v>
      </c>
      <c r="E43" s="836">
        <f t="shared" ref="E43:N43" si="15">E41*E44</f>
        <v>0</v>
      </c>
      <c r="F43" s="836">
        <f t="shared" si="15"/>
        <v>0</v>
      </c>
      <c r="G43" s="836">
        <f t="shared" si="15"/>
        <v>0</v>
      </c>
      <c r="H43" s="836">
        <f t="shared" si="15"/>
        <v>2.9607946301608563</v>
      </c>
      <c r="I43" s="836">
        <f t="shared" si="15"/>
        <v>104.83542937847199</v>
      </c>
      <c r="J43" s="836">
        <f t="shared" si="15"/>
        <v>219.73570369838717</v>
      </c>
      <c r="K43" s="836">
        <f t="shared" si="15"/>
        <v>319.94330718941228</v>
      </c>
      <c r="L43" s="836">
        <f t="shared" si="15"/>
        <v>416.85229168303687</v>
      </c>
      <c r="M43" s="836">
        <f t="shared" si="15"/>
        <v>440.73445422737763</v>
      </c>
      <c r="N43" s="836">
        <f t="shared" si="15"/>
        <v>509.97383698649872</v>
      </c>
      <c r="O43" s="836">
        <f>O41*O44</f>
        <v>563.02900985193617</v>
      </c>
      <c r="P43" s="836">
        <f>P41*P44</f>
        <v>617.56109379001475</v>
      </c>
    </row>
    <row r="44" spans="2:16">
      <c r="B44" s="93" t="s">
        <v>201</v>
      </c>
      <c r="C44" s="21"/>
      <c r="D44" s="825">
        <v>0</v>
      </c>
      <c r="E44" s="825">
        <f t="shared" ref="E44:N44" si="16">CHOOSE($C$2,E6,E7,E8)</f>
        <v>0</v>
      </c>
      <c r="F44" s="825">
        <f t="shared" si="16"/>
        <v>0</v>
      </c>
      <c r="G44" s="837">
        <f t="shared" si="16"/>
        <v>0</v>
      </c>
      <c r="H44" s="838">
        <f t="shared" si="16"/>
        <v>1E-3</v>
      </c>
      <c r="I44" s="838">
        <f t="shared" si="16"/>
        <v>3.3750000000000002E-2</v>
      </c>
      <c r="J44" s="838">
        <f t="shared" si="16"/>
        <v>6.7500000000000004E-2</v>
      </c>
      <c r="K44" s="838">
        <f t="shared" si="16"/>
        <v>9.3875E-2</v>
      </c>
      <c r="L44" s="838">
        <f t="shared" si="16"/>
        <v>0.12</v>
      </c>
      <c r="M44" s="838">
        <f t="shared" si="16"/>
        <v>0.125</v>
      </c>
      <c r="N44" s="838">
        <f t="shared" si="16"/>
        <v>0.14250000000000002</v>
      </c>
      <c r="O44" s="838">
        <f>CHOOSE($C$2,O6,O7,O8)</f>
        <v>0.15500000000000003</v>
      </c>
      <c r="P44" s="838">
        <f>CHOOSE($C$2,P6,P7,P8)</f>
        <v>0.16750000000000004</v>
      </c>
    </row>
    <row r="45" spans="2:16">
      <c r="B45" s="4"/>
      <c r="C45" s="18"/>
      <c r="D45" s="839"/>
      <c r="E45" s="839"/>
      <c r="F45" s="839"/>
      <c r="G45" s="840"/>
      <c r="H45" s="841"/>
      <c r="I45" s="841"/>
      <c r="J45" s="841"/>
      <c r="K45" s="841"/>
      <c r="L45" s="841"/>
      <c r="M45" s="841"/>
      <c r="N45" s="841"/>
      <c r="O45" s="841"/>
      <c r="P45" s="841"/>
    </row>
    <row r="46" spans="2:16">
      <c r="B46" s="17" t="s">
        <v>422</v>
      </c>
      <c r="C46" s="18"/>
      <c r="D46" s="839"/>
      <c r="E46" s="839"/>
      <c r="F46" s="839"/>
      <c r="G46" s="840"/>
      <c r="H46" s="841"/>
      <c r="I46" s="841"/>
      <c r="J46" s="841"/>
      <c r="K46" s="841"/>
      <c r="L46" s="841"/>
      <c r="M46" s="841"/>
      <c r="N46" s="841"/>
      <c r="O46" s="841"/>
      <c r="P46" s="841"/>
    </row>
    <row r="47" spans="2:16">
      <c r="B47" s="217" t="s">
        <v>203</v>
      </c>
      <c r="C47" s="148"/>
      <c r="D47" s="842"/>
      <c r="E47" s="842"/>
      <c r="F47" s="843"/>
      <c r="G47" s="843"/>
      <c r="H47" s="843">
        <f>7.1*30.5*0.8</f>
        <v>173.24</v>
      </c>
      <c r="I47" s="843">
        <f t="shared" ref="I47:N47" si="17">H47*(1+I48)</f>
        <v>173.24</v>
      </c>
      <c r="J47" s="843">
        <f>7.1*30.5*0.775*1.08</f>
        <v>181.25235000000001</v>
      </c>
      <c r="K47" s="843">
        <f t="shared" si="17"/>
        <v>186.6899205</v>
      </c>
      <c r="L47" s="843">
        <f t="shared" si="17"/>
        <v>195.09096692249997</v>
      </c>
      <c r="M47" s="843">
        <f t="shared" si="17"/>
        <v>201.43142334748123</v>
      </c>
      <c r="N47" s="843">
        <f t="shared" si="17"/>
        <v>207.97794460627435</v>
      </c>
      <c r="O47" s="843">
        <f>N47*(1+O48)</f>
        <v>214.73722780597825</v>
      </c>
      <c r="P47" s="843">
        <f>O47*(1+P48)</f>
        <v>221.71618770967254</v>
      </c>
    </row>
    <row r="48" spans="2:16">
      <c r="B48" s="28" t="s">
        <v>358</v>
      </c>
      <c r="C48" s="32"/>
      <c r="D48" s="836"/>
      <c r="E48" s="836"/>
      <c r="F48" s="844"/>
      <c r="G48" s="844"/>
      <c r="H48" s="844"/>
      <c r="I48" s="845">
        <v>0</v>
      </c>
      <c r="J48" s="846">
        <f>+J47/I47-1</f>
        <v>4.6249999999999902E-2</v>
      </c>
      <c r="K48" s="845">
        <v>0.03</v>
      </c>
      <c r="L48" s="845">
        <v>4.4999999999999998E-2</v>
      </c>
      <c r="M48" s="845">
        <v>3.2500000000000001E-2</v>
      </c>
      <c r="N48" s="845">
        <f>+M48</f>
        <v>3.2500000000000001E-2</v>
      </c>
      <c r="O48" s="845">
        <f>+N48</f>
        <v>3.2500000000000001E-2</v>
      </c>
      <c r="P48" s="845">
        <f>+O48</f>
        <v>3.2500000000000001E-2</v>
      </c>
    </row>
    <row r="49" spans="2:18">
      <c r="B49" s="28"/>
      <c r="C49" s="32"/>
      <c r="D49" s="836"/>
      <c r="E49" s="836"/>
      <c r="F49" s="844"/>
      <c r="G49" s="844"/>
      <c r="H49" s="844"/>
      <c r="I49" s="845"/>
      <c r="J49" s="846"/>
      <c r="K49" s="845"/>
      <c r="L49" s="845"/>
      <c r="M49" s="845"/>
      <c r="N49" s="845"/>
      <c r="O49" s="845"/>
      <c r="P49" s="845"/>
    </row>
    <row r="50" spans="2:18">
      <c r="B50" s="32" t="s">
        <v>204</v>
      </c>
      <c r="C50" s="32"/>
      <c r="D50" s="836"/>
      <c r="E50" s="836"/>
      <c r="F50" s="844"/>
      <c r="G50" s="844"/>
      <c r="H50" s="844">
        <v>1</v>
      </c>
      <c r="I50" s="847">
        <v>3</v>
      </c>
      <c r="J50" s="848">
        <v>3.5</v>
      </c>
      <c r="K50" s="848">
        <f>+J50+0.1</f>
        <v>3.6</v>
      </c>
      <c r="L50" s="848">
        <f>+K50+0.05</f>
        <v>3.65</v>
      </c>
      <c r="M50" s="848">
        <f>+L50+0.05</f>
        <v>3.6999999999999997</v>
      </c>
      <c r="N50" s="848">
        <f>+M50+0.05</f>
        <v>3.7499999999999996</v>
      </c>
      <c r="O50" s="848">
        <f>+N50+0.05</f>
        <v>3.7999999999999994</v>
      </c>
      <c r="P50" s="848">
        <f>+O50+0.05</f>
        <v>3.8499999999999992</v>
      </c>
      <c r="R50" s="174"/>
    </row>
    <row r="51" spans="2:18">
      <c r="B51" s="32"/>
      <c r="C51" s="32"/>
      <c r="D51" s="836"/>
      <c r="E51" s="836"/>
      <c r="F51" s="844"/>
      <c r="G51" s="844"/>
      <c r="H51" s="844"/>
      <c r="I51" s="847"/>
      <c r="J51" s="848"/>
      <c r="K51" s="848"/>
      <c r="L51" s="848"/>
      <c r="M51" s="848"/>
      <c r="N51" s="848"/>
      <c r="O51" s="848"/>
      <c r="P51" s="848"/>
      <c r="R51" s="174"/>
    </row>
    <row r="52" spans="2:18">
      <c r="B52" s="21" t="s">
        <v>205</v>
      </c>
      <c r="C52" s="21"/>
      <c r="D52" s="849"/>
      <c r="E52" s="849"/>
      <c r="F52" s="850"/>
      <c r="G52" s="850"/>
      <c r="H52" s="850">
        <f t="shared" ref="H52:N52" si="18">H47*H50</f>
        <v>173.24</v>
      </c>
      <c r="I52" s="850">
        <f t="shared" si="18"/>
        <v>519.72</v>
      </c>
      <c r="J52" s="850">
        <f t="shared" si="18"/>
        <v>634.38322500000004</v>
      </c>
      <c r="K52" s="850">
        <f t="shared" si="18"/>
        <v>672.08371380000006</v>
      </c>
      <c r="L52" s="850">
        <f t="shared" si="18"/>
        <v>712.08202926712488</v>
      </c>
      <c r="M52" s="850">
        <f t="shared" si="18"/>
        <v>745.2962663856805</v>
      </c>
      <c r="N52" s="850">
        <f t="shared" si="18"/>
        <v>779.91729227352869</v>
      </c>
      <c r="O52" s="850">
        <f>O47*O50</f>
        <v>816.00146566271724</v>
      </c>
      <c r="P52" s="850">
        <f>P47*P50</f>
        <v>853.6073226822391</v>
      </c>
    </row>
    <row r="53" spans="2:18">
      <c r="B53" s="18"/>
      <c r="C53" s="18"/>
      <c r="D53" s="851"/>
      <c r="E53" s="851"/>
      <c r="F53" s="852"/>
      <c r="G53" s="852"/>
      <c r="H53" s="852"/>
      <c r="I53" s="852"/>
      <c r="J53" s="852"/>
      <c r="K53" s="852"/>
      <c r="L53" s="852"/>
      <c r="M53" s="852"/>
      <c r="N53" s="852"/>
      <c r="O53" s="852"/>
      <c r="P53" s="852"/>
    </row>
    <row r="54" spans="2:18">
      <c r="B54" s="220" t="s">
        <v>255</v>
      </c>
      <c r="C54" s="175"/>
      <c r="D54" s="853"/>
      <c r="E54" s="853"/>
      <c r="F54" s="853"/>
      <c r="G54" s="853"/>
      <c r="H54" s="853">
        <f>H52*H43/1000</f>
        <v>0.5129280617290668</v>
      </c>
      <c r="I54" s="853">
        <f t="shared" ref="I54:N54" si="19">I52*I43/1000</f>
        <v>54.485069356579466</v>
      </c>
      <c r="J54" s="853">
        <f t="shared" si="19"/>
        <v>139.39664435982726</v>
      </c>
      <c r="K54" s="853">
        <f t="shared" si="19"/>
        <v>215.02868610131446</v>
      </c>
      <c r="L54" s="853">
        <f t="shared" si="19"/>
        <v>296.83302576630837</v>
      </c>
      <c r="M54" s="853">
        <f t="shared" si="19"/>
        <v>328.47774320319519</v>
      </c>
      <c r="N54" s="853">
        <f t="shared" si="19"/>
        <v>397.737414072852</v>
      </c>
      <c r="O54" s="853">
        <f>O52*O43/1000</f>
        <v>459.43249724980842</v>
      </c>
      <c r="P54" s="854">
        <f>P52*P43/1000</f>
        <v>527.15467186280966</v>
      </c>
    </row>
    <row r="55" spans="2:18" ht="9" customHeight="1">
      <c r="B55" s="18"/>
      <c r="C55" s="18"/>
      <c r="D55" s="830"/>
      <c r="E55" s="830"/>
      <c r="F55" s="830"/>
      <c r="G55" s="830"/>
      <c r="H55" s="830"/>
      <c r="I55" s="830"/>
      <c r="J55" s="830"/>
      <c r="K55" s="830"/>
      <c r="L55" s="830"/>
      <c r="M55" s="830"/>
      <c r="N55" s="830"/>
      <c r="O55" s="829"/>
      <c r="P55" s="829"/>
    </row>
    <row r="56" spans="2:18">
      <c r="B56" s="144" t="s">
        <v>433</v>
      </c>
      <c r="C56" s="145"/>
      <c r="D56" s="826">
        <f>D32</f>
        <v>2008</v>
      </c>
      <c r="E56" s="826">
        <f t="shared" ref="E56:P56" si="20">E32</f>
        <v>2009</v>
      </c>
      <c r="F56" s="826">
        <f t="shared" si="20"/>
        <v>2010</v>
      </c>
      <c r="G56" s="826">
        <f t="shared" si="20"/>
        <v>2011</v>
      </c>
      <c r="H56" s="826">
        <f t="shared" si="20"/>
        <v>2012</v>
      </c>
      <c r="I56" s="826">
        <f t="shared" si="20"/>
        <v>2013</v>
      </c>
      <c r="J56" s="826">
        <f t="shared" si="20"/>
        <v>2014</v>
      </c>
      <c r="K56" s="826">
        <f t="shared" si="20"/>
        <v>2015</v>
      </c>
      <c r="L56" s="826">
        <f t="shared" si="20"/>
        <v>2016</v>
      </c>
      <c r="M56" s="826" t="str">
        <f t="shared" si="20"/>
        <v>2017E</v>
      </c>
      <c r="N56" s="826" t="str">
        <f t="shared" si="20"/>
        <v>2018E</v>
      </c>
      <c r="O56" s="826" t="str">
        <f t="shared" si="20"/>
        <v>2019E</v>
      </c>
      <c r="P56" s="827" t="str">
        <f t="shared" si="20"/>
        <v>2020E</v>
      </c>
    </row>
    <row r="57" spans="2:18" s="2" customFormat="1">
      <c r="B57" s="15" t="s">
        <v>423</v>
      </c>
      <c r="C57" s="15"/>
      <c r="D57" s="832"/>
      <c r="E57" s="832"/>
      <c r="F57" s="832"/>
      <c r="G57" s="832"/>
      <c r="H57" s="832"/>
      <c r="I57" s="832"/>
      <c r="J57" s="832"/>
      <c r="K57" s="832"/>
      <c r="L57" s="832"/>
      <c r="M57" s="832"/>
      <c r="N57" s="832"/>
      <c r="O57" s="832"/>
      <c r="P57" s="832"/>
    </row>
    <row r="58" spans="2:18">
      <c r="B58" s="148" t="s">
        <v>192</v>
      </c>
      <c r="C58" s="148"/>
      <c r="D58" s="833">
        <v>304059</v>
      </c>
      <c r="E58" s="833">
        <f t="shared" ref="E58:L58" si="21">E34</f>
        <v>307099.59000000003</v>
      </c>
      <c r="F58" s="833">
        <f t="shared" si="21"/>
        <v>311706.08385</v>
      </c>
      <c r="G58" s="833">
        <f t="shared" si="21"/>
        <v>316381.67510774999</v>
      </c>
      <c r="H58" s="833">
        <f t="shared" si="21"/>
        <v>321127.40023436619</v>
      </c>
      <c r="I58" s="833">
        <f t="shared" si="21"/>
        <v>325944.31123788166</v>
      </c>
      <c r="J58" s="833">
        <f t="shared" si="21"/>
        <v>330833.47590644984</v>
      </c>
      <c r="K58" s="833">
        <f t="shared" si="21"/>
        <v>335795.97804504656</v>
      </c>
      <c r="L58" s="833">
        <f t="shared" si="21"/>
        <v>340832.91771572223</v>
      </c>
      <c r="M58" s="833">
        <f>M34</f>
        <v>345945.41148145805</v>
      </c>
      <c r="N58" s="833">
        <f>N34</f>
        <v>351134.59265367989</v>
      </c>
      <c r="O58" s="833">
        <f>O34</f>
        <v>356401.61154348508</v>
      </c>
      <c r="P58" s="833">
        <f>P34</f>
        <v>361747.63571663731</v>
      </c>
    </row>
    <row r="59" spans="2:18">
      <c r="B59" s="32" t="s">
        <v>207</v>
      </c>
      <c r="C59" s="32"/>
      <c r="D59" s="834">
        <v>11402.2125</v>
      </c>
      <c r="E59" s="834">
        <f t="shared" ref="E59:N59" si="22">E58*E60</f>
        <v>14188.001058000003</v>
      </c>
      <c r="F59" s="834">
        <f t="shared" si="22"/>
        <v>14400.821073870002</v>
      </c>
      <c r="G59" s="834">
        <f t="shared" si="22"/>
        <v>14616.833389978052</v>
      </c>
      <c r="H59" s="834">
        <f t="shared" si="22"/>
        <v>14836.085890827719</v>
      </c>
      <c r="I59" s="834">
        <f t="shared" si="22"/>
        <v>15058.627179190134</v>
      </c>
      <c r="J59" s="834">
        <f t="shared" si="22"/>
        <v>15284.506586877984</v>
      </c>
      <c r="K59" s="834">
        <f t="shared" si="22"/>
        <v>15513.774185681154</v>
      </c>
      <c r="L59" s="834">
        <f t="shared" si="22"/>
        <v>15746.480798466369</v>
      </c>
      <c r="M59" s="834">
        <f t="shared" si="22"/>
        <v>15982.678010443364</v>
      </c>
      <c r="N59" s="834">
        <f t="shared" si="22"/>
        <v>16222.418180600012</v>
      </c>
      <c r="O59" s="834">
        <f>O58*O60</f>
        <v>16465.754453309011</v>
      </c>
      <c r="P59" s="834">
        <f>P58*P60</f>
        <v>16712.740770108645</v>
      </c>
    </row>
    <row r="60" spans="2:18">
      <c r="B60" s="20" t="s">
        <v>206</v>
      </c>
      <c r="C60" s="32"/>
      <c r="D60" s="823">
        <f t="shared" ref="D60:P60" si="23">14%*0.33</f>
        <v>4.6200000000000005E-2</v>
      </c>
      <c r="E60" s="823">
        <f t="shared" si="23"/>
        <v>4.6200000000000005E-2</v>
      </c>
      <c r="F60" s="823">
        <f t="shared" si="23"/>
        <v>4.6200000000000005E-2</v>
      </c>
      <c r="G60" s="823">
        <f t="shared" si="23"/>
        <v>4.6200000000000005E-2</v>
      </c>
      <c r="H60" s="823">
        <f t="shared" si="23"/>
        <v>4.6200000000000005E-2</v>
      </c>
      <c r="I60" s="823">
        <f t="shared" si="23"/>
        <v>4.6200000000000005E-2</v>
      </c>
      <c r="J60" s="823">
        <f t="shared" si="23"/>
        <v>4.6200000000000005E-2</v>
      </c>
      <c r="K60" s="823">
        <f t="shared" si="23"/>
        <v>4.6200000000000005E-2</v>
      </c>
      <c r="L60" s="823">
        <f t="shared" si="23"/>
        <v>4.6200000000000005E-2</v>
      </c>
      <c r="M60" s="823">
        <f t="shared" si="23"/>
        <v>4.6200000000000005E-2</v>
      </c>
      <c r="N60" s="823">
        <f t="shared" si="23"/>
        <v>4.6200000000000005E-2</v>
      </c>
      <c r="O60" s="823">
        <f t="shared" si="23"/>
        <v>4.6200000000000005E-2</v>
      </c>
      <c r="P60" s="823">
        <f t="shared" si="23"/>
        <v>4.6200000000000005E-2</v>
      </c>
    </row>
    <row r="61" spans="2:18">
      <c r="B61" s="20" t="s">
        <v>209</v>
      </c>
      <c r="C61" s="12"/>
      <c r="D61" s="855">
        <v>1368.2655</v>
      </c>
      <c r="E61" s="855">
        <f t="shared" ref="E61:N61" si="24">E59*E62</f>
        <v>2128.2001587000004</v>
      </c>
      <c r="F61" s="855">
        <f t="shared" si="24"/>
        <v>2160.1231610805003</v>
      </c>
      <c r="G61" s="855">
        <f t="shared" si="24"/>
        <v>2192.5250084967079</v>
      </c>
      <c r="H61" s="855">
        <f t="shared" si="24"/>
        <v>2225.4128836241575</v>
      </c>
      <c r="I61" s="855">
        <f t="shared" si="24"/>
        <v>2258.7940768785202</v>
      </c>
      <c r="J61" s="855">
        <f t="shared" si="24"/>
        <v>2292.6759880316977</v>
      </c>
      <c r="K61" s="855">
        <f t="shared" si="24"/>
        <v>2327.0661278521729</v>
      </c>
      <c r="L61" s="855">
        <f t="shared" si="24"/>
        <v>2361.9721197699555</v>
      </c>
      <c r="M61" s="855">
        <f t="shared" si="24"/>
        <v>2397.4017015665045</v>
      </c>
      <c r="N61" s="855">
        <f t="shared" si="24"/>
        <v>2433.362727090002</v>
      </c>
      <c r="O61" s="855">
        <f>O59*O62</f>
        <v>2469.8631679963514</v>
      </c>
      <c r="P61" s="855">
        <f>P59*P62</f>
        <v>2506.9111155162968</v>
      </c>
    </row>
    <row r="62" spans="2:18">
      <c r="B62" s="20" t="s">
        <v>208</v>
      </c>
      <c r="C62" s="12"/>
      <c r="D62" s="828">
        <f t="shared" ref="D62:P62" si="25">0.6*0.25</f>
        <v>0.15</v>
      </c>
      <c r="E62" s="828">
        <f t="shared" si="25"/>
        <v>0.15</v>
      </c>
      <c r="F62" s="828">
        <f t="shared" si="25"/>
        <v>0.15</v>
      </c>
      <c r="G62" s="828">
        <f t="shared" si="25"/>
        <v>0.15</v>
      </c>
      <c r="H62" s="828">
        <f t="shared" si="25"/>
        <v>0.15</v>
      </c>
      <c r="I62" s="828">
        <f t="shared" si="25"/>
        <v>0.15</v>
      </c>
      <c r="J62" s="828">
        <f t="shared" si="25"/>
        <v>0.15</v>
      </c>
      <c r="K62" s="828">
        <f t="shared" si="25"/>
        <v>0.15</v>
      </c>
      <c r="L62" s="828">
        <f t="shared" si="25"/>
        <v>0.15</v>
      </c>
      <c r="M62" s="828">
        <f t="shared" si="25"/>
        <v>0.15</v>
      </c>
      <c r="N62" s="828">
        <f t="shared" si="25"/>
        <v>0.15</v>
      </c>
      <c r="O62" s="828">
        <f t="shared" si="25"/>
        <v>0.15</v>
      </c>
      <c r="P62" s="828">
        <f t="shared" si="25"/>
        <v>0.15</v>
      </c>
    </row>
    <row r="63" spans="2:18">
      <c r="B63" s="20" t="s">
        <v>211</v>
      </c>
      <c r="C63" s="12"/>
      <c r="D63" s="855">
        <v>957.78584999999987</v>
      </c>
      <c r="E63" s="856">
        <f t="shared" ref="E63:N63" si="26">E61*(1-E64)</f>
        <v>1489.7401110900003</v>
      </c>
      <c r="F63" s="856">
        <f t="shared" si="26"/>
        <v>1512.0862127563501</v>
      </c>
      <c r="G63" s="856">
        <f t="shared" si="26"/>
        <v>1534.7675059476953</v>
      </c>
      <c r="H63" s="856">
        <f t="shared" si="26"/>
        <v>1557.7890185369101</v>
      </c>
      <c r="I63" s="856">
        <f t="shared" si="26"/>
        <v>1581.1558538149641</v>
      </c>
      <c r="J63" s="856">
        <f t="shared" si="26"/>
        <v>1604.8731916221882</v>
      </c>
      <c r="K63" s="856">
        <f t="shared" si="26"/>
        <v>1628.9462894965209</v>
      </c>
      <c r="L63" s="856">
        <f t="shared" si="26"/>
        <v>1653.3804838389688</v>
      </c>
      <c r="M63" s="856">
        <f t="shared" si="26"/>
        <v>1678.181191096553</v>
      </c>
      <c r="N63" s="856">
        <f t="shared" si="26"/>
        <v>1703.3539089630012</v>
      </c>
      <c r="O63" s="856">
        <f>O61*(1-O64)</f>
        <v>1728.9042175974459</v>
      </c>
      <c r="P63" s="856">
        <f>P61*(1-P64)</f>
        <v>1754.8377808614077</v>
      </c>
    </row>
    <row r="64" spans="2:18">
      <c r="B64" s="20" t="s">
        <v>210</v>
      </c>
      <c r="C64" s="12"/>
      <c r="D64" s="828">
        <v>0.3</v>
      </c>
      <c r="E64" s="823">
        <v>0.3</v>
      </c>
      <c r="F64" s="823">
        <v>0.3</v>
      </c>
      <c r="G64" s="857">
        <f t="shared" ref="G64:N64" si="27">CHOOSE($C$2,G27,G28,G29)</f>
        <v>0.3</v>
      </c>
      <c r="H64" s="857">
        <f t="shared" si="27"/>
        <v>0.3</v>
      </c>
      <c r="I64" s="857">
        <f t="shared" si="27"/>
        <v>0.3</v>
      </c>
      <c r="J64" s="857">
        <f t="shared" si="27"/>
        <v>0.3</v>
      </c>
      <c r="K64" s="857">
        <f t="shared" si="27"/>
        <v>0.3</v>
      </c>
      <c r="L64" s="857">
        <f t="shared" si="27"/>
        <v>0.3</v>
      </c>
      <c r="M64" s="857">
        <f t="shared" si="27"/>
        <v>0.3</v>
      </c>
      <c r="N64" s="857">
        <f t="shared" si="27"/>
        <v>0.3</v>
      </c>
      <c r="O64" s="857">
        <f>CHOOSE($C$2,O27,O28,O29)</f>
        <v>0.3</v>
      </c>
      <c r="P64" s="857">
        <f>CHOOSE($C$2,P27,P28,P29)</f>
        <v>0.3</v>
      </c>
    </row>
    <row r="65" spans="2:24">
      <c r="B65" s="28" t="s">
        <v>202</v>
      </c>
      <c r="C65" s="32"/>
      <c r="D65" s="858">
        <v>0</v>
      </c>
      <c r="E65" s="858">
        <f t="shared" ref="E65:N65" si="28">E63*E66</f>
        <v>0</v>
      </c>
      <c r="F65" s="858">
        <f t="shared" si="28"/>
        <v>0</v>
      </c>
      <c r="G65" s="858">
        <f t="shared" si="28"/>
        <v>0</v>
      </c>
      <c r="H65" s="858">
        <f t="shared" si="28"/>
        <v>1.5577890185369101</v>
      </c>
      <c r="I65" s="858">
        <f t="shared" si="28"/>
        <v>106.72802013251008</v>
      </c>
      <c r="J65" s="858">
        <f t="shared" si="28"/>
        <v>216.65788086899542</v>
      </c>
      <c r="K65" s="858">
        <f t="shared" si="28"/>
        <v>305.8346658529718</v>
      </c>
      <c r="L65" s="858">
        <f t="shared" si="28"/>
        <v>382.99962345758456</v>
      </c>
      <c r="M65" s="858">
        <f t="shared" si="28"/>
        <v>415.59551686699314</v>
      </c>
      <c r="N65" s="858">
        <f t="shared" si="28"/>
        <v>447.37975825444306</v>
      </c>
      <c r="O65" s="858">
        <f>O63*O66</f>
        <v>497.3130600681958</v>
      </c>
      <c r="P65" s="858">
        <f>P63*P66</f>
        <v>557.41788939506091</v>
      </c>
    </row>
    <row r="66" spans="2:24">
      <c r="B66" s="146" t="s">
        <v>212</v>
      </c>
      <c r="C66" s="43"/>
      <c r="D66" s="859">
        <v>0</v>
      </c>
      <c r="E66" s="859">
        <f t="shared" ref="E66:N66" si="29">CHOOSE($C$2,E17,E18,E19)</f>
        <v>0</v>
      </c>
      <c r="F66" s="859">
        <f t="shared" si="29"/>
        <v>0</v>
      </c>
      <c r="G66" s="860">
        <f t="shared" si="29"/>
        <v>0</v>
      </c>
      <c r="H66" s="861">
        <f>CHOOSE($C$2,H17,H18,H19)</f>
        <v>1E-3</v>
      </c>
      <c r="I66" s="860">
        <f>CHOOSE($C$2,I17,I18,I19)</f>
        <v>6.7500000000000004E-2</v>
      </c>
      <c r="J66" s="860">
        <f t="shared" si="29"/>
        <v>0.13500000000000001</v>
      </c>
      <c r="K66" s="860">
        <f t="shared" si="29"/>
        <v>0.18775</v>
      </c>
      <c r="L66" s="860">
        <f t="shared" si="29"/>
        <v>0.23164639186274977</v>
      </c>
      <c r="M66" s="860">
        <f t="shared" si="29"/>
        <v>0.24764639186274978</v>
      </c>
      <c r="N66" s="860">
        <f t="shared" si="29"/>
        <v>0.2626463918627498</v>
      </c>
      <c r="O66" s="860">
        <f>CHOOSE($C$2,O17,O18,O19)</f>
        <v>0.28764639186274982</v>
      </c>
      <c r="P66" s="860">
        <f>CHOOSE($C$2,P17,P18,P19)</f>
        <v>0.31764639186274979</v>
      </c>
    </row>
    <row r="67" spans="2:24">
      <c r="B67" s="94"/>
      <c r="C67" s="14"/>
      <c r="D67" s="862"/>
      <c r="E67" s="862"/>
      <c r="F67" s="862"/>
      <c r="G67" s="863"/>
      <c r="H67" s="864"/>
      <c r="I67" s="863"/>
      <c r="J67" s="863"/>
      <c r="K67" s="863"/>
      <c r="L67" s="863"/>
      <c r="M67" s="863"/>
      <c r="N67" s="863"/>
      <c r="O67" s="863"/>
      <c r="P67" s="863"/>
    </row>
    <row r="68" spans="2:24">
      <c r="B68" s="17" t="s">
        <v>422</v>
      </c>
      <c r="C68" s="18"/>
      <c r="D68" s="839"/>
      <c r="E68" s="839"/>
      <c r="F68" s="839"/>
      <c r="G68" s="840"/>
      <c r="H68" s="841"/>
      <c r="I68" s="841"/>
      <c r="J68" s="841"/>
      <c r="K68" s="841"/>
      <c r="L68" s="841"/>
      <c r="M68" s="841"/>
      <c r="N68" s="841"/>
      <c r="O68" s="841"/>
      <c r="P68" s="841"/>
    </row>
    <row r="69" spans="2:24">
      <c r="B69" s="217" t="s">
        <v>203</v>
      </c>
      <c r="C69" s="148"/>
      <c r="D69" s="865"/>
      <c r="E69" s="865"/>
      <c r="F69" s="865"/>
      <c r="G69" s="865"/>
      <c r="H69" s="865">
        <f t="shared" ref="H69:P69" si="30">H47</f>
        <v>173.24</v>
      </c>
      <c r="I69" s="865">
        <f t="shared" si="30"/>
        <v>173.24</v>
      </c>
      <c r="J69" s="865">
        <f t="shared" si="30"/>
        <v>181.25235000000001</v>
      </c>
      <c r="K69" s="865">
        <f t="shared" si="30"/>
        <v>186.6899205</v>
      </c>
      <c r="L69" s="865">
        <f t="shared" si="30"/>
        <v>195.09096692249997</v>
      </c>
      <c r="M69" s="865">
        <f t="shared" si="30"/>
        <v>201.43142334748123</v>
      </c>
      <c r="N69" s="865">
        <f t="shared" si="30"/>
        <v>207.97794460627435</v>
      </c>
      <c r="O69" s="865">
        <f t="shared" si="30"/>
        <v>214.73722780597825</v>
      </c>
      <c r="P69" s="865">
        <f t="shared" si="30"/>
        <v>221.71618770967254</v>
      </c>
    </row>
    <row r="70" spans="2:24">
      <c r="B70" s="28"/>
      <c r="C70" s="32"/>
      <c r="D70" s="866"/>
      <c r="E70" s="866"/>
      <c r="F70" s="866"/>
      <c r="G70" s="866"/>
      <c r="H70" s="866"/>
      <c r="I70" s="866"/>
      <c r="J70" s="866"/>
      <c r="K70" s="866"/>
      <c r="L70" s="866"/>
      <c r="M70" s="866"/>
      <c r="N70" s="866"/>
      <c r="O70" s="866"/>
      <c r="P70" s="866"/>
    </row>
    <row r="71" spans="2:24">
      <c r="B71" s="28" t="s">
        <v>204</v>
      </c>
      <c r="C71" s="32"/>
      <c r="D71" s="867"/>
      <c r="E71" s="868"/>
      <c r="F71" s="868"/>
      <c r="G71" s="598"/>
      <c r="H71" s="869">
        <v>2</v>
      </c>
      <c r="I71" s="869">
        <v>3.5</v>
      </c>
      <c r="J71" s="848">
        <v>4</v>
      </c>
      <c r="K71" s="848">
        <f>+J71+0.1</f>
        <v>4.0999999999999996</v>
      </c>
      <c r="L71" s="848">
        <f>+K71+0.3</f>
        <v>4.3999999999999995</v>
      </c>
      <c r="M71" s="848">
        <f>+L71+0.05</f>
        <v>4.4499999999999993</v>
      </c>
      <c r="N71" s="848">
        <f>+M71+0.05</f>
        <v>4.4999999999999991</v>
      </c>
      <c r="O71" s="848">
        <f>+N71+0.05</f>
        <v>4.5499999999999989</v>
      </c>
      <c r="P71" s="848">
        <f>+O71+0.05</f>
        <v>4.5999999999999988</v>
      </c>
      <c r="Q71" s="241"/>
    </row>
    <row r="72" spans="2:24">
      <c r="B72" s="28"/>
      <c r="C72" s="32"/>
      <c r="D72" s="867"/>
      <c r="E72" s="868"/>
      <c r="F72" s="868"/>
      <c r="G72" s="598"/>
      <c r="H72" s="869"/>
      <c r="I72" s="869"/>
      <c r="J72" s="848"/>
      <c r="K72" s="848"/>
      <c r="L72" s="848"/>
      <c r="M72" s="848"/>
      <c r="N72" s="848"/>
      <c r="O72" s="848"/>
      <c r="P72" s="848"/>
      <c r="Q72" s="241"/>
    </row>
    <row r="73" spans="2:24">
      <c r="B73" s="93" t="s">
        <v>205</v>
      </c>
      <c r="C73" s="21"/>
      <c r="D73" s="849"/>
      <c r="E73" s="849"/>
      <c r="F73" s="849"/>
      <c r="G73" s="849"/>
      <c r="H73" s="849">
        <f t="shared" ref="H73:N73" si="31">H69*H71</f>
        <v>346.48</v>
      </c>
      <c r="I73" s="849">
        <f t="shared" si="31"/>
        <v>606.34</v>
      </c>
      <c r="J73" s="849">
        <f t="shared" si="31"/>
        <v>725.00940000000003</v>
      </c>
      <c r="K73" s="849">
        <f t="shared" si="31"/>
        <v>765.42867404999993</v>
      </c>
      <c r="L73" s="849">
        <f t="shared" si="31"/>
        <v>858.40025445899983</v>
      </c>
      <c r="M73" s="849">
        <f t="shared" si="31"/>
        <v>896.36983389629131</v>
      </c>
      <c r="N73" s="849">
        <f t="shared" si="31"/>
        <v>935.90075072823436</v>
      </c>
      <c r="O73" s="849">
        <f>O69*O71</f>
        <v>977.05438651720078</v>
      </c>
      <c r="P73" s="849">
        <f>P69*P71</f>
        <v>1019.8944634644934</v>
      </c>
    </row>
    <row r="74" spans="2:24">
      <c r="B74" s="4"/>
      <c r="C74" s="18"/>
      <c r="D74" s="851"/>
      <c r="E74" s="851"/>
      <c r="F74" s="851"/>
      <c r="G74" s="851"/>
      <c r="H74" s="851"/>
      <c r="I74" s="851"/>
      <c r="J74" s="851"/>
      <c r="K74" s="851"/>
      <c r="L74" s="851"/>
      <c r="M74" s="851"/>
      <c r="N74" s="851"/>
      <c r="O74" s="851"/>
      <c r="P74" s="851"/>
    </row>
    <row r="75" spans="2:24">
      <c r="B75" s="220" t="s">
        <v>213</v>
      </c>
      <c r="C75" s="175"/>
      <c r="D75" s="853"/>
      <c r="E75" s="853"/>
      <c r="F75" s="853"/>
      <c r="G75" s="853"/>
      <c r="H75" s="853">
        <f>H73*H65/1000</f>
        <v>0.53974273914266857</v>
      </c>
      <c r="I75" s="853">
        <f t="shared" ref="I75:N75" si="32">I73*I65/1000</f>
        <v>64.713467727146167</v>
      </c>
      <c r="J75" s="853">
        <f t="shared" si="32"/>
        <v>157.07900021410185</v>
      </c>
      <c r="K75" s="853">
        <f>K73*K65/1000</f>
        <v>234.09462276236499</v>
      </c>
      <c r="L75" s="853">
        <f t="shared" si="32"/>
        <v>328.76697423369171</v>
      </c>
      <c r="M75" s="853">
        <f t="shared" si="32"/>
        <v>372.52728442210997</v>
      </c>
      <c r="N75" s="853">
        <f t="shared" si="32"/>
        <v>418.70305161094927</v>
      </c>
      <c r="O75" s="853">
        <f>O73*O65/1000</f>
        <v>485.90190681192286</v>
      </c>
      <c r="P75" s="854">
        <f>P73*P65/1000</f>
        <v>568.50741923008593</v>
      </c>
      <c r="Q75" s="208"/>
      <c r="R75" s="208"/>
      <c r="S75" s="208"/>
      <c r="T75" s="208"/>
      <c r="U75" s="208"/>
      <c r="V75" s="208"/>
      <c r="W75" s="208"/>
      <c r="X75" s="208"/>
    </row>
    <row r="76" spans="2:24" ht="6" customHeight="1">
      <c r="B76" s="18"/>
      <c r="C76" s="18"/>
      <c r="D76" s="830"/>
      <c r="E76" s="830"/>
      <c r="F76" s="830"/>
      <c r="G76" s="830"/>
      <c r="H76" s="851"/>
      <c r="I76" s="851"/>
      <c r="J76" s="851"/>
      <c r="K76" s="851"/>
      <c r="L76" s="851"/>
      <c r="M76" s="851"/>
      <c r="N76" s="851"/>
      <c r="O76" s="851"/>
      <c r="P76" s="851"/>
    </row>
    <row r="77" spans="2:24">
      <c r="B77" s="220" t="s">
        <v>413</v>
      </c>
      <c r="C77" s="175"/>
      <c r="D77" s="853"/>
      <c r="E77" s="853"/>
      <c r="F77" s="853"/>
      <c r="G77" s="853"/>
      <c r="H77" s="853">
        <f t="shared" ref="H77:P77" si="33">H54+H75</f>
        <v>1.0526708008717354</v>
      </c>
      <c r="I77" s="853">
        <f t="shared" si="33"/>
        <v>119.19853708372563</v>
      </c>
      <c r="J77" s="853">
        <f t="shared" si="33"/>
        <v>296.47564457392912</v>
      </c>
      <c r="K77" s="853">
        <f>K54+K75</f>
        <v>449.12330886367943</v>
      </c>
      <c r="L77" s="853">
        <f>L54+L75</f>
        <v>625.60000000000014</v>
      </c>
      <c r="M77" s="853">
        <f t="shared" si="33"/>
        <v>701.00502762530516</v>
      </c>
      <c r="N77" s="853">
        <f t="shared" si="33"/>
        <v>816.44046568380122</v>
      </c>
      <c r="O77" s="853">
        <f t="shared" si="33"/>
        <v>945.33440406173122</v>
      </c>
      <c r="P77" s="854">
        <f t="shared" si="33"/>
        <v>1095.6620910928955</v>
      </c>
      <c r="R77" s="242"/>
    </row>
    <row r="78" spans="2:24" s="2" customFormat="1">
      <c r="B78" s="377" t="s">
        <v>315</v>
      </c>
      <c r="C78" s="15"/>
      <c r="D78" s="718"/>
      <c r="E78" s="718"/>
      <c r="F78" s="718"/>
      <c r="G78" s="718"/>
      <c r="H78" s="870">
        <f>IS!Y6</f>
        <v>19.2</v>
      </c>
      <c r="I78" s="870">
        <f>IS!AD6</f>
        <v>118.753</v>
      </c>
      <c r="J78" s="870">
        <f>IS!AI6</f>
        <v>296.98</v>
      </c>
      <c r="K78" s="870">
        <f>IS!AN6</f>
        <v>454.76900000000001</v>
      </c>
      <c r="L78" s="718"/>
      <c r="M78" s="718"/>
      <c r="N78" s="718"/>
      <c r="O78" s="718"/>
      <c r="P78" s="718"/>
      <c r="R78" s="376"/>
    </row>
    <row r="79" spans="2:24" ht="14.25" customHeight="1">
      <c r="B79" s="32"/>
      <c r="C79" s="32"/>
      <c r="D79" s="866"/>
      <c r="E79" s="866"/>
      <c r="F79" s="866"/>
      <c r="G79" s="866"/>
      <c r="H79" s="866"/>
      <c r="I79" s="871"/>
      <c r="J79" s="871"/>
      <c r="K79" s="871"/>
      <c r="L79" s="871"/>
      <c r="M79" s="871"/>
      <c r="N79" s="871"/>
      <c r="O79" s="871"/>
      <c r="P79" s="871"/>
      <c r="R79" s="242"/>
    </row>
    <row r="80" spans="2:24">
      <c r="B80" s="144" t="s">
        <v>516</v>
      </c>
      <c r="C80" s="164"/>
      <c r="D80" s="826">
        <f>D32</f>
        <v>2008</v>
      </c>
      <c r="E80" s="826">
        <f t="shared" ref="E80:P80" si="34">E32</f>
        <v>2009</v>
      </c>
      <c r="F80" s="826">
        <f t="shared" si="34"/>
        <v>2010</v>
      </c>
      <c r="G80" s="826">
        <f t="shared" si="34"/>
        <v>2011</v>
      </c>
      <c r="H80" s="826">
        <f t="shared" si="34"/>
        <v>2012</v>
      </c>
      <c r="I80" s="826">
        <f t="shared" si="34"/>
        <v>2013</v>
      </c>
      <c r="J80" s="826">
        <f t="shared" si="34"/>
        <v>2014</v>
      </c>
      <c r="K80" s="826">
        <f t="shared" si="34"/>
        <v>2015</v>
      </c>
      <c r="L80" s="826">
        <f t="shared" si="34"/>
        <v>2016</v>
      </c>
      <c r="M80" s="826" t="str">
        <f t="shared" si="34"/>
        <v>2017E</v>
      </c>
      <c r="N80" s="826" t="str">
        <f t="shared" si="34"/>
        <v>2018E</v>
      </c>
      <c r="O80" s="826" t="str">
        <f t="shared" si="34"/>
        <v>2019E</v>
      </c>
      <c r="P80" s="827" t="str">
        <f t="shared" si="34"/>
        <v>2020E</v>
      </c>
      <c r="R80" s="242"/>
    </row>
    <row r="81" spans="2:18" s="2" customFormat="1">
      <c r="B81" s="15" t="s">
        <v>431</v>
      </c>
      <c r="C81" s="382"/>
      <c r="D81" s="832"/>
      <c r="E81" s="832"/>
      <c r="F81" s="832"/>
      <c r="G81" s="832"/>
      <c r="H81" s="832"/>
      <c r="I81" s="832"/>
      <c r="J81" s="832"/>
      <c r="K81" s="832"/>
      <c r="L81" s="832"/>
      <c r="M81" s="832"/>
      <c r="N81" s="832"/>
      <c r="O81" s="832"/>
      <c r="P81" s="832"/>
      <c r="R81" s="376"/>
    </row>
    <row r="82" spans="2:18" s="2" customFormat="1">
      <c r="B82" s="386" t="s">
        <v>432</v>
      </c>
      <c r="C82" s="387"/>
      <c r="D82" s="872"/>
      <c r="E82" s="872"/>
      <c r="F82" s="872"/>
      <c r="G82" s="872"/>
      <c r="H82" s="721">
        <f>H85+H89</f>
        <v>61.666666666666664</v>
      </c>
      <c r="I82" s="873">
        <f t="shared" ref="I82:P82" si="35">I85+I89</f>
        <v>264.53588296669807</v>
      </c>
      <c r="J82" s="873">
        <f t="shared" si="35"/>
        <v>297.14756445739289</v>
      </c>
      <c r="K82" s="721">
        <f t="shared" si="35"/>
        <v>291.64233088636797</v>
      </c>
      <c r="L82" s="721">
        <f t="shared" si="35"/>
        <v>311.34860000000003</v>
      </c>
      <c r="M82" s="721">
        <f t="shared" si="35"/>
        <v>318.5564144862775</v>
      </c>
      <c r="N82" s="721">
        <f t="shared" si="35"/>
        <v>323.35492315154215</v>
      </c>
      <c r="O82" s="721">
        <f t="shared" si="35"/>
        <v>329.99953918973853</v>
      </c>
      <c r="P82" s="721">
        <f t="shared" si="35"/>
        <v>346.61320988952764</v>
      </c>
      <c r="R82" s="376"/>
    </row>
    <row r="83" spans="2:18" s="2" customFormat="1">
      <c r="B83" s="389" t="s">
        <v>315</v>
      </c>
      <c r="C83" s="390"/>
      <c r="D83" s="874"/>
      <c r="E83" s="874"/>
      <c r="F83" s="874"/>
      <c r="G83" s="874"/>
      <c r="H83" s="716"/>
      <c r="I83" s="875"/>
      <c r="J83" s="875"/>
      <c r="K83" s="716"/>
      <c r="L83" s="716"/>
      <c r="M83" s="716"/>
      <c r="N83" s="716"/>
      <c r="O83" s="716"/>
      <c r="P83" s="716"/>
      <c r="R83" s="376"/>
    </row>
    <row r="84" spans="2:18" s="2" customFormat="1">
      <c r="B84" s="15"/>
      <c r="C84" s="382"/>
      <c r="D84" s="832"/>
      <c r="E84" s="832"/>
      <c r="F84" s="832"/>
      <c r="G84" s="832"/>
      <c r="H84" s="832"/>
      <c r="I84" s="832"/>
      <c r="J84" s="832"/>
      <c r="K84" s="832"/>
      <c r="L84" s="832"/>
      <c r="M84" s="832"/>
      <c r="N84" s="832"/>
      <c r="O84" s="832"/>
      <c r="P84" s="832"/>
      <c r="R84" s="376"/>
    </row>
    <row r="85" spans="2:18">
      <c r="B85" s="165" t="s">
        <v>97</v>
      </c>
      <c r="C85" s="166"/>
      <c r="D85" s="876"/>
      <c r="E85" s="876"/>
      <c r="F85" s="876"/>
      <c r="G85" s="877"/>
      <c r="H85" s="877">
        <f t="shared" ref="H85:N85" si="36">H86*H77</f>
        <v>0</v>
      </c>
      <c r="I85" s="878">
        <f t="shared" si="36"/>
        <v>9.5358829666980505</v>
      </c>
      <c r="J85" s="877">
        <f>J86*J77</f>
        <v>29.647564457392914</v>
      </c>
      <c r="K85" s="877">
        <f t="shared" si="36"/>
        <v>44.912330886367947</v>
      </c>
      <c r="L85" s="877">
        <f t="shared" si="36"/>
        <v>56.304000000000009</v>
      </c>
      <c r="M85" s="877">
        <f t="shared" si="36"/>
        <v>63.090452486277464</v>
      </c>
      <c r="N85" s="877">
        <f t="shared" si="36"/>
        <v>73.479641911542103</v>
      </c>
      <c r="O85" s="877">
        <f>O86*O77</f>
        <v>75.626752324938494</v>
      </c>
      <c r="P85" s="877">
        <f>P86*P77</f>
        <v>87.652967287431636</v>
      </c>
      <c r="R85" s="242"/>
    </row>
    <row r="86" spans="2:18" hidden="1" outlineLevel="1">
      <c r="B86" s="383" t="s">
        <v>258</v>
      </c>
      <c r="C86" s="384"/>
      <c r="D86" s="879"/>
      <c r="E86" s="879"/>
      <c r="F86" s="879"/>
      <c r="G86" s="880"/>
      <c r="H86" s="881"/>
      <c r="I86" s="881">
        <v>0.08</v>
      </c>
      <c r="J86" s="881">
        <v>0.1</v>
      </c>
      <c r="K86" s="881">
        <v>0.1</v>
      </c>
      <c r="L86" s="881">
        <v>0.09</v>
      </c>
      <c r="M86" s="881">
        <v>0.09</v>
      </c>
      <c r="N86" s="881">
        <v>0.09</v>
      </c>
      <c r="O86" s="881">
        <v>0.08</v>
      </c>
      <c r="P86" s="881">
        <v>0.08</v>
      </c>
      <c r="R86" s="242"/>
    </row>
    <row r="87" spans="2:18" hidden="1" outlineLevel="1">
      <c r="B87" s="139" t="s">
        <v>278</v>
      </c>
      <c r="C87" s="385"/>
      <c r="D87" s="882"/>
      <c r="E87" s="882"/>
      <c r="F87" s="882"/>
      <c r="G87" s="883"/>
      <c r="H87" s="884">
        <f t="shared" ref="H87:N87" si="37">H85*0.5</f>
        <v>0</v>
      </c>
      <c r="I87" s="884">
        <f t="shared" si="37"/>
        <v>4.7679414833490252</v>
      </c>
      <c r="J87" s="884">
        <f t="shared" si="37"/>
        <v>14.823782228696457</v>
      </c>
      <c r="K87" s="884">
        <f t="shared" si="37"/>
        <v>22.456165443183973</v>
      </c>
      <c r="L87" s="884">
        <f t="shared" si="37"/>
        <v>28.152000000000005</v>
      </c>
      <c r="M87" s="885">
        <f t="shared" si="37"/>
        <v>31.545226243138732</v>
      </c>
      <c r="N87" s="885">
        <f t="shared" si="37"/>
        <v>36.739820955771052</v>
      </c>
      <c r="O87" s="885">
        <f>O85*0.5</f>
        <v>37.813376162469247</v>
      </c>
      <c r="P87" s="885">
        <f>P85*0.5</f>
        <v>43.826483643715818</v>
      </c>
      <c r="R87" s="242"/>
    </row>
    <row r="88" spans="2:18" collapsed="1">
      <c r="B88" s="138"/>
      <c r="C88" s="152"/>
      <c r="D88" s="886"/>
      <c r="E88" s="886"/>
      <c r="F88" s="886"/>
      <c r="G88" s="887"/>
      <c r="H88" s="888"/>
      <c r="I88" s="888"/>
      <c r="J88" s="888"/>
      <c r="K88" s="888"/>
      <c r="L88" s="888"/>
      <c r="M88" s="889"/>
      <c r="N88" s="889"/>
      <c r="O88" s="889"/>
      <c r="P88" s="889"/>
      <c r="R88" s="242"/>
    </row>
    <row r="89" spans="2:18">
      <c r="B89" s="212" t="s">
        <v>15</v>
      </c>
      <c r="C89" s="212"/>
      <c r="D89" s="890"/>
      <c r="E89" s="890"/>
      <c r="F89" s="890"/>
      <c r="G89" s="891"/>
      <c r="H89" s="716">
        <f t="shared" ref="H89:P89" si="38">H92+H98+H105</f>
        <v>61.666666666666664</v>
      </c>
      <c r="I89" s="892">
        <f t="shared" si="38"/>
        <v>255</v>
      </c>
      <c r="J89" s="716">
        <f t="shared" si="38"/>
        <v>267.5</v>
      </c>
      <c r="K89" s="716">
        <f t="shared" si="38"/>
        <v>246.73000000000002</v>
      </c>
      <c r="L89" s="716">
        <f t="shared" si="38"/>
        <v>255.04460000000003</v>
      </c>
      <c r="M89" s="891">
        <f t="shared" si="38"/>
        <v>255.46596200000002</v>
      </c>
      <c r="N89" s="891">
        <f t="shared" si="38"/>
        <v>249.87528124000002</v>
      </c>
      <c r="O89" s="891">
        <f t="shared" si="38"/>
        <v>254.37278686480002</v>
      </c>
      <c r="P89" s="891">
        <f t="shared" si="38"/>
        <v>258.960242602096</v>
      </c>
      <c r="R89" s="242"/>
    </row>
    <row r="90" spans="2:18">
      <c r="B90" s="394" t="s">
        <v>315</v>
      </c>
      <c r="C90" s="165"/>
      <c r="D90" s="893"/>
      <c r="E90" s="893"/>
      <c r="F90" s="893"/>
      <c r="G90" s="894"/>
      <c r="H90" s="718"/>
      <c r="I90" s="870">
        <v>255.5</v>
      </c>
      <c r="J90" s="895">
        <f>IS!AI13</f>
        <v>268.41399999999999</v>
      </c>
      <c r="K90" s="895">
        <f>IS!AN13</f>
        <v>247.23600000000002</v>
      </c>
      <c r="L90" s="718"/>
      <c r="M90" s="894"/>
      <c r="N90" s="894"/>
      <c r="O90" s="894"/>
      <c r="P90" s="894"/>
      <c r="R90" s="242"/>
    </row>
    <row r="91" spans="2:18" ht="12.75" hidden="1" customHeight="1" outlineLevel="1">
      <c r="B91" s="394"/>
      <c r="C91" s="165"/>
      <c r="D91" s="893"/>
      <c r="E91" s="893"/>
      <c r="F91" s="893"/>
      <c r="G91" s="894"/>
      <c r="H91" s="718"/>
      <c r="I91" s="896"/>
      <c r="J91" s="718"/>
      <c r="K91" s="718"/>
      <c r="L91" s="718"/>
      <c r="M91" s="894"/>
      <c r="N91" s="894"/>
      <c r="O91" s="894"/>
      <c r="P91" s="894"/>
      <c r="R91" s="242"/>
    </row>
    <row r="92" spans="2:18" ht="12.75" hidden="1" customHeight="1" outlineLevel="1">
      <c r="B92" s="138" t="s">
        <v>354</v>
      </c>
      <c r="C92" s="138"/>
      <c r="D92" s="897"/>
      <c r="E92" s="897"/>
      <c r="F92" s="897"/>
      <c r="G92" s="898"/>
      <c r="H92" s="899">
        <f>H93*H94*H95</f>
        <v>46.666666666666664</v>
      </c>
      <c r="I92" s="899">
        <f t="shared" ref="I92:N92" si="39">I93*I94*I95</f>
        <v>210</v>
      </c>
      <c r="J92" s="899">
        <f t="shared" si="39"/>
        <v>210</v>
      </c>
      <c r="K92" s="899">
        <f t="shared" si="39"/>
        <v>192.78</v>
      </c>
      <c r="L92" s="899">
        <f t="shared" si="39"/>
        <v>196.63560000000004</v>
      </c>
      <c r="M92" s="898">
        <f t="shared" si="39"/>
        <v>200.56831200000002</v>
      </c>
      <c r="N92" s="898">
        <f t="shared" si="39"/>
        <v>204.57967824000002</v>
      </c>
      <c r="O92" s="898">
        <f>O93*O94*O95</f>
        <v>208.67127180480003</v>
      </c>
      <c r="P92" s="898">
        <f>P93*P94*P95</f>
        <v>212.84469724089601</v>
      </c>
      <c r="R92" s="242"/>
    </row>
    <row r="93" spans="2:18" ht="12.75" hidden="1" customHeight="1" outlineLevel="1">
      <c r="B93" s="138" t="s">
        <v>259</v>
      </c>
      <c r="C93" s="138"/>
      <c r="D93" s="897"/>
      <c r="E93" s="897"/>
      <c r="F93" s="897"/>
      <c r="G93" s="897"/>
      <c r="H93" s="900">
        <v>1400</v>
      </c>
      <c r="I93" s="900">
        <f>H93</f>
        <v>1400</v>
      </c>
      <c r="J93" s="900">
        <f t="shared" ref="J93:P93" si="40">I93</f>
        <v>1400</v>
      </c>
      <c r="K93" s="900">
        <f t="shared" si="40"/>
        <v>1400</v>
      </c>
      <c r="L93" s="900">
        <f t="shared" si="40"/>
        <v>1400</v>
      </c>
      <c r="M93" s="900">
        <f t="shared" si="40"/>
        <v>1400</v>
      </c>
      <c r="N93" s="900">
        <f t="shared" si="40"/>
        <v>1400</v>
      </c>
      <c r="O93" s="900">
        <f t="shared" si="40"/>
        <v>1400</v>
      </c>
      <c r="P93" s="900">
        <f t="shared" si="40"/>
        <v>1400</v>
      </c>
      <c r="R93" s="242"/>
    </row>
    <row r="94" spans="2:18" ht="12.75" hidden="1" customHeight="1" outlineLevel="1">
      <c r="B94" s="138" t="s">
        <v>214</v>
      </c>
      <c r="C94" s="138"/>
      <c r="D94" s="898"/>
      <c r="E94" s="898"/>
      <c r="F94" s="898"/>
      <c r="G94" s="898"/>
      <c r="H94" s="901">
        <v>0.05</v>
      </c>
      <c r="I94" s="901">
        <v>0.22500000000000001</v>
      </c>
      <c r="J94" s="901">
        <f>I94*1</f>
        <v>0.22500000000000001</v>
      </c>
      <c r="K94" s="901">
        <f t="shared" ref="K94:P94" si="41">J94*1.02</f>
        <v>0.22950000000000001</v>
      </c>
      <c r="L94" s="901">
        <f t="shared" si="41"/>
        <v>0.23409000000000002</v>
      </c>
      <c r="M94" s="902">
        <f t="shared" si="41"/>
        <v>0.23877180000000003</v>
      </c>
      <c r="N94" s="902">
        <f t="shared" si="41"/>
        <v>0.24354723600000003</v>
      </c>
      <c r="O94" s="902">
        <f t="shared" si="41"/>
        <v>0.24841818072000002</v>
      </c>
      <c r="P94" s="902">
        <f t="shared" si="41"/>
        <v>0.2533865443344</v>
      </c>
      <c r="R94" s="242"/>
    </row>
    <row r="95" spans="2:18" ht="12.75" hidden="1" customHeight="1" outlineLevel="1">
      <c r="B95" s="138" t="s">
        <v>318</v>
      </c>
      <c r="C95" s="138"/>
      <c r="D95" s="898"/>
      <c r="E95" s="898"/>
      <c r="F95" s="898"/>
      <c r="G95" s="898"/>
      <c r="H95" s="903">
        <f>2/3</f>
        <v>0.66666666666666663</v>
      </c>
      <c r="I95" s="903">
        <f t="shared" ref="I95:N95" si="42">+H95</f>
        <v>0.66666666666666663</v>
      </c>
      <c r="J95" s="903">
        <f t="shared" si="42"/>
        <v>0.66666666666666663</v>
      </c>
      <c r="K95" s="903">
        <v>0.6</v>
      </c>
      <c r="L95" s="903">
        <f t="shared" si="42"/>
        <v>0.6</v>
      </c>
      <c r="M95" s="904">
        <f t="shared" si="42"/>
        <v>0.6</v>
      </c>
      <c r="N95" s="904">
        <f t="shared" si="42"/>
        <v>0.6</v>
      </c>
      <c r="O95" s="904">
        <f>+N95</f>
        <v>0.6</v>
      </c>
      <c r="P95" s="904">
        <f>+O95</f>
        <v>0.6</v>
      </c>
      <c r="R95" s="242"/>
    </row>
    <row r="96" spans="2:18" ht="12.75" hidden="1" customHeight="1" outlineLevel="1">
      <c r="B96" s="138" t="s">
        <v>278</v>
      </c>
      <c r="C96" s="168"/>
      <c r="D96" s="905"/>
      <c r="E96" s="905"/>
      <c r="F96" s="905"/>
      <c r="G96" s="905"/>
      <c r="H96" s="906">
        <f t="shared" ref="H96:P96" si="43">H92/2</f>
        <v>23.333333333333332</v>
      </c>
      <c r="I96" s="906">
        <f t="shared" si="43"/>
        <v>105</v>
      </c>
      <c r="J96" s="906">
        <f t="shared" si="43"/>
        <v>105</v>
      </c>
      <c r="K96" s="906">
        <f t="shared" si="43"/>
        <v>96.39</v>
      </c>
      <c r="L96" s="906">
        <f t="shared" si="43"/>
        <v>98.31780000000002</v>
      </c>
      <c r="M96" s="906">
        <f t="shared" si="43"/>
        <v>100.28415600000001</v>
      </c>
      <c r="N96" s="906">
        <f t="shared" si="43"/>
        <v>102.28983912000001</v>
      </c>
      <c r="O96" s="906">
        <f t="shared" si="43"/>
        <v>104.33563590240001</v>
      </c>
      <c r="P96" s="906">
        <f t="shared" si="43"/>
        <v>106.42234862044801</v>
      </c>
      <c r="R96" s="243"/>
    </row>
    <row r="97" spans="1:18" ht="12.75" hidden="1" customHeight="1" outlineLevel="1">
      <c r="B97" s="138"/>
      <c r="C97" s="138"/>
      <c r="D97" s="898"/>
      <c r="E97" s="898"/>
      <c r="F97" s="898"/>
      <c r="G97" s="898"/>
      <c r="H97" s="678"/>
      <c r="I97" s="678"/>
      <c r="J97" s="678"/>
      <c r="K97" s="678"/>
      <c r="L97" s="678"/>
      <c r="M97" s="907"/>
      <c r="N97" s="907"/>
      <c r="O97" s="907"/>
      <c r="P97" s="907"/>
      <c r="R97" s="242"/>
    </row>
    <row r="98" spans="1:18" ht="12.75" hidden="1" customHeight="1" outlineLevel="1">
      <c r="B98" s="138" t="s">
        <v>356</v>
      </c>
      <c r="C98" s="138"/>
      <c r="D98" s="898"/>
      <c r="E98" s="898"/>
      <c r="F98" s="898"/>
      <c r="G98" s="898"/>
      <c r="H98" s="899">
        <f>H100*H101*H102</f>
        <v>5</v>
      </c>
      <c r="I98" s="899">
        <f t="shared" ref="I98:N98" si="44">I100*I101*I102</f>
        <v>22.5</v>
      </c>
      <c r="J98" s="899">
        <f>J100*J101*J102</f>
        <v>22.5</v>
      </c>
      <c r="K98" s="899">
        <f t="shared" si="44"/>
        <v>22.950000000000003</v>
      </c>
      <c r="L98" s="899">
        <f t="shared" si="44"/>
        <v>23.408999999999999</v>
      </c>
      <c r="M98" s="898">
        <f t="shared" si="44"/>
        <v>19.897650000000002</v>
      </c>
      <c r="N98" s="898">
        <f t="shared" si="44"/>
        <v>20.295603</v>
      </c>
      <c r="O98" s="898">
        <f>O100*O101*O102</f>
        <v>20.701515059999998</v>
      </c>
      <c r="P98" s="898">
        <f>P100*P101*P102</f>
        <v>21.115545361199999</v>
      </c>
      <c r="R98" s="242"/>
    </row>
    <row r="99" spans="1:18" ht="12.75" hidden="1" customHeight="1" outlineLevel="1">
      <c r="B99" s="20" t="s">
        <v>357</v>
      </c>
      <c r="C99" s="20"/>
      <c r="D99" s="899"/>
      <c r="E99" s="899"/>
      <c r="F99" s="899"/>
      <c r="G99" s="899"/>
      <c r="H99" s="899">
        <f>H100*H101</f>
        <v>7.5</v>
      </c>
      <c r="I99" s="899">
        <f t="shared" ref="I99:N99" si="45">I100*I101</f>
        <v>33.75</v>
      </c>
      <c r="J99" s="899">
        <f t="shared" si="45"/>
        <v>33.75</v>
      </c>
      <c r="K99" s="899">
        <f t="shared" si="45"/>
        <v>34.425000000000004</v>
      </c>
      <c r="L99" s="899">
        <f t="shared" si="45"/>
        <v>35.113500000000002</v>
      </c>
      <c r="M99" s="899">
        <f t="shared" si="45"/>
        <v>29.846475000000005</v>
      </c>
      <c r="N99" s="899">
        <f t="shared" si="45"/>
        <v>30.443404500000003</v>
      </c>
      <c r="O99" s="899">
        <f>O100*O101</f>
        <v>31.052272590000001</v>
      </c>
      <c r="P99" s="899">
        <f>P100*P101</f>
        <v>31.673318041799998</v>
      </c>
      <c r="R99" s="242"/>
    </row>
    <row r="100" spans="1:18" ht="12.75" hidden="1" customHeight="1" outlineLevel="1">
      <c r="B100" s="138" t="s">
        <v>261</v>
      </c>
      <c r="C100" s="138"/>
      <c r="D100" s="898"/>
      <c r="E100" s="898"/>
      <c r="F100" s="898"/>
      <c r="G100" s="898"/>
      <c r="H100" s="908">
        <v>150</v>
      </c>
      <c r="I100" s="908">
        <f>H100</f>
        <v>150</v>
      </c>
      <c r="J100" s="908">
        <f>I100</f>
        <v>150</v>
      </c>
      <c r="K100" s="908">
        <f>J100</f>
        <v>150</v>
      </c>
      <c r="L100" s="908">
        <f>K100</f>
        <v>150</v>
      </c>
      <c r="M100" s="909">
        <v>125</v>
      </c>
      <c r="N100" s="909">
        <f>M100</f>
        <v>125</v>
      </c>
      <c r="O100" s="909">
        <f>N100</f>
        <v>125</v>
      </c>
      <c r="P100" s="909">
        <f>O100</f>
        <v>125</v>
      </c>
      <c r="R100" s="242"/>
    </row>
    <row r="101" spans="1:18" ht="12.75" hidden="1" customHeight="1" outlineLevel="1">
      <c r="B101" s="138" t="s">
        <v>214</v>
      </c>
      <c r="C101" s="138"/>
      <c r="D101" s="898"/>
      <c r="E101" s="898"/>
      <c r="F101" s="898"/>
      <c r="G101" s="898"/>
      <c r="H101" s="901">
        <v>0.05</v>
      </c>
      <c r="I101" s="901">
        <f t="shared" ref="I101:P101" si="46">I94</f>
        <v>0.22500000000000001</v>
      </c>
      <c r="J101" s="901">
        <f t="shared" si="46"/>
        <v>0.22500000000000001</v>
      </c>
      <c r="K101" s="901">
        <f t="shared" si="46"/>
        <v>0.22950000000000001</v>
      </c>
      <c r="L101" s="901">
        <f t="shared" si="46"/>
        <v>0.23409000000000002</v>
      </c>
      <c r="M101" s="902">
        <f t="shared" si="46"/>
        <v>0.23877180000000003</v>
      </c>
      <c r="N101" s="902">
        <f t="shared" si="46"/>
        <v>0.24354723600000003</v>
      </c>
      <c r="O101" s="902">
        <f t="shared" si="46"/>
        <v>0.24841818072000002</v>
      </c>
      <c r="P101" s="902">
        <f t="shared" si="46"/>
        <v>0.2533865443344</v>
      </c>
      <c r="R101" s="242"/>
    </row>
    <row r="102" spans="1:18" ht="12.75" hidden="1" customHeight="1" outlineLevel="1">
      <c r="B102" s="138" t="s">
        <v>439</v>
      </c>
      <c r="C102" s="138"/>
      <c r="D102" s="898"/>
      <c r="E102" s="898"/>
      <c r="F102" s="898"/>
      <c r="G102" s="898"/>
      <c r="H102" s="910">
        <f>H95</f>
        <v>0.66666666666666663</v>
      </c>
      <c r="I102" s="910">
        <f>H102</f>
        <v>0.66666666666666663</v>
      </c>
      <c r="J102" s="910">
        <f t="shared" ref="J102:P102" si="47">I102</f>
        <v>0.66666666666666663</v>
      </c>
      <c r="K102" s="910">
        <f t="shared" si="47"/>
        <v>0.66666666666666663</v>
      </c>
      <c r="L102" s="910">
        <f t="shared" si="47"/>
        <v>0.66666666666666663</v>
      </c>
      <c r="M102" s="910">
        <f t="shared" si="47"/>
        <v>0.66666666666666663</v>
      </c>
      <c r="N102" s="910">
        <f t="shared" si="47"/>
        <v>0.66666666666666663</v>
      </c>
      <c r="O102" s="910">
        <f t="shared" si="47"/>
        <v>0.66666666666666663</v>
      </c>
      <c r="P102" s="910">
        <f t="shared" si="47"/>
        <v>0.66666666666666663</v>
      </c>
      <c r="R102" s="242"/>
    </row>
    <row r="103" spans="1:18" ht="12.75" hidden="1" customHeight="1" outlineLevel="1">
      <c r="B103" s="138" t="s">
        <v>277</v>
      </c>
      <c r="C103" s="168"/>
      <c r="D103" s="905"/>
      <c r="E103" s="905"/>
      <c r="F103" s="905"/>
      <c r="G103" s="905"/>
      <c r="H103" s="911">
        <f>H98/2</f>
        <v>2.5</v>
      </c>
      <c r="I103" s="911">
        <f>I98/2</f>
        <v>11.25</v>
      </c>
      <c r="J103" s="911">
        <f t="shared" ref="J103:P103" si="48">J98/2</f>
        <v>11.25</v>
      </c>
      <c r="K103" s="911">
        <f t="shared" si="48"/>
        <v>11.475000000000001</v>
      </c>
      <c r="L103" s="911">
        <f t="shared" si="48"/>
        <v>11.704499999999999</v>
      </c>
      <c r="M103" s="911">
        <f t="shared" si="48"/>
        <v>9.9488250000000011</v>
      </c>
      <c r="N103" s="911">
        <f t="shared" si="48"/>
        <v>10.1478015</v>
      </c>
      <c r="O103" s="911">
        <f t="shared" si="48"/>
        <v>10.350757529999999</v>
      </c>
      <c r="P103" s="911">
        <f t="shared" si="48"/>
        <v>10.557772680599999</v>
      </c>
      <c r="R103" s="243"/>
    </row>
    <row r="104" spans="1:18" ht="12.75" hidden="1" customHeight="1" outlineLevel="1">
      <c r="B104" s="138"/>
      <c r="C104" s="138"/>
      <c r="D104" s="898"/>
      <c r="E104" s="898"/>
      <c r="F104" s="898"/>
      <c r="G104" s="898"/>
      <c r="H104" s="901"/>
      <c r="I104" s="901"/>
      <c r="J104" s="901"/>
      <c r="K104" s="901"/>
      <c r="L104" s="901"/>
      <c r="M104" s="902"/>
      <c r="N104" s="902"/>
      <c r="O104" s="902"/>
      <c r="P104" s="902"/>
      <c r="R104" s="242"/>
    </row>
    <row r="105" spans="1:18" ht="12.75" hidden="1" customHeight="1" outlineLevel="1">
      <c r="B105" s="138" t="s">
        <v>260</v>
      </c>
      <c r="C105" s="138"/>
      <c r="D105" s="897"/>
      <c r="E105" s="897"/>
      <c r="F105" s="897"/>
      <c r="G105" s="898"/>
      <c r="H105" s="899">
        <v>10</v>
      </c>
      <c r="I105" s="899">
        <v>22.5</v>
      </c>
      <c r="J105" s="912">
        <v>35</v>
      </c>
      <c r="K105" s="913">
        <f t="shared" ref="K105:P105" si="49">+CHOOSE($C$2,K106,K107,K108)</f>
        <v>31</v>
      </c>
      <c r="L105" s="913">
        <f t="shared" si="49"/>
        <v>35</v>
      </c>
      <c r="M105" s="914">
        <f t="shared" si="49"/>
        <v>35</v>
      </c>
      <c r="N105" s="914">
        <f t="shared" si="49"/>
        <v>25</v>
      </c>
      <c r="O105" s="914">
        <f t="shared" si="49"/>
        <v>25</v>
      </c>
      <c r="P105" s="914">
        <f t="shared" si="49"/>
        <v>25</v>
      </c>
      <c r="R105" s="242"/>
    </row>
    <row r="106" spans="1:18" ht="12.75" hidden="1" customHeight="1" outlineLevel="1">
      <c r="B106" s="138" t="s">
        <v>381</v>
      </c>
      <c r="C106" s="138"/>
      <c r="D106" s="897"/>
      <c r="E106" s="897"/>
      <c r="F106" s="897"/>
      <c r="G106" s="915"/>
      <c r="H106" s="899"/>
      <c r="I106" s="916"/>
      <c r="J106" s="916"/>
      <c r="K106" s="916">
        <f t="shared" ref="K106:P106" si="50">K107</f>
        <v>31</v>
      </c>
      <c r="L106" s="916">
        <f t="shared" si="50"/>
        <v>35</v>
      </c>
      <c r="M106" s="905">
        <f t="shared" si="50"/>
        <v>35</v>
      </c>
      <c r="N106" s="905">
        <v>20</v>
      </c>
      <c r="O106" s="905">
        <f t="shared" si="50"/>
        <v>25</v>
      </c>
      <c r="P106" s="905">
        <f t="shared" si="50"/>
        <v>25</v>
      </c>
      <c r="R106" s="242"/>
    </row>
    <row r="107" spans="1:18" ht="12.75" hidden="1" customHeight="1" outlineLevel="1">
      <c r="B107" s="138" t="s">
        <v>382</v>
      </c>
      <c r="C107" s="138"/>
      <c r="D107" s="897"/>
      <c r="E107" s="897"/>
      <c r="F107" s="897"/>
      <c r="G107" s="898"/>
      <c r="H107" s="899"/>
      <c r="I107" s="916"/>
      <c r="J107" s="916"/>
      <c r="K107" s="916">
        <v>31</v>
      </c>
      <c r="L107" s="916">
        <v>35</v>
      </c>
      <c r="M107" s="916">
        <v>35</v>
      </c>
      <c r="N107" s="916">
        <v>25</v>
      </c>
      <c r="O107" s="916">
        <v>25</v>
      </c>
      <c r="P107" s="916">
        <v>25</v>
      </c>
      <c r="R107" s="242"/>
    </row>
    <row r="108" spans="1:18" ht="12.75" hidden="1" customHeight="1" outlineLevel="1">
      <c r="B108" s="138" t="s">
        <v>383</v>
      </c>
      <c r="C108" s="138"/>
      <c r="D108" s="897"/>
      <c r="E108" s="897"/>
      <c r="F108" s="897"/>
      <c r="G108" s="898"/>
      <c r="H108" s="899"/>
      <c r="I108" s="916"/>
      <c r="J108" s="916"/>
      <c r="K108" s="916">
        <v>50</v>
      </c>
      <c r="L108" s="916">
        <v>45</v>
      </c>
      <c r="M108" s="905">
        <v>40</v>
      </c>
      <c r="N108" s="905">
        <v>25</v>
      </c>
      <c r="O108" s="905">
        <v>25</v>
      </c>
      <c r="P108" s="905">
        <v>25</v>
      </c>
      <c r="R108" s="242"/>
    </row>
    <row r="109" spans="1:18" ht="12.75" hidden="1" customHeight="1" outlineLevel="1">
      <c r="B109" s="138" t="s">
        <v>273</v>
      </c>
      <c r="C109" s="167"/>
      <c r="D109" s="917"/>
      <c r="E109" s="917"/>
      <c r="F109" s="917"/>
      <c r="G109" s="918"/>
      <c r="H109" s="828">
        <v>0.5</v>
      </c>
      <c r="I109" s="828">
        <v>0.5</v>
      </c>
      <c r="J109" s="828">
        <v>0.5</v>
      </c>
      <c r="K109" s="828">
        <v>0.5</v>
      </c>
      <c r="L109" s="828">
        <v>0.5</v>
      </c>
      <c r="M109" s="919">
        <v>0.5</v>
      </c>
      <c r="N109" s="919">
        <v>0.5</v>
      </c>
      <c r="O109" s="919">
        <v>0.5</v>
      </c>
      <c r="P109" s="919">
        <v>0.5</v>
      </c>
      <c r="R109" s="242"/>
    </row>
    <row r="110" spans="1:18" ht="12.75" hidden="1" customHeight="1" outlineLevel="1">
      <c r="B110" s="138" t="s">
        <v>274</v>
      </c>
      <c r="C110" s="167"/>
      <c r="D110" s="917"/>
      <c r="E110" s="917"/>
      <c r="F110" s="917"/>
      <c r="G110" s="918"/>
      <c r="H110" s="828">
        <v>0.5</v>
      </c>
      <c r="I110" s="828">
        <v>0.5</v>
      </c>
      <c r="J110" s="828">
        <v>0.5</v>
      </c>
      <c r="K110" s="828">
        <v>0.5</v>
      </c>
      <c r="L110" s="828">
        <v>0.5</v>
      </c>
      <c r="M110" s="919">
        <v>0.5</v>
      </c>
      <c r="N110" s="919">
        <v>0.5</v>
      </c>
      <c r="O110" s="919">
        <v>0.5</v>
      </c>
      <c r="P110" s="919">
        <v>0.5</v>
      </c>
      <c r="R110" s="242"/>
    </row>
    <row r="111" spans="1:18" ht="12.75" hidden="1" customHeight="1" outlineLevel="1">
      <c r="A111" s="2"/>
      <c r="B111" s="138" t="s">
        <v>279</v>
      </c>
      <c r="C111" s="158"/>
      <c r="D111" s="920"/>
      <c r="E111" s="920"/>
      <c r="F111" s="920"/>
      <c r="G111" s="921"/>
      <c r="H111" s="844">
        <f t="shared" ref="H111:N111" si="51">H110*H105</f>
        <v>5</v>
      </c>
      <c r="I111" s="844">
        <f t="shared" si="51"/>
        <v>11.25</v>
      </c>
      <c r="J111" s="844">
        <f t="shared" si="51"/>
        <v>17.5</v>
      </c>
      <c r="K111" s="844">
        <f t="shared" si="51"/>
        <v>15.5</v>
      </c>
      <c r="L111" s="844">
        <f t="shared" si="51"/>
        <v>17.5</v>
      </c>
      <c r="M111" s="844">
        <f t="shared" si="51"/>
        <v>17.5</v>
      </c>
      <c r="N111" s="844">
        <f t="shared" si="51"/>
        <v>12.5</v>
      </c>
      <c r="O111" s="844">
        <f>O110*O105</f>
        <v>12.5</v>
      </c>
      <c r="P111" s="844">
        <f>P110*P105</f>
        <v>12.5</v>
      </c>
      <c r="Q111" s="214"/>
      <c r="R111" s="242"/>
    </row>
    <row r="112" spans="1:18" ht="12.75" hidden="1" customHeight="1" outlineLevel="1">
      <c r="A112" s="2"/>
      <c r="B112" s="138" t="s">
        <v>275</v>
      </c>
      <c r="C112" s="158"/>
      <c r="D112" s="920"/>
      <c r="E112" s="920"/>
      <c r="F112" s="920"/>
      <c r="G112" s="922"/>
      <c r="H112" s="844">
        <f t="shared" ref="H112:N112" si="52">H105*H109</f>
        <v>5</v>
      </c>
      <c r="I112" s="844">
        <f t="shared" si="52"/>
        <v>11.25</v>
      </c>
      <c r="J112" s="844">
        <f t="shared" si="52"/>
        <v>17.5</v>
      </c>
      <c r="K112" s="844">
        <f t="shared" si="52"/>
        <v>15.5</v>
      </c>
      <c r="L112" s="844">
        <f t="shared" si="52"/>
        <v>17.5</v>
      </c>
      <c r="M112" s="923">
        <f t="shared" si="52"/>
        <v>17.5</v>
      </c>
      <c r="N112" s="923">
        <f t="shared" si="52"/>
        <v>12.5</v>
      </c>
      <c r="O112" s="923">
        <f>O105*O109</f>
        <v>12.5</v>
      </c>
      <c r="P112" s="923">
        <f>P105*P109</f>
        <v>12.5</v>
      </c>
      <c r="R112" s="242"/>
    </row>
    <row r="113" spans="1:21" ht="12.75" hidden="1" customHeight="1" outlineLevel="1">
      <c r="A113" s="2"/>
      <c r="B113" s="12" t="s">
        <v>276</v>
      </c>
      <c r="C113" s="12"/>
      <c r="D113" s="610"/>
      <c r="E113" s="610"/>
      <c r="F113" s="610"/>
      <c r="G113" s="921"/>
      <c r="H113" s="844">
        <f t="shared" ref="H113:N113" si="53">H105/2</f>
        <v>5</v>
      </c>
      <c r="I113" s="844">
        <f t="shared" si="53"/>
        <v>11.25</v>
      </c>
      <c r="J113" s="844">
        <f t="shared" si="53"/>
        <v>17.5</v>
      </c>
      <c r="K113" s="844">
        <f t="shared" si="53"/>
        <v>15.5</v>
      </c>
      <c r="L113" s="844">
        <f t="shared" si="53"/>
        <v>17.5</v>
      </c>
      <c r="M113" s="844">
        <f t="shared" si="53"/>
        <v>17.5</v>
      </c>
      <c r="N113" s="844">
        <f t="shared" si="53"/>
        <v>12.5</v>
      </c>
      <c r="O113" s="844">
        <f>O105/2</f>
        <v>12.5</v>
      </c>
      <c r="P113" s="844">
        <f>P105/2</f>
        <v>12.5</v>
      </c>
      <c r="R113" s="242"/>
    </row>
    <row r="114" spans="1:21" ht="12.75" hidden="1" customHeight="1" outlineLevel="1">
      <c r="A114" s="2"/>
      <c r="B114" s="43" t="s">
        <v>277</v>
      </c>
      <c r="C114" s="43"/>
      <c r="D114" s="924"/>
      <c r="E114" s="924"/>
      <c r="F114" s="924"/>
      <c r="G114" s="850"/>
      <c r="H114" s="925">
        <f t="shared" ref="H114:N114" si="54">H111-H113</f>
        <v>0</v>
      </c>
      <c r="I114" s="925">
        <f t="shared" si="54"/>
        <v>0</v>
      </c>
      <c r="J114" s="925">
        <f t="shared" si="54"/>
        <v>0</v>
      </c>
      <c r="K114" s="925">
        <f t="shared" si="54"/>
        <v>0</v>
      </c>
      <c r="L114" s="925">
        <f t="shared" si="54"/>
        <v>0</v>
      </c>
      <c r="M114" s="925">
        <f t="shared" si="54"/>
        <v>0</v>
      </c>
      <c r="N114" s="925">
        <f t="shared" si="54"/>
        <v>0</v>
      </c>
      <c r="O114" s="925">
        <f>O111-O113</f>
        <v>0</v>
      </c>
      <c r="P114" s="925">
        <f>P111-P113</f>
        <v>0</v>
      </c>
      <c r="R114" s="242"/>
    </row>
    <row r="115" spans="1:21" collapsed="1">
      <c r="A115" s="2"/>
      <c r="B115" s="12"/>
      <c r="C115" s="14"/>
      <c r="D115" s="926"/>
      <c r="E115" s="926"/>
      <c r="F115" s="926"/>
      <c r="G115" s="852"/>
      <c r="H115" s="927"/>
      <c r="I115" s="927"/>
      <c r="J115" s="927"/>
      <c r="K115" s="927"/>
      <c r="L115" s="927"/>
      <c r="M115" s="927"/>
      <c r="N115" s="927"/>
      <c r="O115" s="927"/>
      <c r="P115" s="927"/>
      <c r="R115" s="242"/>
    </row>
    <row r="116" spans="1:21">
      <c r="B116" s="220" t="s">
        <v>434</v>
      </c>
      <c r="C116" s="175"/>
      <c r="D116" s="928"/>
      <c r="E116" s="928"/>
      <c r="F116" s="928"/>
      <c r="G116" s="928"/>
      <c r="H116" s="929">
        <f t="shared" ref="H116:P116" si="55">H77-H82</f>
        <v>-60.613995865794926</v>
      </c>
      <c r="I116" s="929">
        <f t="shared" si="55"/>
        <v>-145.33734588297244</v>
      </c>
      <c r="J116" s="929">
        <f t="shared" si="55"/>
        <v>-0.67191988346377229</v>
      </c>
      <c r="K116" s="929">
        <f t="shared" si="55"/>
        <v>157.48097797731145</v>
      </c>
      <c r="L116" s="929">
        <f t="shared" si="55"/>
        <v>314.2514000000001</v>
      </c>
      <c r="M116" s="929">
        <f t="shared" si="55"/>
        <v>382.44861313902766</v>
      </c>
      <c r="N116" s="929">
        <f t="shared" si="55"/>
        <v>493.08554253225907</v>
      </c>
      <c r="O116" s="929">
        <f t="shared" si="55"/>
        <v>615.33486487199275</v>
      </c>
      <c r="P116" s="930">
        <f t="shared" si="55"/>
        <v>749.04888120336784</v>
      </c>
      <c r="R116" s="244"/>
      <c r="S116" s="6"/>
    </row>
    <row r="117" spans="1:21">
      <c r="B117" s="392" t="s">
        <v>315</v>
      </c>
      <c r="C117" s="27"/>
      <c r="D117" s="931"/>
      <c r="E117" s="931"/>
      <c r="F117" s="931"/>
      <c r="G117" s="931"/>
      <c r="H117" s="932"/>
      <c r="I117" s="933"/>
      <c r="J117" s="933"/>
      <c r="K117" s="932"/>
      <c r="L117" s="932"/>
      <c r="M117" s="932"/>
      <c r="N117" s="932"/>
      <c r="O117" s="932"/>
      <c r="P117" s="932"/>
      <c r="R117" s="244"/>
      <c r="S117" s="6"/>
    </row>
    <row r="118" spans="1:21">
      <c r="B118" s="20"/>
      <c r="C118" s="27"/>
      <c r="D118" s="931"/>
      <c r="E118" s="931"/>
      <c r="F118" s="931"/>
      <c r="G118" s="931"/>
      <c r="H118" s="932"/>
      <c r="I118" s="934"/>
      <c r="J118" s="934"/>
      <c r="K118" s="932"/>
      <c r="L118" s="932"/>
      <c r="M118" s="932"/>
      <c r="N118" s="932"/>
      <c r="O118" s="932"/>
      <c r="P118" s="932"/>
      <c r="R118" s="244"/>
      <c r="S118" s="6"/>
    </row>
    <row r="119" spans="1:21">
      <c r="B119" s="20" t="s">
        <v>435</v>
      </c>
      <c r="C119" s="27"/>
      <c r="D119" s="931"/>
      <c r="E119" s="931"/>
      <c r="F119" s="931"/>
      <c r="G119" s="931"/>
      <c r="H119" s="932">
        <f>H116/2</f>
        <v>-30.306997932897463</v>
      </c>
      <c r="I119" s="934">
        <f>I116/2</f>
        <v>-72.668672941486221</v>
      </c>
      <c r="J119" s="934">
        <f t="shared" ref="J119:P119" si="56">J116/2</f>
        <v>-0.33595994173188615</v>
      </c>
      <c r="K119" s="932">
        <f t="shared" si="56"/>
        <v>78.740488988655727</v>
      </c>
      <c r="L119" s="932">
        <f t="shared" si="56"/>
        <v>157.12570000000005</v>
      </c>
      <c r="M119" s="932">
        <f t="shared" si="56"/>
        <v>191.22430656951383</v>
      </c>
      <c r="N119" s="932">
        <f t="shared" si="56"/>
        <v>246.54277126612953</v>
      </c>
      <c r="O119" s="932">
        <f t="shared" si="56"/>
        <v>307.66743243599637</v>
      </c>
      <c r="P119" s="932">
        <f t="shared" si="56"/>
        <v>374.52444060168392</v>
      </c>
      <c r="R119" s="244"/>
      <c r="S119" s="6"/>
    </row>
    <row r="120" spans="1:21">
      <c r="B120" s="392" t="s">
        <v>315</v>
      </c>
      <c r="C120" s="27"/>
      <c r="D120" s="931"/>
      <c r="E120" s="931"/>
      <c r="F120" s="931"/>
      <c r="G120" s="931"/>
      <c r="H120" s="932"/>
      <c r="I120" s="933"/>
      <c r="J120" s="933"/>
      <c r="K120" s="932"/>
      <c r="L120" s="932"/>
      <c r="M120" s="932"/>
      <c r="N120" s="932"/>
      <c r="O120" s="932"/>
      <c r="P120" s="932"/>
      <c r="R120" s="244"/>
      <c r="S120" s="6"/>
    </row>
    <row r="121" spans="1:21">
      <c r="B121" s="392"/>
      <c r="C121" s="27"/>
      <c r="D121" s="931"/>
      <c r="E121" s="931"/>
      <c r="F121" s="931"/>
      <c r="G121" s="931"/>
      <c r="H121" s="932"/>
      <c r="I121" s="935"/>
      <c r="J121" s="935"/>
      <c r="K121" s="932"/>
      <c r="L121" s="932"/>
      <c r="M121" s="932"/>
      <c r="N121" s="932"/>
      <c r="O121" s="932"/>
      <c r="P121" s="932"/>
      <c r="R121" s="244"/>
      <c r="S121" s="6"/>
    </row>
    <row r="122" spans="1:21">
      <c r="B122" s="20" t="s">
        <v>438</v>
      </c>
      <c r="C122" s="27"/>
      <c r="D122" s="931"/>
      <c r="E122" s="931"/>
      <c r="F122" s="931"/>
      <c r="G122" s="931"/>
      <c r="H122" s="762">
        <f>H103+H111</f>
        <v>7.5</v>
      </c>
      <c r="I122" s="762">
        <f>I98+I111</f>
        <v>33.75</v>
      </c>
      <c r="J122" s="762">
        <f t="shared" ref="J122:P122" si="57">J98+J111</f>
        <v>40</v>
      </c>
      <c r="K122" s="762">
        <f t="shared" si="57"/>
        <v>38.450000000000003</v>
      </c>
      <c r="L122" s="762">
        <f t="shared" si="57"/>
        <v>40.908999999999999</v>
      </c>
      <c r="M122" s="762">
        <f t="shared" si="57"/>
        <v>37.397649999999999</v>
      </c>
      <c r="N122" s="762">
        <f t="shared" si="57"/>
        <v>32.795603</v>
      </c>
      <c r="O122" s="762">
        <f t="shared" si="57"/>
        <v>33.201515059999998</v>
      </c>
      <c r="P122" s="762">
        <f t="shared" si="57"/>
        <v>33.615545361199999</v>
      </c>
      <c r="R122" s="244"/>
      <c r="S122" s="6"/>
    </row>
    <row r="123" spans="1:21">
      <c r="B123" s="392" t="s">
        <v>315</v>
      </c>
      <c r="C123" s="27"/>
      <c r="D123" s="931"/>
      <c r="E123" s="931"/>
      <c r="F123" s="931"/>
      <c r="G123" s="931"/>
      <c r="H123" s="936"/>
      <c r="I123" s="933"/>
      <c r="J123" s="933"/>
      <c r="K123" s="936"/>
      <c r="L123" s="936"/>
      <c r="M123" s="936"/>
      <c r="N123" s="936"/>
      <c r="O123" s="936"/>
      <c r="P123" s="936"/>
      <c r="R123" s="244"/>
      <c r="S123" s="6"/>
    </row>
    <row r="124" spans="1:21">
      <c r="B124" s="15"/>
      <c r="C124" s="27"/>
      <c r="D124" s="931"/>
      <c r="E124" s="931"/>
      <c r="F124" s="931"/>
      <c r="G124" s="931"/>
      <c r="H124" s="936"/>
      <c r="I124" s="936"/>
      <c r="J124" s="936"/>
      <c r="K124" s="936"/>
      <c r="L124" s="936"/>
      <c r="M124" s="936"/>
      <c r="N124" s="936"/>
      <c r="O124" s="936"/>
      <c r="P124" s="936"/>
      <c r="R124" s="244"/>
      <c r="S124" s="6"/>
    </row>
    <row r="125" spans="1:21">
      <c r="B125" s="220" t="s">
        <v>436</v>
      </c>
      <c r="C125" s="175"/>
      <c r="D125" s="928"/>
      <c r="E125" s="928"/>
      <c r="F125" s="928"/>
      <c r="G125" s="928"/>
      <c r="H125" s="929">
        <f>H122+H119</f>
        <v>-22.806997932897463</v>
      </c>
      <c r="I125" s="929">
        <f t="shared" ref="I125:P125" si="58">I122+I119</f>
        <v>-38.918672941486221</v>
      </c>
      <c r="J125" s="929">
        <f t="shared" si="58"/>
        <v>39.664040058268114</v>
      </c>
      <c r="K125" s="929">
        <f t="shared" si="58"/>
        <v>117.19048898865573</v>
      </c>
      <c r="L125" s="929">
        <f t="shared" si="58"/>
        <v>198.03470000000004</v>
      </c>
      <c r="M125" s="929">
        <f t="shared" si="58"/>
        <v>228.62195656951383</v>
      </c>
      <c r="N125" s="929">
        <f t="shared" si="58"/>
        <v>279.33837426612956</v>
      </c>
      <c r="O125" s="929">
        <f t="shared" si="58"/>
        <v>340.86894749599639</v>
      </c>
      <c r="P125" s="930">
        <f t="shared" si="58"/>
        <v>408.13998596288394</v>
      </c>
      <c r="R125" s="244"/>
      <c r="S125" s="6"/>
    </row>
    <row r="126" spans="1:21">
      <c r="B126" s="392" t="s">
        <v>59</v>
      </c>
      <c r="C126" s="32"/>
      <c r="D126" s="937"/>
      <c r="E126" s="937"/>
      <c r="F126" s="937"/>
      <c r="G126" s="937"/>
      <c r="H126" s="933">
        <f t="shared" ref="H126:P126" si="59">H77/2-H87+H103+H114-H96</f>
        <v>-20.306997932897463</v>
      </c>
      <c r="I126" s="933">
        <f t="shared" si="59"/>
        <v>-38.918672941486221</v>
      </c>
      <c r="J126" s="933">
        <f t="shared" si="59"/>
        <v>39.664040058268114</v>
      </c>
      <c r="K126" s="933">
        <f t="shared" si="59"/>
        <v>117.19048898865573</v>
      </c>
      <c r="L126" s="933">
        <f t="shared" si="59"/>
        <v>198.03470000000004</v>
      </c>
      <c r="M126" s="933">
        <f t="shared" si="59"/>
        <v>228.62195656951383</v>
      </c>
      <c r="N126" s="933">
        <f t="shared" si="59"/>
        <v>279.33837426612956</v>
      </c>
      <c r="O126" s="933">
        <f t="shared" si="59"/>
        <v>340.86894749599639</v>
      </c>
      <c r="P126" s="933">
        <f t="shared" si="59"/>
        <v>408.13998596288388</v>
      </c>
      <c r="Q126" s="42"/>
      <c r="R126" s="245"/>
      <c r="S126" s="6"/>
      <c r="T126" s="208"/>
      <c r="U126" s="208"/>
    </row>
    <row r="127" spans="1:21">
      <c r="B127" s="392" t="s">
        <v>315</v>
      </c>
      <c r="C127" s="32"/>
      <c r="D127" s="937"/>
      <c r="E127" s="937"/>
      <c r="F127" s="937"/>
      <c r="G127" s="937"/>
      <c r="H127" s="937"/>
      <c r="I127" s="933"/>
      <c r="J127" s="933"/>
      <c r="K127" s="937"/>
      <c r="L127" s="937"/>
      <c r="M127" s="937"/>
      <c r="N127" s="937"/>
      <c r="O127" s="937"/>
      <c r="P127" s="937"/>
      <c r="Q127" s="42"/>
      <c r="R127" s="245"/>
      <c r="S127" s="6"/>
      <c r="T127" s="208"/>
      <c r="U127" s="208"/>
    </row>
    <row r="128" spans="1:21">
      <c r="B128" s="392"/>
      <c r="C128" s="32"/>
      <c r="D128" s="937"/>
      <c r="E128" s="937"/>
      <c r="F128" s="937"/>
      <c r="G128" s="937"/>
      <c r="H128" s="937"/>
      <c r="I128" s="937"/>
      <c r="J128" s="937"/>
      <c r="K128" s="937"/>
      <c r="L128" s="937"/>
      <c r="M128" s="937"/>
      <c r="N128" s="937"/>
      <c r="O128" s="937"/>
      <c r="P128" s="937"/>
      <c r="Q128" s="42"/>
      <c r="R128" s="245"/>
      <c r="S128" s="6"/>
      <c r="T128" s="208"/>
      <c r="U128" s="208"/>
    </row>
    <row r="129" spans="2:18">
      <c r="B129" s="15" t="s">
        <v>13</v>
      </c>
      <c r="C129" s="20"/>
      <c r="D129" s="524"/>
      <c r="E129" s="598">
        <v>85</v>
      </c>
      <c r="F129" s="598">
        <v>75</v>
      </c>
      <c r="G129" s="598">
        <v>70</v>
      </c>
      <c r="H129" s="918">
        <v>110</v>
      </c>
      <c r="I129" s="898">
        <f>22.2/I130</f>
        <v>44.4</v>
      </c>
      <c r="J129" s="918">
        <v>50</v>
      </c>
      <c r="K129" s="918">
        <v>40</v>
      </c>
      <c r="L129" s="918">
        <v>40</v>
      </c>
      <c r="M129" s="918">
        <f>L129</f>
        <v>40</v>
      </c>
      <c r="N129" s="918">
        <f>M129</f>
        <v>40</v>
      </c>
      <c r="O129" s="918">
        <f>N129</f>
        <v>40</v>
      </c>
      <c r="P129" s="918">
        <f>O129</f>
        <v>40</v>
      </c>
      <c r="R129" s="242"/>
    </row>
    <row r="130" spans="2:18">
      <c r="B130" s="13" t="s">
        <v>215</v>
      </c>
      <c r="C130" s="26"/>
      <c r="D130" s="938"/>
      <c r="E130" s="938">
        <v>0.5</v>
      </c>
      <c r="F130" s="938">
        <f>E130</f>
        <v>0.5</v>
      </c>
      <c r="G130" s="938">
        <f t="shared" ref="G130:P130" si="60">F130</f>
        <v>0.5</v>
      </c>
      <c r="H130" s="938">
        <f t="shared" si="60"/>
        <v>0.5</v>
      </c>
      <c r="I130" s="938">
        <f t="shared" si="60"/>
        <v>0.5</v>
      </c>
      <c r="J130" s="938">
        <f t="shared" si="60"/>
        <v>0.5</v>
      </c>
      <c r="K130" s="938">
        <f t="shared" si="60"/>
        <v>0.5</v>
      </c>
      <c r="L130" s="938">
        <f t="shared" si="60"/>
        <v>0.5</v>
      </c>
      <c r="M130" s="938">
        <f t="shared" si="60"/>
        <v>0.5</v>
      </c>
      <c r="N130" s="938">
        <f t="shared" si="60"/>
        <v>0.5</v>
      </c>
      <c r="O130" s="938">
        <f t="shared" si="60"/>
        <v>0.5</v>
      </c>
      <c r="P130" s="938">
        <f t="shared" si="60"/>
        <v>0.5</v>
      </c>
      <c r="R130" s="242"/>
    </row>
    <row r="131" spans="2:18">
      <c r="B131" s="43" t="s">
        <v>276</v>
      </c>
      <c r="C131" s="30"/>
      <c r="D131" s="825"/>
      <c r="E131" s="825"/>
      <c r="F131" s="825"/>
      <c r="G131" s="825"/>
      <c r="H131" s="939">
        <f t="shared" ref="H131:N131" si="61">H129*H130</f>
        <v>55</v>
      </c>
      <c r="I131" s="939">
        <f>I129*I130</f>
        <v>22.2</v>
      </c>
      <c r="J131" s="925">
        <f t="shared" si="61"/>
        <v>25</v>
      </c>
      <c r="K131" s="939">
        <f t="shared" si="61"/>
        <v>20</v>
      </c>
      <c r="L131" s="939">
        <f t="shared" si="61"/>
        <v>20</v>
      </c>
      <c r="M131" s="939">
        <f t="shared" si="61"/>
        <v>20</v>
      </c>
      <c r="N131" s="939">
        <f t="shared" si="61"/>
        <v>20</v>
      </c>
      <c r="O131" s="939">
        <f>O129*O130</f>
        <v>20</v>
      </c>
      <c r="P131" s="939">
        <f>P129*P130</f>
        <v>20</v>
      </c>
      <c r="R131" s="242"/>
    </row>
    <row r="132" spans="2:18">
      <c r="D132" s="829"/>
      <c r="E132" s="829"/>
      <c r="F132" s="829"/>
      <c r="G132" s="829"/>
      <c r="H132" s="940"/>
      <c r="I132" s="829"/>
      <c r="J132" s="829"/>
      <c r="K132" s="940"/>
      <c r="L132" s="829"/>
      <c r="M132" s="829"/>
      <c r="N132" s="829"/>
      <c r="O132" s="829"/>
      <c r="P132" s="829"/>
    </row>
    <row r="133" spans="2:18" ht="4.5" customHeight="1">
      <c r="B133" s="12"/>
      <c r="D133" s="829"/>
      <c r="E133" s="829"/>
      <c r="F133" s="829"/>
      <c r="G133" s="829"/>
      <c r="H133" s="829"/>
      <c r="I133" s="829"/>
      <c r="J133" s="829"/>
      <c r="K133" s="829"/>
      <c r="L133" s="829"/>
      <c r="M133" s="829"/>
      <c r="N133" s="829"/>
      <c r="O133" s="829"/>
      <c r="P133" s="829"/>
    </row>
    <row r="134" spans="2:18">
      <c r="B134" s="144" t="s">
        <v>216</v>
      </c>
      <c r="C134" s="145"/>
      <c r="D134" s="826">
        <f t="shared" ref="D134:P134" si="62">D32</f>
        <v>2008</v>
      </c>
      <c r="E134" s="826">
        <f t="shared" si="62"/>
        <v>2009</v>
      </c>
      <c r="F134" s="826">
        <f t="shared" si="62"/>
        <v>2010</v>
      </c>
      <c r="G134" s="826">
        <f t="shared" si="62"/>
        <v>2011</v>
      </c>
      <c r="H134" s="826">
        <f t="shared" si="62"/>
        <v>2012</v>
      </c>
      <c r="I134" s="826">
        <f t="shared" si="62"/>
        <v>2013</v>
      </c>
      <c r="J134" s="826">
        <f t="shared" si="62"/>
        <v>2014</v>
      </c>
      <c r="K134" s="826">
        <f t="shared" si="62"/>
        <v>2015</v>
      </c>
      <c r="L134" s="826">
        <f t="shared" si="62"/>
        <v>2016</v>
      </c>
      <c r="M134" s="826" t="str">
        <f t="shared" si="62"/>
        <v>2017E</v>
      </c>
      <c r="N134" s="826" t="str">
        <f t="shared" si="62"/>
        <v>2018E</v>
      </c>
      <c r="O134" s="826" t="str">
        <f t="shared" si="62"/>
        <v>2019E</v>
      </c>
      <c r="P134" s="827" t="str">
        <f t="shared" si="62"/>
        <v>2020E</v>
      </c>
    </row>
    <row r="135" spans="2:18">
      <c r="B135" s="18" t="s">
        <v>217</v>
      </c>
      <c r="C135" s="18"/>
      <c r="D135" s="941">
        <v>491018</v>
      </c>
      <c r="E135" s="941">
        <f t="shared" ref="E135:M135" si="63">D135*1.001</f>
        <v>491509.01799999992</v>
      </c>
      <c r="F135" s="941">
        <f t="shared" si="63"/>
        <v>492000.52701799985</v>
      </c>
      <c r="G135" s="941">
        <f t="shared" si="63"/>
        <v>492492.52754501777</v>
      </c>
      <c r="H135" s="941">
        <f t="shared" si="63"/>
        <v>492985.02007256274</v>
      </c>
      <c r="I135" s="941">
        <f t="shared" si="63"/>
        <v>493478.00509263523</v>
      </c>
      <c r="J135" s="941">
        <f t="shared" si="63"/>
        <v>493971.48309772782</v>
      </c>
      <c r="K135" s="941">
        <f t="shared" si="63"/>
        <v>494465.45458082546</v>
      </c>
      <c r="L135" s="941">
        <f t="shared" si="63"/>
        <v>494959.92003540625</v>
      </c>
      <c r="M135" s="941">
        <f t="shared" si="63"/>
        <v>495454.87995544157</v>
      </c>
      <c r="N135" s="941">
        <f>M135*1.001</f>
        <v>495950.33483539696</v>
      </c>
      <c r="O135" s="941">
        <f>N135*1.001</f>
        <v>496446.2851702323</v>
      </c>
      <c r="P135" s="941">
        <f>O135*1.001</f>
        <v>496942.73145540245</v>
      </c>
    </row>
    <row r="136" spans="2:18">
      <c r="B136" s="18" t="s">
        <v>219</v>
      </c>
      <c r="C136" s="18"/>
      <c r="D136" s="941">
        <f t="shared" ref="D136:N136" si="64">D135*D137*D138</f>
        <v>15393.4143</v>
      </c>
      <c r="E136" s="941">
        <f t="shared" si="64"/>
        <v>15408.807714299999</v>
      </c>
      <c r="F136" s="941">
        <f t="shared" si="64"/>
        <v>15424.216522014296</v>
      </c>
      <c r="G136" s="941">
        <f t="shared" si="64"/>
        <v>15439.640738536309</v>
      </c>
      <c r="H136" s="941">
        <f t="shared" si="64"/>
        <v>15455.080379274843</v>
      </c>
      <c r="I136" s="941">
        <f t="shared" si="64"/>
        <v>15470.535459654115</v>
      </c>
      <c r="J136" s="941">
        <f t="shared" si="64"/>
        <v>15486.005995113768</v>
      </c>
      <c r="K136" s="941">
        <f t="shared" si="64"/>
        <v>15501.49200110888</v>
      </c>
      <c r="L136" s="941">
        <f t="shared" si="64"/>
        <v>15516.993493109987</v>
      </c>
      <c r="M136" s="941">
        <f t="shared" si="64"/>
        <v>15532.510486603094</v>
      </c>
      <c r="N136" s="941">
        <f t="shared" si="64"/>
        <v>15548.042997089697</v>
      </c>
      <c r="O136" s="941">
        <f>O135*O137*O138</f>
        <v>15563.591040086783</v>
      </c>
      <c r="P136" s="941">
        <f>P135*P137*P138</f>
        <v>15579.154631126868</v>
      </c>
    </row>
    <row r="137" spans="2:18">
      <c r="B137" s="4" t="s">
        <v>218</v>
      </c>
      <c r="C137" s="18"/>
      <c r="D137" s="839">
        <v>9.5000000000000001E-2</v>
      </c>
      <c r="E137" s="839">
        <v>9.5000000000000001E-2</v>
      </c>
      <c r="F137" s="839">
        <v>9.5000000000000001E-2</v>
      </c>
      <c r="G137" s="839">
        <v>9.5000000000000001E-2</v>
      </c>
      <c r="H137" s="839">
        <v>9.5000000000000001E-2</v>
      </c>
      <c r="I137" s="839">
        <v>9.5000000000000001E-2</v>
      </c>
      <c r="J137" s="839">
        <v>9.5000000000000001E-2</v>
      </c>
      <c r="K137" s="839">
        <v>9.5000000000000001E-2</v>
      </c>
      <c r="L137" s="839">
        <v>9.5000000000000001E-2</v>
      </c>
      <c r="M137" s="839">
        <v>9.5000000000000001E-2</v>
      </c>
      <c r="N137" s="839">
        <v>9.5000000000000001E-2</v>
      </c>
      <c r="O137" s="839">
        <v>9.5000000000000001E-2</v>
      </c>
      <c r="P137" s="839">
        <v>9.5000000000000001E-2</v>
      </c>
    </row>
    <row r="138" spans="2:18">
      <c r="B138" s="4" t="s">
        <v>419</v>
      </c>
      <c r="C138" s="18"/>
      <c r="D138" s="839">
        <v>0.33</v>
      </c>
      <c r="E138" s="839">
        <v>0.33</v>
      </c>
      <c r="F138" s="839">
        <v>0.33</v>
      </c>
      <c r="G138" s="839">
        <v>0.33</v>
      </c>
      <c r="H138" s="839">
        <v>0.33</v>
      </c>
      <c r="I138" s="839">
        <v>0.33</v>
      </c>
      <c r="J138" s="839">
        <v>0.33</v>
      </c>
      <c r="K138" s="839">
        <v>0.33</v>
      </c>
      <c r="L138" s="839">
        <v>0.33</v>
      </c>
      <c r="M138" s="839">
        <v>0.33</v>
      </c>
      <c r="N138" s="839">
        <v>0.33</v>
      </c>
      <c r="O138" s="839">
        <v>0.33</v>
      </c>
      <c r="P138" s="839">
        <v>0.33</v>
      </c>
    </row>
    <row r="139" spans="2:18">
      <c r="B139" s="4" t="s">
        <v>220</v>
      </c>
      <c r="C139" s="18"/>
      <c r="D139" s="942">
        <f t="shared" ref="D139:N139" si="65">D136*D140</f>
        <v>1539.3414300000002</v>
      </c>
      <c r="E139" s="942">
        <f t="shared" si="65"/>
        <v>1540.8807714300001</v>
      </c>
      <c r="F139" s="942">
        <f t="shared" si="65"/>
        <v>1542.4216522014297</v>
      </c>
      <c r="G139" s="942">
        <f t="shared" si="65"/>
        <v>1543.9640738536309</v>
      </c>
      <c r="H139" s="942">
        <f t="shared" si="65"/>
        <v>1545.5080379274843</v>
      </c>
      <c r="I139" s="942">
        <f t="shared" si="65"/>
        <v>1547.0535459654116</v>
      </c>
      <c r="J139" s="942">
        <f t="shared" si="65"/>
        <v>1548.6005995113769</v>
      </c>
      <c r="K139" s="942">
        <f t="shared" si="65"/>
        <v>1550.1492001108882</v>
      </c>
      <c r="L139" s="942">
        <f t="shared" si="65"/>
        <v>1551.6993493109987</v>
      </c>
      <c r="M139" s="942">
        <f t="shared" si="65"/>
        <v>1553.2510486603096</v>
      </c>
      <c r="N139" s="942">
        <f t="shared" si="65"/>
        <v>1554.8042997089697</v>
      </c>
      <c r="O139" s="942">
        <f>O136*O140</f>
        <v>1556.3591040086785</v>
      </c>
      <c r="P139" s="942">
        <f>P136*P140</f>
        <v>1557.9154631126869</v>
      </c>
    </row>
    <row r="140" spans="2:18">
      <c r="B140" s="94" t="s">
        <v>420</v>
      </c>
      <c r="C140" s="14"/>
      <c r="D140" s="943">
        <v>0.1</v>
      </c>
      <c r="E140" s="943">
        <v>0.1</v>
      </c>
      <c r="F140" s="943">
        <v>0.1</v>
      </c>
      <c r="G140" s="943">
        <v>0.1</v>
      </c>
      <c r="H140" s="943">
        <v>0.1</v>
      </c>
      <c r="I140" s="943">
        <v>0.1</v>
      </c>
      <c r="J140" s="943">
        <v>0.1</v>
      </c>
      <c r="K140" s="943">
        <v>0.1</v>
      </c>
      <c r="L140" s="943">
        <v>0.1</v>
      </c>
      <c r="M140" s="943">
        <v>0.1</v>
      </c>
      <c r="N140" s="943">
        <v>0.1</v>
      </c>
      <c r="O140" s="943">
        <v>0.1</v>
      </c>
      <c r="P140" s="943">
        <v>0.1</v>
      </c>
    </row>
    <row r="141" spans="2:18">
      <c r="B141" s="4" t="s">
        <v>202</v>
      </c>
      <c r="C141" s="18"/>
      <c r="D141" s="944">
        <v>0</v>
      </c>
      <c r="E141" s="944">
        <f t="shared" ref="E141:N141" si="66">E139*E142</f>
        <v>0</v>
      </c>
      <c r="F141" s="944">
        <f t="shared" si="66"/>
        <v>0</v>
      </c>
      <c r="G141" s="944">
        <f t="shared" si="66"/>
        <v>0</v>
      </c>
      <c r="H141" s="945">
        <f t="shared" si="66"/>
        <v>0</v>
      </c>
      <c r="I141" s="945">
        <f t="shared" si="66"/>
        <v>19.338169324567644</v>
      </c>
      <c r="J141" s="945">
        <f t="shared" si="66"/>
        <v>52.265270233508971</v>
      </c>
      <c r="K141" s="945">
        <f t="shared" si="66"/>
        <v>125.56208520898194</v>
      </c>
      <c r="L141" s="945">
        <f t="shared" si="66"/>
        <v>203.93208698319799</v>
      </c>
      <c r="M141" s="945">
        <f t="shared" si="66"/>
        <v>296.83912589033429</v>
      </c>
      <c r="N141" s="945">
        <f t="shared" si="66"/>
        <v>327.28542364427341</v>
      </c>
      <c r="O141" s="945">
        <f>O139*O142</f>
        <v>347.45628764402829</v>
      </c>
      <c r="P141" s="945">
        <f>P139*P142</f>
        <v>380.90944752281689</v>
      </c>
    </row>
    <row r="142" spans="2:18">
      <c r="B142" s="4" t="s">
        <v>201</v>
      </c>
      <c r="C142" s="18"/>
      <c r="D142" s="839">
        <v>0</v>
      </c>
      <c r="E142" s="839">
        <f t="shared" ref="E142:P142" si="67">CHOOSE($C$2,E22,E23,E24)</f>
        <v>0</v>
      </c>
      <c r="F142" s="839">
        <f t="shared" si="67"/>
        <v>0</v>
      </c>
      <c r="G142" s="946">
        <f t="shared" si="67"/>
        <v>0</v>
      </c>
      <c r="H142" s="946">
        <f t="shared" si="67"/>
        <v>0</v>
      </c>
      <c r="I142" s="946">
        <f t="shared" si="67"/>
        <v>1.2500000000000001E-2</v>
      </c>
      <c r="J142" s="946">
        <f t="shared" si="67"/>
        <v>3.3750000000000002E-2</v>
      </c>
      <c r="K142" s="946">
        <f t="shared" si="67"/>
        <v>8.1000000000000003E-2</v>
      </c>
      <c r="L142" s="946">
        <f t="shared" si="67"/>
        <v>0.13142499999999999</v>
      </c>
      <c r="M142" s="946">
        <f>CHOOSE($C$2,M22,M23,M24)</f>
        <v>0.19110827328676855</v>
      </c>
      <c r="N142" s="946">
        <f t="shared" si="67"/>
        <v>0.21049943308333732</v>
      </c>
      <c r="O142" s="946">
        <f t="shared" si="67"/>
        <v>0.22324943308333731</v>
      </c>
      <c r="P142" s="946">
        <f t="shared" si="67"/>
        <v>0.24449943308333733</v>
      </c>
    </row>
    <row r="143" spans="2:18">
      <c r="B143" s="4"/>
      <c r="C143" s="18"/>
      <c r="D143" s="947"/>
      <c r="E143" s="947"/>
      <c r="F143" s="947"/>
      <c r="G143" s="948"/>
      <c r="H143" s="948"/>
      <c r="I143" s="948"/>
      <c r="J143" s="948"/>
      <c r="K143" s="948"/>
      <c r="L143" s="948"/>
      <c r="M143" s="948"/>
      <c r="N143" s="948"/>
      <c r="O143" s="948"/>
      <c r="P143" s="948"/>
    </row>
    <row r="144" spans="2:18">
      <c r="B144" s="219" t="s">
        <v>203</v>
      </c>
      <c r="C144" s="14"/>
      <c r="D144" s="852"/>
      <c r="E144" s="852"/>
      <c r="F144" s="852"/>
      <c r="G144" s="852"/>
      <c r="H144" s="852"/>
      <c r="I144" s="852">
        <f>0.6*I69</f>
        <v>103.944</v>
      </c>
      <c r="J144" s="852">
        <f t="shared" ref="J144:P144" si="68">I144*(1+J145)</f>
        <v>103.944</v>
      </c>
      <c r="K144" s="852">
        <f t="shared" si="68"/>
        <v>103.944</v>
      </c>
      <c r="L144" s="852">
        <f t="shared" si="68"/>
        <v>103.944</v>
      </c>
      <c r="M144" s="852">
        <f t="shared" si="68"/>
        <v>103.944</v>
      </c>
      <c r="N144" s="852">
        <f t="shared" si="68"/>
        <v>103.944</v>
      </c>
      <c r="O144" s="852">
        <f t="shared" si="68"/>
        <v>103.944</v>
      </c>
      <c r="P144" s="852">
        <f t="shared" si="68"/>
        <v>103.944</v>
      </c>
    </row>
    <row r="145" spans="1:16">
      <c r="B145" s="4" t="s">
        <v>358</v>
      </c>
      <c r="C145" s="14"/>
      <c r="D145" s="852"/>
      <c r="E145" s="852"/>
      <c r="F145" s="852"/>
      <c r="G145" s="852"/>
      <c r="H145" s="852"/>
      <c r="I145" s="949"/>
      <c r="J145" s="949">
        <v>0</v>
      </c>
      <c r="K145" s="950">
        <f t="shared" ref="K145:P145" si="69">J145</f>
        <v>0</v>
      </c>
      <c r="L145" s="950">
        <f t="shared" si="69"/>
        <v>0</v>
      </c>
      <c r="M145" s="950">
        <f t="shared" si="69"/>
        <v>0</v>
      </c>
      <c r="N145" s="950">
        <f t="shared" si="69"/>
        <v>0</v>
      </c>
      <c r="O145" s="950">
        <f t="shared" si="69"/>
        <v>0</v>
      </c>
      <c r="P145" s="950">
        <f t="shared" si="69"/>
        <v>0</v>
      </c>
    </row>
    <row r="146" spans="1:16">
      <c r="A146" s="5"/>
      <c r="B146" s="152"/>
      <c r="C146" s="152"/>
      <c r="D146" s="951"/>
      <c r="E146" s="951"/>
      <c r="F146" s="951"/>
      <c r="G146" s="951"/>
      <c r="H146" s="952"/>
      <c r="I146" s="953"/>
      <c r="J146" s="953"/>
      <c r="K146" s="953"/>
      <c r="L146" s="953"/>
      <c r="M146" s="953"/>
      <c r="N146" s="953"/>
      <c r="O146" s="953"/>
      <c r="P146" s="953"/>
    </row>
    <row r="147" spans="1:16">
      <c r="B147" s="18" t="s">
        <v>204</v>
      </c>
      <c r="C147" s="18"/>
      <c r="D147" s="830"/>
      <c r="E147" s="830"/>
      <c r="F147" s="830"/>
      <c r="G147" s="830"/>
      <c r="H147" s="830"/>
      <c r="I147" s="830">
        <v>2.5</v>
      </c>
      <c r="J147" s="830">
        <v>3.5</v>
      </c>
      <c r="K147" s="830">
        <v>5</v>
      </c>
      <c r="L147" s="830">
        <v>6</v>
      </c>
      <c r="M147" s="830">
        <v>7</v>
      </c>
      <c r="N147" s="830">
        <v>8</v>
      </c>
      <c r="O147" s="830">
        <v>8</v>
      </c>
      <c r="P147" s="830">
        <v>8</v>
      </c>
    </row>
    <row r="148" spans="1:16">
      <c r="B148" s="18"/>
      <c r="C148" s="18"/>
      <c r="D148" s="830"/>
      <c r="E148" s="830"/>
      <c r="F148" s="830"/>
      <c r="G148" s="830"/>
      <c r="H148" s="830"/>
      <c r="I148" s="830"/>
      <c r="J148" s="830"/>
      <c r="K148" s="830"/>
      <c r="L148" s="830"/>
      <c r="M148" s="830"/>
      <c r="N148" s="830"/>
      <c r="O148" s="830"/>
      <c r="P148" s="830"/>
    </row>
    <row r="149" spans="1:16">
      <c r="B149" s="18" t="s">
        <v>205</v>
      </c>
      <c r="C149" s="18"/>
      <c r="D149" s="851"/>
      <c r="E149" s="851"/>
      <c r="F149" s="851"/>
      <c r="G149" s="851"/>
      <c r="H149" s="851"/>
      <c r="I149" s="851">
        <f t="shared" ref="I149:P149" si="70">I144*I147</f>
        <v>259.86</v>
      </c>
      <c r="J149" s="851">
        <f t="shared" si="70"/>
        <v>363.80400000000003</v>
      </c>
      <c r="K149" s="851">
        <f t="shared" si="70"/>
        <v>519.72</v>
      </c>
      <c r="L149" s="851">
        <f t="shared" si="70"/>
        <v>623.66399999999999</v>
      </c>
      <c r="M149" s="851">
        <f t="shared" si="70"/>
        <v>727.60800000000006</v>
      </c>
      <c r="N149" s="851">
        <f t="shared" si="70"/>
        <v>831.55200000000002</v>
      </c>
      <c r="O149" s="851">
        <f t="shared" si="70"/>
        <v>831.55200000000002</v>
      </c>
      <c r="P149" s="851">
        <f t="shared" si="70"/>
        <v>831.55200000000002</v>
      </c>
    </row>
    <row r="150" spans="1:16">
      <c r="B150" s="18"/>
      <c r="C150" s="18"/>
      <c r="D150" s="851"/>
      <c r="E150" s="851"/>
      <c r="F150" s="851"/>
      <c r="G150" s="851"/>
      <c r="H150" s="851"/>
      <c r="I150" s="851"/>
      <c r="J150" s="851"/>
      <c r="K150" s="851"/>
      <c r="L150" s="851"/>
      <c r="M150" s="851"/>
      <c r="N150" s="851"/>
      <c r="O150" s="851"/>
      <c r="P150" s="851"/>
    </row>
    <row r="151" spans="1:16">
      <c r="B151" s="220" t="s">
        <v>221</v>
      </c>
      <c r="C151" s="175"/>
      <c r="D151" s="853"/>
      <c r="E151" s="853"/>
      <c r="F151" s="853"/>
      <c r="G151" s="853"/>
      <c r="H151" s="853"/>
      <c r="I151" s="853">
        <f t="shared" ref="I151:P151" si="71">I141*I149/1000</f>
        <v>5.0252166806821483</v>
      </c>
      <c r="J151" s="954">
        <f>J141*J149/1000</f>
        <v>19.0143143720315</v>
      </c>
      <c r="K151" s="853">
        <f t="shared" si="71"/>
        <v>65.257126924812098</v>
      </c>
      <c r="L151" s="853">
        <f t="shared" si="71"/>
        <v>127.18510109628919</v>
      </c>
      <c r="M151" s="853">
        <f t="shared" si="71"/>
        <v>215.98252271081438</v>
      </c>
      <c r="N151" s="853">
        <f t="shared" si="71"/>
        <v>272.15484860224285</v>
      </c>
      <c r="O151" s="853">
        <f t="shared" si="71"/>
        <v>288.92797090296705</v>
      </c>
      <c r="P151" s="854">
        <f t="shared" si="71"/>
        <v>316.74601290649343</v>
      </c>
    </row>
    <row r="152" spans="1:16">
      <c r="B152" s="12" t="s">
        <v>97</v>
      </c>
      <c r="C152" s="32"/>
      <c r="D152" s="866"/>
      <c r="E152" s="866"/>
      <c r="F152" s="866"/>
      <c r="G152" s="866"/>
      <c r="H152" s="866"/>
      <c r="I152" s="866">
        <f t="shared" ref="I152:P152" si="72">I151*I153</f>
        <v>0.25126083403410743</v>
      </c>
      <c r="J152" s="955">
        <f t="shared" si="72"/>
        <v>0.950715718601575</v>
      </c>
      <c r="K152" s="955">
        <f t="shared" si="72"/>
        <v>3.2628563462406053</v>
      </c>
      <c r="L152" s="955">
        <f t="shared" si="72"/>
        <v>0</v>
      </c>
      <c r="M152" s="955">
        <f t="shared" si="72"/>
        <v>12.958951362648863</v>
      </c>
      <c r="N152" s="955">
        <f t="shared" si="72"/>
        <v>16.329290916134571</v>
      </c>
      <c r="O152" s="955">
        <f t="shared" si="72"/>
        <v>17.335678254178021</v>
      </c>
      <c r="P152" s="955">
        <f t="shared" si="72"/>
        <v>19.004760774389606</v>
      </c>
    </row>
    <row r="153" spans="1:16">
      <c r="B153" s="20" t="s">
        <v>418</v>
      </c>
      <c r="C153" s="32"/>
      <c r="D153" s="866"/>
      <c r="E153" s="866"/>
      <c r="F153" s="866"/>
      <c r="G153" s="866"/>
      <c r="H153" s="862"/>
      <c r="I153" s="862">
        <v>0.05</v>
      </c>
      <c r="J153" s="862">
        <v>0.05</v>
      </c>
      <c r="K153" s="862">
        <v>0.05</v>
      </c>
      <c r="L153" s="862">
        <v>0</v>
      </c>
      <c r="M153" s="862">
        <v>0.06</v>
      </c>
      <c r="N153" s="862">
        <v>0.06</v>
      </c>
      <c r="O153" s="862">
        <v>0.06</v>
      </c>
      <c r="P153" s="862">
        <v>0.06</v>
      </c>
    </row>
    <row r="154" spans="1:16">
      <c r="B154" s="220" t="s">
        <v>222</v>
      </c>
      <c r="C154" s="175"/>
      <c r="D154" s="853"/>
      <c r="E154" s="853"/>
      <c r="F154" s="853"/>
      <c r="G154" s="853"/>
      <c r="H154" s="853"/>
      <c r="I154" s="853">
        <f>I151*I155-I152</f>
        <v>0.8542868357159652</v>
      </c>
      <c r="J154" s="853">
        <f t="shared" ref="J154:P154" si="73">J151*J155-J152</f>
        <v>3.232433443245355</v>
      </c>
      <c r="K154" s="954">
        <f>K151*K155-K152</f>
        <v>6.5257126924812088</v>
      </c>
      <c r="L154" s="853">
        <f t="shared" si="73"/>
        <v>22.893318197332054</v>
      </c>
      <c r="M154" s="853">
        <f t="shared" si="73"/>
        <v>28.077727952405873</v>
      </c>
      <c r="N154" s="853">
        <f t="shared" si="73"/>
        <v>35.380130318291577</v>
      </c>
      <c r="O154" s="853">
        <f t="shared" si="73"/>
        <v>37.560636217385721</v>
      </c>
      <c r="P154" s="854">
        <f t="shared" si="73"/>
        <v>41.176981677844154</v>
      </c>
    </row>
    <row r="155" spans="1:16">
      <c r="B155" s="20" t="s">
        <v>256</v>
      </c>
      <c r="C155" s="14"/>
      <c r="D155" s="852"/>
      <c r="E155" s="852"/>
      <c r="F155" s="852"/>
      <c r="G155" s="862"/>
      <c r="H155" s="862"/>
      <c r="I155" s="862">
        <f>IF(I151&lt;200,22%,IF(I151&lt;400,33%,44%))</f>
        <v>0.22</v>
      </c>
      <c r="J155" s="862">
        <f>IF(J151&lt;200,22%,IF(J151&lt;400,33%,44%))</f>
        <v>0.22</v>
      </c>
      <c r="K155" s="862">
        <v>0.15</v>
      </c>
      <c r="L155" s="862">
        <v>0.18</v>
      </c>
      <c r="M155" s="862">
        <v>0.19</v>
      </c>
      <c r="N155" s="862">
        <f>M155</f>
        <v>0.19</v>
      </c>
      <c r="O155" s="862">
        <f>N155</f>
        <v>0.19</v>
      </c>
      <c r="P155" s="862">
        <f>O155</f>
        <v>0.19</v>
      </c>
    </row>
    <row r="156" spans="1:16" ht="11.25" customHeight="1">
      <c r="B156" s="18"/>
      <c r="C156" s="18"/>
      <c r="D156" s="830"/>
      <c r="E156" s="830"/>
      <c r="F156" s="830"/>
      <c r="G156" s="956"/>
      <c r="H156" s="830"/>
      <c r="I156" s="830"/>
      <c r="J156" s="830"/>
      <c r="K156" s="830"/>
      <c r="L156" s="830"/>
      <c r="M156" s="830"/>
      <c r="N156" s="830"/>
      <c r="O156" s="829"/>
      <c r="P156" s="829"/>
    </row>
    <row r="157" spans="1:16">
      <c r="B157" s="144" t="s">
        <v>225</v>
      </c>
      <c r="C157" s="145"/>
      <c r="D157" s="826">
        <f t="shared" ref="D157:P157" si="74">D32</f>
        <v>2008</v>
      </c>
      <c r="E157" s="826">
        <f t="shared" si="74"/>
        <v>2009</v>
      </c>
      <c r="F157" s="826">
        <f t="shared" si="74"/>
        <v>2010</v>
      </c>
      <c r="G157" s="826">
        <f t="shared" si="74"/>
        <v>2011</v>
      </c>
      <c r="H157" s="826">
        <f t="shared" si="74"/>
        <v>2012</v>
      </c>
      <c r="I157" s="826">
        <f t="shared" si="74"/>
        <v>2013</v>
      </c>
      <c r="J157" s="826">
        <f t="shared" si="74"/>
        <v>2014</v>
      </c>
      <c r="K157" s="826">
        <f t="shared" si="74"/>
        <v>2015</v>
      </c>
      <c r="L157" s="826">
        <f t="shared" si="74"/>
        <v>2016</v>
      </c>
      <c r="M157" s="826" t="str">
        <f t="shared" si="74"/>
        <v>2017E</v>
      </c>
      <c r="N157" s="826" t="str">
        <f t="shared" si="74"/>
        <v>2018E</v>
      </c>
      <c r="O157" s="826" t="str">
        <f t="shared" si="74"/>
        <v>2019E</v>
      </c>
      <c r="P157" s="827" t="str">
        <f t="shared" si="74"/>
        <v>2020E</v>
      </c>
    </row>
    <row r="158" spans="1:16">
      <c r="B158" s="18" t="s">
        <v>223</v>
      </c>
      <c r="C158" s="18"/>
      <c r="D158" s="830"/>
      <c r="E158" s="830"/>
      <c r="F158" s="830"/>
      <c r="G158" s="830"/>
      <c r="H158" s="830"/>
      <c r="I158" s="851"/>
      <c r="J158" s="851"/>
      <c r="K158" s="851"/>
      <c r="L158" s="851"/>
      <c r="M158" s="851"/>
      <c r="N158" s="851"/>
      <c r="O158" s="829"/>
      <c r="P158" s="829"/>
    </row>
    <row r="159" spans="1:16">
      <c r="B159" s="18" t="s">
        <v>224</v>
      </c>
      <c r="C159" s="18"/>
      <c r="D159" s="830"/>
      <c r="E159" s="830"/>
      <c r="F159" s="830"/>
      <c r="G159" s="830"/>
      <c r="H159" s="830"/>
      <c r="I159" s="851"/>
      <c r="J159" s="851"/>
      <c r="K159" s="851"/>
      <c r="L159" s="851"/>
      <c r="M159" s="851">
        <f>0.075*M75</f>
        <v>27.939546331658246</v>
      </c>
      <c r="N159" s="851">
        <f>0.075*N75</f>
        <v>31.402728870821193</v>
      </c>
      <c r="O159" s="851">
        <f>0.075*O75</f>
        <v>36.442643010894216</v>
      </c>
      <c r="P159" s="851">
        <f>0.05*P75</f>
        <v>28.425370961504299</v>
      </c>
    </row>
    <row r="160" spans="1:16">
      <c r="B160" s="220" t="s">
        <v>225</v>
      </c>
      <c r="C160" s="175"/>
      <c r="D160" s="853"/>
      <c r="E160" s="853"/>
      <c r="F160" s="853"/>
      <c r="G160" s="853"/>
      <c r="H160" s="853"/>
      <c r="I160" s="853">
        <f t="shared" ref="I160:N160" si="75">I159</f>
        <v>0</v>
      </c>
      <c r="J160" s="853">
        <f t="shared" si="75"/>
        <v>0</v>
      </c>
      <c r="K160" s="853">
        <f t="shared" si="75"/>
        <v>0</v>
      </c>
      <c r="L160" s="853">
        <f t="shared" si="75"/>
        <v>0</v>
      </c>
      <c r="M160" s="853">
        <f t="shared" si="75"/>
        <v>27.939546331658246</v>
      </c>
      <c r="N160" s="853">
        <f t="shared" si="75"/>
        <v>31.402728870821193</v>
      </c>
      <c r="O160" s="853">
        <f>O159</f>
        <v>36.442643010894216</v>
      </c>
      <c r="P160" s="854">
        <f>P159</f>
        <v>28.425370961504299</v>
      </c>
    </row>
    <row r="161" spans="2:16">
      <c r="B161" s="12" t="s">
        <v>97</v>
      </c>
      <c r="C161" s="32"/>
      <c r="D161" s="957"/>
      <c r="E161" s="957"/>
      <c r="F161" s="957"/>
      <c r="G161" s="957"/>
      <c r="H161" s="957"/>
      <c r="I161" s="866">
        <f t="shared" ref="I161:N161" si="76">I160*I162</f>
        <v>0</v>
      </c>
      <c r="J161" s="866">
        <f t="shared" si="76"/>
        <v>0</v>
      </c>
      <c r="K161" s="866">
        <f t="shared" si="76"/>
        <v>0</v>
      </c>
      <c r="L161" s="866">
        <f t="shared" si="76"/>
        <v>0</v>
      </c>
      <c r="M161" s="866">
        <f t="shared" si="76"/>
        <v>1.6763727798994947</v>
      </c>
      <c r="N161" s="866">
        <f t="shared" si="76"/>
        <v>1.8841637322492715</v>
      </c>
      <c r="O161" s="866">
        <f>O160*O162</f>
        <v>2.1865585806536529</v>
      </c>
      <c r="P161" s="866">
        <f>P160*P162</f>
        <v>1.705522257690258</v>
      </c>
    </row>
    <row r="162" spans="2:16">
      <c r="B162" s="20" t="s">
        <v>418</v>
      </c>
      <c r="C162" s="32"/>
      <c r="D162" s="866"/>
      <c r="E162" s="866"/>
      <c r="F162" s="866"/>
      <c r="G162" s="866"/>
      <c r="H162" s="862"/>
      <c r="I162" s="862">
        <f t="shared" ref="I162:N162" si="77">+I153</f>
        <v>0.05</v>
      </c>
      <c r="J162" s="862">
        <f t="shared" si="77"/>
        <v>0.05</v>
      </c>
      <c r="K162" s="862">
        <f t="shared" si="77"/>
        <v>0.05</v>
      </c>
      <c r="L162" s="862">
        <f t="shared" si="77"/>
        <v>0</v>
      </c>
      <c r="M162" s="862">
        <f t="shared" si="77"/>
        <v>0.06</v>
      </c>
      <c r="N162" s="862">
        <f t="shared" si="77"/>
        <v>0.06</v>
      </c>
      <c r="O162" s="862">
        <f>+O153</f>
        <v>0.06</v>
      </c>
      <c r="P162" s="862">
        <f>+P153</f>
        <v>0.06</v>
      </c>
    </row>
    <row r="163" spans="2:16">
      <c r="B163" s="220" t="s">
        <v>226</v>
      </c>
      <c r="C163" s="175"/>
      <c r="D163" s="853"/>
      <c r="E163" s="853"/>
      <c r="F163" s="853"/>
      <c r="G163" s="853"/>
      <c r="H163" s="853"/>
      <c r="I163" s="853">
        <f t="shared" ref="I163:N163" si="78">I160*I164</f>
        <v>0</v>
      </c>
      <c r="J163" s="853">
        <f t="shared" si="78"/>
        <v>0</v>
      </c>
      <c r="K163" s="853">
        <f t="shared" si="78"/>
        <v>0</v>
      </c>
      <c r="L163" s="853">
        <f t="shared" si="78"/>
        <v>0</v>
      </c>
      <c r="M163" s="853">
        <f t="shared" si="78"/>
        <v>5.029118339698484</v>
      </c>
      <c r="N163" s="853">
        <f t="shared" si="78"/>
        <v>5.6524911967478149</v>
      </c>
      <c r="O163" s="853">
        <f>O160*O164</f>
        <v>6.5596757419609588</v>
      </c>
      <c r="P163" s="854">
        <f>P160*P164</f>
        <v>5.1165667730707733</v>
      </c>
    </row>
    <row r="164" spans="2:16">
      <c r="B164" s="20" t="s">
        <v>256</v>
      </c>
      <c r="C164" s="14"/>
      <c r="D164" s="926"/>
      <c r="E164" s="926"/>
      <c r="F164" s="926"/>
      <c r="G164" s="926"/>
      <c r="H164" s="926"/>
      <c r="I164" s="862">
        <v>0.15</v>
      </c>
      <c r="J164" s="862">
        <v>0.15</v>
      </c>
      <c r="K164" s="862">
        <v>0.17</v>
      </c>
      <c r="L164" s="862">
        <v>0.18</v>
      </c>
      <c r="M164" s="862">
        <v>0.18</v>
      </c>
      <c r="N164" s="862">
        <v>0.18</v>
      </c>
      <c r="O164" s="862">
        <v>0.18</v>
      </c>
      <c r="P164" s="862">
        <v>0.18</v>
      </c>
    </row>
    <row r="165" spans="2:16">
      <c r="B165" s="18"/>
      <c r="C165" s="18"/>
      <c r="D165" s="830"/>
      <c r="E165" s="830"/>
      <c r="F165" s="830"/>
      <c r="G165" s="830"/>
      <c r="H165" s="830"/>
      <c r="I165" s="956"/>
      <c r="J165" s="956"/>
      <c r="K165" s="956"/>
      <c r="L165" s="956"/>
      <c r="M165" s="956"/>
      <c r="N165" s="956"/>
      <c r="O165" s="829"/>
      <c r="P165" s="829"/>
    </row>
    <row r="166" spans="2:16">
      <c r="B166" s="372" t="s">
        <v>417</v>
      </c>
      <c r="C166" s="145"/>
      <c r="D166" s="826">
        <f t="shared" ref="D166:P166" si="79">D32</f>
        <v>2008</v>
      </c>
      <c r="E166" s="826">
        <f t="shared" si="79"/>
        <v>2009</v>
      </c>
      <c r="F166" s="826">
        <f t="shared" si="79"/>
        <v>2010</v>
      </c>
      <c r="G166" s="826">
        <f t="shared" si="79"/>
        <v>2011</v>
      </c>
      <c r="H166" s="826">
        <f t="shared" si="79"/>
        <v>2012</v>
      </c>
      <c r="I166" s="826">
        <f t="shared" si="79"/>
        <v>2013</v>
      </c>
      <c r="J166" s="826">
        <f t="shared" si="79"/>
        <v>2014</v>
      </c>
      <c r="K166" s="826">
        <f t="shared" si="79"/>
        <v>2015</v>
      </c>
      <c r="L166" s="826">
        <f t="shared" si="79"/>
        <v>2016</v>
      </c>
      <c r="M166" s="826" t="str">
        <f t="shared" si="79"/>
        <v>2017E</v>
      </c>
      <c r="N166" s="826" t="str">
        <f t="shared" si="79"/>
        <v>2018E</v>
      </c>
      <c r="O166" s="826" t="str">
        <f t="shared" si="79"/>
        <v>2019E</v>
      </c>
      <c r="P166" s="827" t="str">
        <f t="shared" si="79"/>
        <v>2020E</v>
      </c>
    </row>
    <row r="167" spans="2:16" s="7" customFormat="1">
      <c r="B167" s="368" t="s">
        <v>416</v>
      </c>
      <c r="C167" s="29"/>
      <c r="D167" s="821"/>
      <c r="E167" s="821"/>
      <c r="F167" s="821"/>
      <c r="G167" s="821"/>
      <c r="H167" s="958">
        <f t="shared" ref="H167:P167" si="80">+H77</f>
        <v>1.0526708008717354</v>
      </c>
      <c r="I167" s="958">
        <f t="shared" si="80"/>
        <v>119.19853708372563</v>
      </c>
      <c r="J167" s="958">
        <f t="shared" si="80"/>
        <v>296.47564457392912</v>
      </c>
      <c r="K167" s="958">
        <f t="shared" si="80"/>
        <v>449.12330886367943</v>
      </c>
      <c r="L167" s="958">
        <f t="shared" si="80"/>
        <v>625.60000000000014</v>
      </c>
      <c r="M167" s="958">
        <f t="shared" si="80"/>
        <v>701.00502762530516</v>
      </c>
      <c r="N167" s="958">
        <f t="shared" si="80"/>
        <v>816.44046568380122</v>
      </c>
      <c r="O167" s="958">
        <f t="shared" si="80"/>
        <v>945.33440406173122</v>
      </c>
      <c r="P167" s="958">
        <f t="shared" si="80"/>
        <v>1095.6620910928955</v>
      </c>
    </row>
    <row r="168" spans="2:16">
      <c r="B168" s="368" t="s">
        <v>415</v>
      </c>
      <c r="C168" s="29"/>
      <c r="D168" s="821"/>
      <c r="E168" s="821"/>
      <c r="F168" s="821"/>
      <c r="G168" s="821"/>
      <c r="H168" s="958">
        <f t="shared" ref="H168:P168" si="81">+H151</f>
        <v>0</v>
      </c>
      <c r="I168" s="958">
        <f t="shared" si="81"/>
        <v>5.0252166806821483</v>
      </c>
      <c r="J168" s="958">
        <f t="shared" si="81"/>
        <v>19.0143143720315</v>
      </c>
      <c r="K168" s="958">
        <f t="shared" si="81"/>
        <v>65.257126924812098</v>
      </c>
      <c r="L168" s="958">
        <f t="shared" si="81"/>
        <v>127.18510109628919</v>
      </c>
      <c r="M168" s="958">
        <f t="shared" si="81"/>
        <v>215.98252271081438</v>
      </c>
      <c r="N168" s="958">
        <f t="shared" si="81"/>
        <v>272.15484860224285</v>
      </c>
      <c r="O168" s="958">
        <f t="shared" si="81"/>
        <v>288.92797090296705</v>
      </c>
      <c r="P168" s="958">
        <f t="shared" si="81"/>
        <v>316.74601290649343</v>
      </c>
    </row>
    <row r="169" spans="2:16">
      <c r="B169" s="367"/>
      <c r="C169" s="29"/>
      <c r="D169" s="821"/>
      <c r="E169" s="821"/>
      <c r="F169" s="821"/>
      <c r="G169" s="821"/>
      <c r="H169" s="821"/>
      <c r="I169" s="821"/>
      <c r="J169" s="959"/>
      <c r="K169" s="959"/>
      <c r="L169" s="959"/>
      <c r="M169" s="959"/>
      <c r="N169" s="959"/>
      <c r="O169" s="959"/>
      <c r="P169" s="959"/>
    </row>
    <row r="170" spans="2:16">
      <c r="B170" s="220" t="s">
        <v>414</v>
      </c>
      <c r="C170" s="175"/>
      <c r="D170" s="853"/>
      <c r="E170" s="853">
        <f>E160+E151+E77</f>
        <v>0</v>
      </c>
      <c r="F170" s="853">
        <f>F160+F151+F77</f>
        <v>0</v>
      </c>
      <c r="G170" s="853">
        <f>G160+G151+G77</f>
        <v>0</v>
      </c>
      <c r="H170" s="853">
        <f>+H167+H168</f>
        <v>1.0526708008717354</v>
      </c>
      <c r="I170" s="853">
        <f t="shared" ref="I170:P170" si="82">I160+I151+I77</f>
        <v>124.22375376440777</v>
      </c>
      <c r="J170" s="853">
        <f t="shared" si="82"/>
        <v>315.48995894596061</v>
      </c>
      <c r="K170" s="853">
        <f t="shared" si="82"/>
        <v>514.38043578849147</v>
      </c>
      <c r="L170" s="853">
        <f t="shared" si="82"/>
        <v>752.78510109628928</v>
      </c>
      <c r="M170" s="853">
        <f t="shared" si="82"/>
        <v>944.92709666777773</v>
      </c>
      <c r="N170" s="853">
        <f t="shared" si="82"/>
        <v>1119.9980431568652</v>
      </c>
      <c r="O170" s="853">
        <f t="shared" si="82"/>
        <v>1270.7050179755925</v>
      </c>
      <c r="P170" s="854">
        <f t="shared" si="82"/>
        <v>1440.8334749608932</v>
      </c>
    </row>
    <row r="171" spans="2:16">
      <c r="B171" s="369" t="s">
        <v>412</v>
      </c>
      <c r="C171" s="366"/>
      <c r="D171" s="366"/>
      <c r="E171" s="366"/>
      <c r="F171" s="366"/>
      <c r="G171" s="366"/>
      <c r="H171" s="366"/>
      <c r="I171" s="371">
        <f t="shared" ref="I171:N171" si="83">+I170/H170-1</f>
        <v>117.00816899408237</v>
      </c>
      <c r="J171" s="371">
        <f t="shared" si="83"/>
        <v>1.5396910766703451</v>
      </c>
      <c r="K171" s="371">
        <f t="shared" si="83"/>
        <v>0.63041777147842049</v>
      </c>
      <c r="L171" s="371">
        <f t="shared" si="83"/>
        <v>0.46347926305235232</v>
      </c>
      <c r="M171" s="371">
        <f t="shared" si="83"/>
        <v>0.25524149626722137</v>
      </c>
      <c r="N171" s="371">
        <f t="shared" si="83"/>
        <v>0.18527455409677995</v>
      </c>
      <c r="O171" s="371">
        <f>+O170/N170-1</f>
        <v>0.13456003404607686</v>
      </c>
      <c r="P171" s="371">
        <f>+P170/O170-1</f>
        <v>0.13388509101533153</v>
      </c>
    </row>
    <row r="181" spans="2:18">
      <c r="B181" s="12"/>
      <c r="C181" s="18"/>
      <c r="D181" s="131"/>
      <c r="E181" s="131"/>
      <c r="F181" s="131"/>
      <c r="G181" s="131"/>
      <c r="H181" s="132"/>
      <c r="I181" s="132"/>
      <c r="J181" s="132"/>
      <c r="K181" s="132"/>
      <c r="L181" s="132"/>
      <c r="M181" s="132"/>
      <c r="N181" s="132"/>
      <c r="O181" s="132"/>
      <c r="P181" s="132"/>
      <c r="R181" s="242"/>
    </row>
  </sheetData>
  <phoneticPr fontId="3"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3:O46"/>
  <sheetViews>
    <sheetView showGridLines="0" zoomScaleNormal="100" workbookViewId="0">
      <selection activeCell="D4" sqref="D4"/>
    </sheetView>
  </sheetViews>
  <sheetFormatPr defaultRowHeight="12.75" outlineLevelRow="1"/>
  <cols>
    <col min="1" max="1" width="9.140625" style="537"/>
    <col min="2" max="2" width="26.5703125" style="537" customWidth="1"/>
    <col min="3" max="16384" width="9.140625" style="537"/>
  </cols>
  <sheetData>
    <row r="3" spans="1:15" ht="17.25" customHeight="1">
      <c r="B3" s="535"/>
      <c r="C3" s="536">
        <v>2016</v>
      </c>
      <c r="D3" s="536">
        <f>C3+1</f>
        <v>2017</v>
      </c>
      <c r="E3" s="536">
        <f t="shared" ref="E3:O3" si="0">D3+1</f>
        <v>2018</v>
      </c>
      <c r="F3" s="536">
        <f t="shared" si="0"/>
        <v>2019</v>
      </c>
      <c r="G3" s="536">
        <f t="shared" si="0"/>
        <v>2020</v>
      </c>
      <c r="H3" s="536">
        <f t="shared" si="0"/>
        <v>2021</v>
      </c>
      <c r="I3" s="536">
        <f t="shared" si="0"/>
        <v>2022</v>
      </c>
      <c r="J3" s="536">
        <f t="shared" si="0"/>
        <v>2023</v>
      </c>
      <c r="K3" s="536">
        <f t="shared" si="0"/>
        <v>2024</v>
      </c>
      <c r="L3" s="536">
        <f t="shared" si="0"/>
        <v>2025</v>
      </c>
      <c r="M3" s="536">
        <f t="shared" si="0"/>
        <v>2026</v>
      </c>
      <c r="N3" s="536">
        <f t="shared" si="0"/>
        <v>2027</v>
      </c>
      <c r="O3" s="536">
        <f t="shared" si="0"/>
        <v>2028</v>
      </c>
    </row>
    <row r="4" spans="1:15" ht="17.25" customHeight="1">
      <c r="A4" s="570"/>
      <c r="B4" s="538" t="s">
        <v>298</v>
      </c>
      <c r="C4" s="549">
        <v>0.1</v>
      </c>
      <c r="D4" s="545">
        <v>3</v>
      </c>
      <c r="E4" s="545">
        <f t="shared" ref="E4:L4" si="1">D4*(1+E5)</f>
        <v>21</v>
      </c>
      <c r="F4" s="545">
        <f t="shared" si="1"/>
        <v>42</v>
      </c>
      <c r="G4" s="545">
        <f t="shared" si="1"/>
        <v>69.3</v>
      </c>
      <c r="H4" s="545">
        <f t="shared" si="1"/>
        <v>93.555000000000007</v>
      </c>
      <c r="I4" s="545">
        <f t="shared" si="1"/>
        <v>112.26600000000001</v>
      </c>
      <c r="J4" s="545">
        <f t="shared" si="1"/>
        <v>127.98324000000002</v>
      </c>
      <c r="K4" s="545">
        <f t="shared" si="1"/>
        <v>140.78156400000003</v>
      </c>
      <c r="L4" s="545">
        <f t="shared" si="1"/>
        <v>150.63627348000003</v>
      </c>
      <c r="M4" s="545">
        <f>L4*(1+M5)</f>
        <v>156.66172441920003</v>
      </c>
      <c r="N4" s="545">
        <f>M4*(1+N5)</f>
        <v>161.36157615177603</v>
      </c>
      <c r="O4" s="545">
        <f>N4*(1+O5)</f>
        <v>166.20242343632933</v>
      </c>
    </row>
    <row r="5" spans="1:15" ht="17.25" customHeight="1">
      <c r="A5" s="570"/>
      <c r="B5" s="539" t="s">
        <v>490</v>
      </c>
      <c r="C5" s="546"/>
      <c r="D5" s="546"/>
      <c r="E5" s="546">
        <f t="shared" ref="E5:N5" si="2">CHOOSE($B$43,E6,E7,E8)</f>
        <v>6</v>
      </c>
      <c r="F5" s="546">
        <f t="shared" si="2"/>
        <v>1</v>
      </c>
      <c r="G5" s="546">
        <f t="shared" si="2"/>
        <v>0.65</v>
      </c>
      <c r="H5" s="546">
        <f t="shared" si="2"/>
        <v>0.35</v>
      </c>
      <c r="I5" s="546">
        <f t="shared" si="2"/>
        <v>0.2</v>
      </c>
      <c r="J5" s="546">
        <f t="shared" si="2"/>
        <v>0.14000000000000001</v>
      </c>
      <c r="K5" s="546">
        <f t="shared" si="2"/>
        <v>0.1</v>
      </c>
      <c r="L5" s="546">
        <f t="shared" si="2"/>
        <v>7.0000000000000007E-2</v>
      </c>
      <c r="M5" s="546">
        <f t="shared" si="2"/>
        <v>0.04</v>
      </c>
      <c r="N5" s="546">
        <f t="shared" si="2"/>
        <v>0.03</v>
      </c>
      <c r="O5" s="546">
        <f>CHOOSE($B$43,O6,O7,O8)</f>
        <v>0.03</v>
      </c>
    </row>
    <row r="6" spans="1:15" ht="17.25" customHeight="1" outlineLevel="1">
      <c r="A6" s="570"/>
      <c r="B6" s="541" t="s">
        <v>428</v>
      </c>
      <c r="C6" s="548"/>
      <c r="D6" s="548"/>
      <c r="E6" s="548">
        <v>8</v>
      </c>
      <c r="F6" s="548">
        <v>1.25</v>
      </c>
      <c r="G6" s="548">
        <v>0.8</v>
      </c>
      <c r="H6" s="548">
        <v>0.5</v>
      </c>
      <c r="I6" s="548">
        <v>0.3</v>
      </c>
      <c r="J6" s="548">
        <v>0.23</v>
      </c>
      <c r="K6" s="548">
        <v>0.15</v>
      </c>
      <c r="L6" s="548">
        <f t="shared" ref="L6:O6" si="3">K7</f>
        <v>0.1</v>
      </c>
      <c r="M6" s="548">
        <f t="shared" si="3"/>
        <v>7.0000000000000007E-2</v>
      </c>
      <c r="N6" s="548">
        <f t="shared" si="3"/>
        <v>0.04</v>
      </c>
      <c r="O6" s="548">
        <f t="shared" si="3"/>
        <v>0.03</v>
      </c>
    </row>
    <row r="7" spans="1:15" ht="17.25" customHeight="1" outlineLevel="1">
      <c r="A7" s="570"/>
      <c r="B7" s="541" t="s">
        <v>429</v>
      </c>
      <c r="C7" s="548"/>
      <c r="D7" s="548"/>
      <c r="E7" s="548">
        <v>6</v>
      </c>
      <c r="F7" s="548">
        <v>1</v>
      </c>
      <c r="G7" s="548">
        <v>0.65</v>
      </c>
      <c r="H7" s="548">
        <v>0.35</v>
      </c>
      <c r="I7" s="548">
        <v>0.2</v>
      </c>
      <c r="J7" s="548">
        <v>0.14000000000000001</v>
      </c>
      <c r="K7" s="548">
        <v>0.1</v>
      </c>
      <c r="L7" s="548">
        <v>7.0000000000000007E-2</v>
      </c>
      <c r="M7" s="548">
        <v>0.04</v>
      </c>
      <c r="N7" s="548">
        <v>0.03</v>
      </c>
      <c r="O7" s="548">
        <f>N7</f>
        <v>0.03</v>
      </c>
    </row>
    <row r="8" spans="1:15" ht="17.25" customHeight="1" outlineLevel="1">
      <c r="A8" s="570"/>
      <c r="B8" s="541" t="s">
        <v>430</v>
      </c>
      <c r="C8" s="548"/>
      <c r="D8" s="548"/>
      <c r="E8" s="548">
        <v>2</v>
      </c>
      <c r="F8" s="548">
        <v>0.5</v>
      </c>
      <c r="G8" s="548">
        <v>0.3</v>
      </c>
      <c r="H8" s="548">
        <v>0.2</v>
      </c>
      <c r="I8" s="548">
        <v>0.12</v>
      </c>
      <c r="J8" s="548">
        <v>0.06</v>
      </c>
      <c r="K8" s="548">
        <v>0.04</v>
      </c>
      <c r="L8" s="548">
        <v>0.03</v>
      </c>
      <c r="M8" s="548">
        <v>0.02</v>
      </c>
      <c r="N8" s="548">
        <f t="shared" ref="N8:O8" si="4">M8</f>
        <v>0.02</v>
      </c>
      <c r="O8" s="548">
        <f t="shared" si="4"/>
        <v>0.02</v>
      </c>
    </row>
    <row r="9" spans="1:15" ht="17.25" customHeight="1">
      <c r="A9" s="570"/>
      <c r="B9" s="540" t="s">
        <v>485</v>
      </c>
      <c r="C9" s="545">
        <f>(C10+C11)*C4</f>
        <v>1.0000000000000002E-2</v>
      </c>
      <c r="D9" s="545">
        <f t="shared" ref="D9:O9" si="5">(D10+D11)*D4</f>
        <v>0.31500000000000006</v>
      </c>
      <c r="E9" s="545">
        <f t="shared" si="5"/>
        <v>2.31</v>
      </c>
      <c r="F9" s="545">
        <f t="shared" si="5"/>
        <v>4.83</v>
      </c>
      <c r="G9" s="545">
        <f t="shared" si="5"/>
        <v>8.3160000000000007</v>
      </c>
      <c r="H9" s="545">
        <f t="shared" si="5"/>
        <v>11.226600000000001</v>
      </c>
      <c r="I9" s="545">
        <f t="shared" si="5"/>
        <v>13.471920000000003</v>
      </c>
      <c r="J9" s="545">
        <f t="shared" si="5"/>
        <v>15.357988800000005</v>
      </c>
      <c r="K9" s="545">
        <f t="shared" si="5"/>
        <v>16.893787680000006</v>
      </c>
      <c r="L9" s="545">
        <f t="shared" si="5"/>
        <v>18.076352817600004</v>
      </c>
      <c r="M9" s="545">
        <f t="shared" si="5"/>
        <v>18.799406930304006</v>
      </c>
      <c r="N9" s="545">
        <f t="shared" si="5"/>
        <v>19.363389138213126</v>
      </c>
      <c r="O9" s="545">
        <f t="shared" si="5"/>
        <v>19.944290812359522</v>
      </c>
    </row>
    <row r="10" spans="1:15" ht="17.45" hidden="1" customHeight="1" outlineLevel="1">
      <c r="A10" s="570"/>
      <c r="B10" s="541" t="s">
        <v>486</v>
      </c>
      <c r="C10" s="546">
        <v>0.05</v>
      </c>
      <c r="D10" s="546">
        <f>C10</f>
        <v>0.05</v>
      </c>
      <c r="E10" s="546">
        <f t="shared" ref="E10:O10" si="6">D10</f>
        <v>0.05</v>
      </c>
      <c r="F10" s="546">
        <f t="shared" si="6"/>
        <v>0.05</v>
      </c>
      <c r="G10" s="546">
        <f t="shared" si="6"/>
        <v>0.05</v>
      </c>
      <c r="H10" s="546">
        <f t="shared" si="6"/>
        <v>0.05</v>
      </c>
      <c r="I10" s="546">
        <f t="shared" si="6"/>
        <v>0.05</v>
      </c>
      <c r="J10" s="546">
        <f t="shared" si="6"/>
        <v>0.05</v>
      </c>
      <c r="K10" s="546">
        <f t="shared" si="6"/>
        <v>0.05</v>
      </c>
      <c r="L10" s="546">
        <f t="shared" si="6"/>
        <v>0.05</v>
      </c>
      <c r="M10" s="546">
        <f t="shared" si="6"/>
        <v>0.05</v>
      </c>
      <c r="N10" s="546">
        <f t="shared" si="6"/>
        <v>0.05</v>
      </c>
      <c r="O10" s="546">
        <f t="shared" si="6"/>
        <v>0.05</v>
      </c>
    </row>
    <row r="11" spans="1:15" ht="17.45" hidden="1" customHeight="1" outlineLevel="1">
      <c r="A11" s="570"/>
      <c r="B11" s="541" t="s">
        <v>487</v>
      </c>
      <c r="C11" s="546">
        <v>0.05</v>
      </c>
      <c r="D11" s="546">
        <v>5.5E-2</v>
      </c>
      <c r="E11" s="546">
        <v>0.06</v>
      </c>
      <c r="F11" s="546">
        <v>6.5000000000000002E-2</v>
      </c>
      <c r="G11" s="546">
        <v>7.0000000000000007E-2</v>
      </c>
      <c r="H11" s="546">
        <f>G11</f>
        <v>7.0000000000000007E-2</v>
      </c>
      <c r="I11" s="546">
        <f t="shared" ref="I11:O11" si="7">H11</f>
        <v>7.0000000000000007E-2</v>
      </c>
      <c r="J11" s="546">
        <f t="shared" si="7"/>
        <v>7.0000000000000007E-2</v>
      </c>
      <c r="K11" s="546">
        <f t="shared" si="7"/>
        <v>7.0000000000000007E-2</v>
      </c>
      <c r="L11" s="546">
        <f t="shared" si="7"/>
        <v>7.0000000000000007E-2</v>
      </c>
      <c r="M11" s="546">
        <f t="shared" si="7"/>
        <v>7.0000000000000007E-2</v>
      </c>
      <c r="N11" s="546">
        <f t="shared" si="7"/>
        <v>7.0000000000000007E-2</v>
      </c>
      <c r="O11" s="546">
        <f t="shared" si="7"/>
        <v>7.0000000000000007E-2</v>
      </c>
    </row>
    <row r="12" spans="1:15" ht="17.25" customHeight="1" collapsed="1">
      <c r="A12" s="570"/>
      <c r="B12" s="540" t="s">
        <v>484</v>
      </c>
      <c r="C12" s="545">
        <f>C13+C14</f>
        <v>45</v>
      </c>
      <c r="D12" s="545">
        <f t="shared" ref="D12:L12" si="8">D13+D14</f>
        <v>80.2</v>
      </c>
      <c r="E12" s="545">
        <f t="shared" si="8"/>
        <v>82.903999999999996</v>
      </c>
      <c r="F12" s="545">
        <f t="shared" si="8"/>
        <v>85.612080000000006</v>
      </c>
      <c r="G12" s="545">
        <f t="shared" si="8"/>
        <v>89.574321600000005</v>
      </c>
      <c r="H12" s="545">
        <f t="shared" si="8"/>
        <v>91.365808032000004</v>
      </c>
      <c r="I12" s="545">
        <f t="shared" si="8"/>
        <v>93.193124192639999</v>
      </c>
      <c r="J12" s="545">
        <f t="shared" si="8"/>
        <v>95.056986676492812</v>
      </c>
      <c r="K12" s="545">
        <f t="shared" si="8"/>
        <v>96.958126410022672</v>
      </c>
      <c r="L12" s="545">
        <f t="shared" si="8"/>
        <v>98.897288938223127</v>
      </c>
      <c r="M12" s="545">
        <f>M13+M14</f>
        <v>100.87523471698759</v>
      </c>
      <c r="N12" s="545">
        <f>N13+N14</f>
        <v>90.458996327380817</v>
      </c>
      <c r="O12" s="545">
        <f>O13+O14</f>
        <v>45.229498163690408</v>
      </c>
    </row>
    <row r="13" spans="1:15" ht="17.25" customHeight="1">
      <c r="A13" s="570"/>
      <c r="B13" s="542" t="s">
        <v>13</v>
      </c>
      <c r="C13" s="549">
        <v>10</v>
      </c>
      <c r="D13" s="549">
        <f>C13*1.02</f>
        <v>10.199999999999999</v>
      </c>
      <c r="E13" s="549">
        <f t="shared" ref="E13:M13" si="9">D13*1.02</f>
        <v>10.404</v>
      </c>
      <c r="F13" s="549">
        <f t="shared" si="9"/>
        <v>10.612080000000001</v>
      </c>
      <c r="G13" s="545">
        <f t="shared" si="9"/>
        <v>10.824321600000001</v>
      </c>
      <c r="H13" s="545">
        <f t="shared" si="9"/>
        <v>11.040808032000001</v>
      </c>
      <c r="I13" s="545">
        <f t="shared" si="9"/>
        <v>11.261624192640001</v>
      </c>
      <c r="J13" s="545">
        <f t="shared" si="9"/>
        <v>11.486856676492801</v>
      </c>
      <c r="K13" s="545">
        <f t="shared" si="9"/>
        <v>11.716593810022657</v>
      </c>
      <c r="L13" s="545">
        <f t="shared" si="9"/>
        <v>11.95092568622311</v>
      </c>
      <c r="M13" s="545">
        <f t="shared" si="9"/>
        <v>12.189944199947572</v>
      </c>
      <c r="N13" s="549">
        <v>0</v>
      </c>
      <c r="O13" s="549">
        <v>0</v>
      </c>
    </row>
    <row r="14" spans="1:15" ht="17.25" customHeight="1">
      <c r="A14" s="570"/>
      <c r="B14" s="542" t="s">
        <v>15</v>
      </c>
      <c r="C14" s="549">
        <v>35</v>
      </c>
      <c r="D14" s="549">
        <v>70</v>
      </c>
      <c r="E14" s="549">
        <v>72.5</v>
      </c>
      <c r="F14" s="549">
        <v>75</v>
      </c>
      <c r="G14" s="545">
        <f>F14*1.05</f>
        <v>78.75</v>
      </c>
      <c r="H14" s="545">
        <f>G14*1.02</f>
        <v>80.325000000000003</v>
      </c>
      <c r="I14" s="545">
        <f t="shared" ref="I14:N14" si="10">H14*1.02</f>
        <v>81.9315</v>
      </c>
      <c r="J14" s="545">
        <f t="shared" si="10"/>
        <v>83.570130000000006</v>
      </c>
      <c r="K14" s="545">
        <f t="shared" si="10"/>
        <v>85.241532600000014</v>
      </c>
      <c r="L14" s="545">
        <f t="shared" si="10"/>
        <v>86.946363252000012</v>
      </c>
      <c r="M14" s="545">
        <f t="shared" si="10"/>
        <v>88.685290517040016</v>
      </c>
      <c r="N14" s="545">
        <f t="shared" si="10"/>
        <v>90.458996327380817</v>
      </c>
      <c r="O14" s="545">
        <f>N14/2</f>
        <v>45.229498163690408</v>
      </c>
    </row>
    <row r="15" spans="1:15" ht="17.25" customHeight="1">
      <c r="A15" s="570"/>
      <c r="B15" s="540" t="s">
        <v>83</v>
      </c>
      <c r="C15" s="549">
        <f>C4-C9-C12</f>
        <v>-44.91</v>
      </c>
      <c r="D15" s="549">
        <f t="shared" ref="D15:O15" si="11">D4-D9-D12</f>
        <v>-77.515000000000001</v>
      </c>
      <c r="E15" s="549">
        <f t="shared" si="11"/>
        <v>-64.213999999999999</v>
      </c>
      <c r="F15" s="549">
        <f t="shared" si="11"/>
        <v>-48.442080000000004</v>
      </c>
      <c r="G15" s="549">
        <f t="shared" si="11"/>
        <v>-28.59032160000001</v>
      </c>
      <c r="H15" s="549">
        <f t="shared" si="11"/>
        <v>-9.0374080320000019</v>
      </c>
      <c r="I15" s="549">
        <f t="shared" si="11"/>
        <v>5.600955807360009</v>
      </c>
      <c r="J15" s="549">
        <f t="shared" si="11"/>
        <v>17.56826452350721</v>
      </c>
      <c r="K15" s="549">
        <f t="shared" si="11"/>
        <v>26.929649909977357</v>
      </c>
      <c r="L15" s="549">
        <f t="shared" si="11"/>
        <v>33.662631724176904</v>
      </c>
      <c r="M15" s="549">
        <f t="shared" si="11"/>
        <v>36.987082771908433</v>
      </c>
      <c r="N15" s="549">
        <f t="shared" si="11"/>
        <v>51.539190686182081</v>
      </c>
      <c r="O15" s="549">
        <f t="shared" si="11"/>
        <v>101.02863446027939</v>
      </c>
    </row>
    <row r="16" spans="1:15" ht="17.25" customHeight="1">
      <c r="A16" s="570"/>
      <c r="B16" s="540" t="s">
        <v>473</v>
      </c>
      <c r="C16" s="545">
        <f>C17*C15</f>
        <v>0</v>
      </c>
      <c r="D16" s="545">
        <f t="shared" ref="D16:O16" si="12">D17*D15</f>
        <v>0</v>
      </c>
      <c r="E16" s="545">
        <f t="shared" si="12"/>
        <v>0</v>
      </c>
      <c r="F16" s="545">
        <f t="shared" si="12"/>
        <v>0</v>
      </c>
      <c r="G16" s="545">
        <f t="shared" si="12"/>
        <v>0</v>
      </c>
      <c r="H16" s="545">
        <f t="shared" si="12"/>
        <v>0</v>
      </c>
      <c r="I16" s="545">
        <f t="shared" si="12"/>
        <v>1.9603345325760031</v>
      </c>
      <c r="J16" s="545">
        <f t="shared" si="12"/>
        <v>6.1488925832275232</v>
      </c>
      <c r="K16" s="545">
        <f t="shared" si="12"/>
        <v>9.4253774684920746</v>
      </c>
      <c r="L16" s="545">
        <f t="shared" si="12"/>
        <v>11.781921103461915</v>
      </c>
      <c r="M16" s="545">
        <f t="shared" si="12"/>
        <v>12.945478970167951</v>
      </c>
      <c r="N16" s="545">
        <f t="shared" si="12"/>
        <v>18.038716740163729</v>
      </c>
      <c r="O16" s="545">
        <f t="shared" si="12"/>
        <v>35.360022061097787</v>
      </c>
    </row>
    <row r="17" spans="1:15" ht="17.45" hidden="1" customHeight="1" outlineLevel="1">
      <c r="A17" s="570"/>
      <c r="B17" s="544" t="s">
        <v>488</v>
      </c>
      <c r="C17" s="547">
        <f>IF(C15&gt;0,0.35,0)</f>
        <v>0</v>
      </c>
      <c r="D17" s="547">
        <f t="shared" ref="D17:O17" si="13">IF(D15&gt;0,0.35,0)</f>
        <v>0</v>
      </c>
      <c r="E17" s="547">
        <f t="shared" si="13"/>
        <v>0</v>
      </c>
      <c r="F17" s="547">
        <f t="shared" si="13"/>
        <v>0</v>
      </c>
      <c r="G17" s="547">
        <f t="shared" si="13"/>
        <v>0</v>
      </c>
      <c r="H17" s="547">
        <f t="shared" si="13"/>
        <v>0</v>
      </c>
      <c r="I17" s="547">
        <f t="shared" si="13"/>
        <v>0.35</v>
      </c>
      <c r="J17" s="547">
        <f t="shared" si="13"/>
        <v>0.35</v>
      </c>
      <c r="K17" s="547">
        <f t="shared" si="13"/>
        <v>0.35</v>
      </c>
      <c r="L17" s="547">
        <f t="shared" si="13"/>
        <v>0.35</v>
      </c>
      <c r="M17" s="547">
        <f t="shared" si="13"/>
        <v>0.35</v>
      </c>
      <c r="N17" s="547">
        <f t="shared" si="13"/>
        <v>0.35</v>
      </c>
      <c r="O17" s="547">
        <f t="shared" si="13"/>
        <v>0.35</v>
      </c>
    </row>
    <row r="18" spans="1:15" ht="17.25" customHeight="1" collapsed="1" thickBot="1">
      <c r="A18" s="570"/>
      <c r="B18" s="568" t="s">
        <v>489</v>
      </c>
      <c r="C18" s="569">
        <f>C15-C16</f>
        <v>-44.91</v>
      </c>
      <c r="D18" s="569">
        <f t="shared" ref="D18:O18" si="14">D15-D16</f>
        <v>-77.515000000000001</v>
      </c>
      <c r="E18" s="569">
        <f t="shared" si="14"/>
        <v>-64.213999999999999</v>
      </c>
      <c r="F18" s="569">
        <f t="shared" si="14"/>
        <v>-48.442080000000004</v>
      </c>
      <c r="G18" s="569">
        <f t="shared" si="14"/>
        <v>-28.59032160000001</v>
      </c>
      <c r="H18" s="569">
        <f t="shared" si="14"/>
        <v>-9.0374080320000019</v>
      </c>
      <c r="I18" s="569">
        <f t="shared" si="14"/>
        <v>3.6406212747840057</v>
      </c>
      <c r="J18" s="569">
        <f t="shared" si="14"/>
        <v>11.419371940279687</v>
      </c>
      <c r="K18" s="569">
        <f t="shared" si="14"/>
        <v>17.504272441485284</v>
      </c>
      <c r="L18" s="569">
        <f t="shared" si="14"/>
        <v>21.880710620714989</v>
      </c>
      <c r="M18" s="569">
        <f t="shared" si="14"/>
        <v>24.041603801740482</v>
      </c>
      <c r="N18" s="569">
        <f t="shared" si="14"/>
        <v>33.500473946018353</v>
      </c>
      <c r="O18" s="569">
        <f t="shared" si="14"/>
        <v>65.668612399181598</v>
      </c>
    </row>
    <row r="19" spans="1:15" ht="17.25" customHeight="1" thickTop="1">
      <c r="B19" s="553"/>
      <c r="C19" s="566"/>
      <c r="D19" s="566"/>
      <c r="E19" s="566"/>
      <c r="F19" s="566"/>
      <c r="G19" s="566"/>
      <c r="H19" s="566"/>
      <c r="I19" s="566"/>
      <c r="J19" s="566"/>
      <c r="K19" s="566"/>
      <c r="L19" s="566"/>
      <c r="M19" s="566"/>
      <c r="N19" s="566"/>
      <c r="O19" s="566"/>
    </row>
    <row r="20" spans="1:15" ht="17.25" customHeight="1">
      <c r="B20" s="558" t="s">
        <v>497</v>
      </c>
      <c r="C20" s="559">
        <f>C18/((1+$C$39)^(C3-$C$40))</f>
        <v>-50.592240354460678</v>
      </c>
      <c r="D20" s="559">
        <f t="shared" ref="D20:O20" si="15">D18/((1+$C$39)^(D3-$C$40))</f>
        <v>-79.384172609380769</v>
      </c>
      <c r="E20" s="559">
        <f t="shared" si="15"/>
        <v>-59.784033118971415</v>
      </c>
      <c r="F20" s="559">
        <f t="shared" si="15"/>
        <v>-41.000163021259354</v>
      </c>
      <c r="G20" s="559">
        <f t="shared" si="15"/>
        <v>-21.998301822604585</v>
      </c>
      <c r="H20" s="559">
        <f t="shared" si="15"/>
        <v>-6.3215171637271457</v>
      </c>
      <c r="I20" s="559">
        <f t="shared" si="15"/>
        <v>2.3150493224372166</v>
      </c>
      <c r="J20" s="559">
        <f t="shared" si="15"/>
        <v>6.6013730968265971</v>
      </c>
      <c r="K20" s="559">
        <f t="shared" si="15"/>
        <v>9.1990597428373135</v>
      </c>
      <c r="L20" s="559">
        <f t="shared" si="15"/>
        <v>10.453653783334319</v>
      </c>
      <c r="M20" s="559">
        <f t="shared" si="15"/>
        <v>10.44184977253045</v>
      </c>
      <c r="N20" s="559">
        <f t="shared" si="15"/>
        <v>13.227332507642812</v>
      </c>
      <c r="O20" s="559">
        <f t="shared" si="15"/>
        <v>23.571459505025057</v>
      </c>
    </row>
    <row r="21" spans="1:15" ht="17.25" customHeight="1">
      <c r="B21" s="1075" t="s">
        <v>498</v>
      </c>
      <c r="C21" s="549">
        <v>0</v>
      </c>
      <c r="D21" s="549">
        <v>0</v>
      </c>
      <c r="E21" s="549">
        <v>50</v>
      </c>
      <c r="F21" s="549">
        <v>50</v>
      </c>
      <c r="G21" s="549">
        <v>30</v>
      </c>
      <c r="H21" s="549">
        <v>0</v>
      </c>
      <c r="I21" s="549">
        <v>0</v>
      </c>
      <c r="J21" s="549">
        <v>35</v>
      </c>
      <c r="K21" s="545">
        <v>0</v>
      </c>
      <c r="L21" s="545">
        <f>K21</f>
        <v>0</v>
      </c>
      <c r="M21" s="545">
        <f>L21</f>
        <v>0</v>
      </c>
      <c r="N21" s="545">
        <f>M21</f>
        <v>0</v>
      </c>
      <c r="O21" s="545">
        <f>N21</f>
        <v>0</v>
      </c>
    </row>
    <row r="22" spans="1:15" ht="17.45" hidden="1" customHeight="1" outlineLevel="1">
      <c r="B22" s="584" t="s">
        <v>513</v>
      </c>
      <c r="C22" s="585"/>
      <c r="D22" s="585"/>
      <c r="E22" s="586"/>
      <c r="F22" s="587">
        <v>5</v>
      </c>
      <c r="G22" s="585"/>
      <c r="H22" s="585"/>
      <c r="I22" s="585"/>
      <c r="J22" s="585"/>
      <c r="K22" s="585"/>
      <c r="L22" s="585"/>
      <c r="M22" s="585"/>
      <c r="N22" s="585"/>
      <c r="O22" s="585"/>
    </row>
    <row r="23" spans="1:15" ht="17.45" hidden="1" customHeight="1" outlineLevel="1">
      <c r="B23" s="581" t="s">
        <v>496</v>
      </c>
      <c r="C23" s="582">
        <f>$C$35/$F$22</f>
        <v>20</v>
      </c>
      <c r="D23" s="582">
        <f>IF(C24=0,0,$C$35/$F$22)</f>
        <v>20</v>
      </c>
      <c r="E23" s="582">
        <f t="shared" ref="E23:O23" si="16">IF(D24=0,0,$C$35/$F$22)</f>
        <v>20</v>
      </c>
      <c r="F23" s="582">
        <f t="shared" si="16"/>
        <v>20</v>
      </c>
      <c r="G23" s="582">
        <f>IF(F24=0,0,$C$35/$F$22)</f>
        <v>20</v>
      </c>
      <c r="H23" s="582">
        <f t="shared" si="16"/>
        <v>0</v>
      </c>
      <c r="I23" s="582">
        <f t="shared" si="16"/>
        <v>0</v>
      </c>
      <c r="J23" s="582">
        <f t="shared" si="16"/>
        <v>0</v>
      </c>
      <c r="K23" s="583">
        <f t="shared" si="16"/>
        <v>0</v>
      </c>
      <c r="L23" s="583">
        <f t="shared" si="16"/>
        <v>0</v>
      </c>
      <c r="M23" s="583">
        <f t="shared" si="16"/>
        <v>0</v>
      </c>
      <c r="N23" s="583">
        <f t="shared" si="16"/>
        <v>0</v>
      </c>
      <c r="O23" s="583">
        <f t="shared" si="16"/>
        <v>0</v>
      </c>
    </row>
    <row r="24" spans="1:15" ht="17.45" hidden="1" customHeight="1" outlineLevel="1">
      <c r="B24" s="577" t="s">
        <v>512</v>
      </c>
      <c r="C24" s="571">
        <f>$C$35-C23</f>
        <v>80</v>
      </c>
      <c r="D24" s="578">
        <f>$C$35-SUM($C$23:D23)</f>
        <v>60</v>
      </c>
      <c r="E24" s="578">
        <f>$C$35-SUM($C$23:E23)</f>
        <v>40</v>
      </c>
      <c r="F24" s="578">
        <f>$C$35-SUM($C$23:F23)</f>
        <v>20</v>
      </c>
      <c r="G24" s="578">
        <f>$C$35-SUM($C$23:G23)</f>
        <v>0</v>
      </c>
      <c r="H24" s="578">
        <f>$C$35-SUM($C$23:H23)</f>
        <v>0</v>
      </c>
      <c r="I24" s="578">
        <f>$C$35-SUM($C$23:I23)</f>
        <v>0</v>
      </c>
      <c r="J24" s="578">
        <f>$C$35-SUM($C$23:J23)</f>
        <v>0</v>
      </c>
      <c r="K24" s="578">
        <f>$C$35-SUM($C$23:K23)</f>
        <v>0</v>
      </c>
      <c r="L24" s="578">
        <f>$C$35-SUM($C$23:L23)</f>
        <v>0</v>
      </c>
      <c r="M24" s="578">
        <f>$C$35-SUM($C$23:M23)</f>
        <v>0</v>
      </c>
      <c r="N24" s="578">
        <f>$C$35-SUM($C$23:N23)</f>
        <v>0</v>
      </c>
      <c r="O24" s="578">
        <f>$C$35-SUM($C$23:O23)</f>
        <v>0</v>
      </c>
    </row>
    <row r="25" spans="1:15" ht="17.45" hidden="1" customHeight="1" outlineLevel="1">
      <c r="B25" s="572" t="s">
        <v>507</v>
      </c>
      <c r="C25" s="579">
        <v>0</v>
      </c>
      <c r="D25" s="573">
        <f>$D$21/$F$22</f>
        <v>0</v>
      </c>
      <c r="E25" s="573">
        <f>IF(D26=0,0,$D$21/$F$22)</f>
        <v>0</v>
      </c>
      <c r="F25" s="573">
        <f>IF(E26=0,0,$D$21/$F$22)</f>
        <v>0</v>
      </c>
      <c r="G25" s="573">
        <f>IF(F26=0,0,$D$21/$F$22)</f>
        <v>0</v>
      </c>
      <c r="H25" s="573">
        <f>IF(G26=0,0,$D$21/$F$22)</f>
        <v>0</v>
      </c>
      <c r="I25" s="573">
        <f t="shared" ref="I25:O25" si="17">IF(H26=0,0,$D$21/$F$22)</f>
        <v>0</v>
      </c>
      <c r="J25" s="573">
        <f t="shared" si="17"/>
        <v>0</v>
      </c>
      <c r="K25" s="574">
        <f t="shared" si="17"/>
        <v>0</v>
      </c>
      <c r="L25" s="574">
        <f t="shared" si="17"/>
        <v>0</v>
      </c>
      <c r="M25" s="574">
        <f t="shared" si="17"/>
        <v>0</v>
      </c>
      <c r="N25" s="574">
        <f t="shared" si="17"/>
        <v>0</v>
      </c>
      <c r="O25" s="574">
        <f t="shared" si="17"/>
        <v>0</v>
      </c>
    </row>
    <row r="26" spans="1:15" ht="17.45" hidden="1" customHeight="1" outlineLevel="1">
      <c r="B26" s="577" t="s">
        <v>511</v>
      </c>
      <c r="C26" s="580">
        <v>0</v>
      </c>
      <c r="D26" s="578">
        <f>$D$21-D25</f>
        <v>0</v>
      </c>
      <c r="E26" s="578">
        <f>$D$21-SUM($D$25:E25)</f>
        <v>0</v>
      </c>
      <c r="F26" s="578">
        <f>$D$21-SUM($D$25:F25)</f>
        <v>0</v>
      </c>
      <c r="G26" s="578">
        <f>$D$21-SUM($D$25:G25)</f>
        <v>0</v>
      </c>
      <c r="H26" s="578">
        <f>$D$21-SUM($D$25:H25)</f>
        <v>0</v>
      </c>
      <c r="I26" s="578">
        <f>$D$21-SUM($D$25:I25)</f>
        <v>0</v>
      </c>
      <c r="J26" s="578">
        <f>$D$21-SUM($D$25:J25)</f>
        <v>0</v>
      </c>
      <c r="K26" s="578">
        <f>$D$21-SUM($D$25:K25)</f>
        <v>0</v>
      </c>
      <c r="L26" s="578">
        <f>$D$21-SUM($D$25:L25)</f>
        <v>0</v>
      </c>
      <c r="M26" s="578">
        <f>$D$21-SUM($D$25:M25)</f>
        <v>0</v>
      </c>
      <c r="N26" s="578">
        <f>$D$21-SUM($D$25:N25)</f>
        <v>0</v>
      </c>
      <c r="O26" s="578">
        <f>$D$21-SUM($D$25:O25)</f>
        <v>0</v>
      </c>
    </row>
    <row r="27" spans="1:15" ht="17.45" hidden="1" customHeight="1" outlineLevel="1">
      <c r="B27" s="572" t="s">
        <v>508</v>
      </c>
      <c r="C27" s="579">
        <v>0</v>
      </c>
      <c r="D27" s="579">
        <v>0</v>
      </c>
      <c r="E27" s="573">
        <f>$E$21/$F$22</f>
        <v>10</v>
      </c>
      <c r="F27" s="573">
        <f>IF(E28=0,0,$E$21/$F$22)</f>
        <v>10</v>
      </c>
      <c r="G27" s="573">
        <f t="shared" ref="G27:O27" si="18">IF(F28=0,0,$E$21/$F$22)</f>
        <v>10</v>
      </c>
      <c r="H27" s="573">
        <f t="shared" si="18"/>
        <v>10</v>
      </c>
      <c r="I27" s="573">
        <f t="shared" si="18"/>
        <v>10</v>
      </c>
      <c r="J27" s="573">
        <f t="shared" si="18"/>
        <v>0</v>
      </c>
      <c r="K27" s="574">
        <f t="shared" si="18"/>
        <v>0</v>
      </c>
      <c r="L27" s="574">
        <f t="shared" si="18"/>
        <v>0</v>
      </c>
      <c r="M27" s="574">
        <f t="shared" si="18"/>
        <v>0</v>
      </c>
      <c r="N27" s="574">
        <f t="shared" si="18"/>
        <v>0</v>
      </c>
      <c r="O27" s="574">
        <f t="shared" si="18"/>
        <v>0</v>
      </c>
    </row>
    <row r="28" spans="1:15" ht="17.45" hidden="1" customHeight="1" outlineLevel="1">
      <c r="B28" s="577" t="s">
        <v>511</v>
      </c>
      <c r="C28" s="580">
        <v>0</v>
      </c>
      <c r="D28" s="580">
        <v>0</v>
      </c>
      <c r="E28" s="578">
        <f>$E$21-E27</f>
        <v>40</v>
      </c>
      <c r="F28" s="578">
        <f>$E$21-SUM($E$27:F27)</f>
        <v>30</v>
      </c>
      <c r="G28" s="578">
        <f>$E$21-SUM($E$27:G27)</f>
        <v>20</v>
      </c>
      <c r="H28" s="578">
        <f>$E$21-SUM($E$27:H27)</f>
        <v>10</v>
      </c>
      <c r="I28" s="578">
        <f>$E$21-SUM($E$27:I27)</f>
        <v>0</v>
      </c>
      <c r="J28" s="578">
        <f>$E$21-SUM($E$27:J27)</f>
        <v>0</v>
      </c>
      <c r="K28" s="578">
        <f>$E$21-SUM($E$27:K27)</f>
        <v>0</v>
      </c>
      <c r="L28" s="578">
        <f>$E$21-SUM($E$27:L27)</f>
        <v>0</v>
      </c>
      <c r="M28" s="578">
        <f>$E$21-SUM($E$27:M27)</f>
        <v>0</v>
      </c>
      <c r="N28" s="578">
        <f>$E$21-SUM($E$27:N27)</f>
        <v>0</v>
      </c>
      <c r="O28" s="578">
        <f>$E$21-SUM($E$27:O27)</f>
        <v>0</v>
      </c>
    </row>
    <row r="29" spans="1:15" ht="17.45" hidden="1" customHeight="1" outlineLevel="1">
      <c r="B29" s="572" t="s">
        <v>509</v>
      </c>
      <c r="C29" s="579">
        <v>0</v>
      </c>
      <c r="D29" s="579">
        <v>0</v>
      </c>
      <c r="E29" s="579">
        <v>0</v>
      </c>
      <c r="F29" s="573">
        <f>$F$21/$F$22</f>
        <v>10</v>
      </c>
      <c r="G29" s="573">
        <f>IF(F30=0,0,$F$21/$F$22)</f>
        <v>10</v>
      </c>
      <c r="H29" s="573">
        <f t="shared" ref="H29:O29" si="19">IF(G30=0,0,$F$21/$F$22)</f>
        <v>10</v>
      </c>
      <c r="I29" s="573">
        <f t="shared" si="19"/>
        <v>10</v>
      </c>
      <c r="J29" s="573">
        <f t="shared" si="19"/>
        <v>10</v>
      </c>
      <c r="K29" s="574">
        <f t="shared" si="19"/>
        <v>0</v>
      </c>
      <c r="L29" s="574">
        <f t="shared" si="19"/>
        <v>0</v>
      </c>
      <c r="M29" s="574">
        <f t="shared" si="19"/>
        <v>0</v>
      </c>
      <c r="N29" s="574">
        <f>IF(M30=0,0,$F$21/$F$22)</f>
        <v>0</v>
      </c>
      <c r="O29" s="574">
        <f t="shared" si="19"/>
        <v>0</v>
      </c>
    </row>
    <row r="30" spans="1:15" ht="17.45" hidden="1" customHeight="1" outlineLevel="1">
      <c r="B30" s="577" t="s">
        <v>511</v>
      </c>
      <c r="C30" s="580">
        <v>0</v>
      </c>
      <c r="D30" s="580">
        <v>0</v>
      </c>
      <c r="E30" s="580">
        <v>0</v>
      </c>
      <c r="F30" s="578">
        <f>$F$21-F29</f>
        <v>40</v>
      </c>
      <c r="G30" s="578">
        <f>$F$21-SUM($F$29:G29)</f>
        <v>30</v>
      </c>
      <c r="H30" s="578">
        <f>$F$21-SUM($F$29:H29)</f>
        <v>20</v>
      </c>
      <c r="I30" s="578">
        <f>$F$21-SUM($F$29:I29)</f>
        <v>10</v>
      </c>
      <c r="J30" s="578">
        <f>$F$21-SUM($F$29:J29)</f>
        <v>0</v>
      </c>
      <c r="K30" s="578">
        <f>$F$21-SUM($F$29:K29)</f>
        <v>0</v>
      </c>
      <c r="L30" s="578">
        <f>$F$21-SUM($F$29:L29)</f>
        <v>0</v>
      </c>
      <c r="M30" s="578">
        <f>$F$21-SUM($F$29:M29)</f>
        <v>0</v>
      </c>
      <c r="N30" s="578">
        <f>$F$21-SUM($F$29:N29)</f>
        <v>0</v>
      </c>
      <c r="O30" s="578">
        <f>$F$21-SUM($F$29:O29)</f>
        <v>0</v>
      </c>
    </row>
    <row r="31" spans="1:15" ht="17.45" hidden="1" customHeight="1" outlineLevel="1">
      <c r="B31" s="572" t="s">
        <v>510</v>
      </c>
      <c r="C31" s="579">
        <v>0</v>
      </c>
      <c r="D31" s="579">
        <v>0</v>
      </c>
      <c r="E31" s="579">
        <v>0</v>
      </c>
      <c r="F31" s="579">
        <v>0</v>
      </c>
      <c r="G31" s="579">
        <v>0</v>
      </c>
      <c r="H31" s="579">
        <v>0</v>
      </c>
      <c r="I31" s="573">
        <f>$I$21/$F$22</f>
        <v>0</v>
      </c>
      <c r="J31" s="573">
        <f t="shared" ref="J31:O31" si="20">IF(I32=0,0,$I$21/$F$22)</f>
        <v>0</v>
      </c>
      <c r="K31" s="574">
        <f t="shared" si="20"/>
        <v>0</v>
      </c>
      <c r="L31" s="574">
        <f t="shared" si="20"/>
        <v>0</v>
      </c>
      <c r="M31" s="574">
        <f t="shared" si="20"/>
        <v>0</v>
      </c>
      <c r="N31" s="574">
        <f t="shared" si="20"/>
        <v>0</v>
      </c>
      <c r="O31" s="574">
        <f t="shared" si="20"/>
        <v>0</v>
      </c>
    </row>
    <row r="32" spans="1:15" ht="17.45" hidden="1" customHeight="1" outlineLevel="1">
      <c r="B32" s="577" t="s">
        <v>511</v>
      </c>
      <c r="C32" s="580">
        <v>0</v>
      </c>
      <c r="D32" s="580">
        <v>0</v>
      </c>
      <c r="E32" s="580">
        <v>0</v>
      </c>
      <c r="F32" s="580">
        <v>0</v>
      </c>
      <c r="G32" s="580">
        <v>0</v>
      </c>
      <c r="H32" s="580">
        <v>0</v>
      </c>
      <c r="I32" s="578">
        <f>$I$21-I31</f>
        <v>0</v>
      </c>
      <c r="J32" s="578">
        <f>$I$21-SUM($I$31:J31)</f>
        <v>0</v>
      </c>
      <c r="K32" s="578">
        <f>$I$21-SUM($I$31:K31)</f>
        <v>0</v>
      </c>
      <c r="L32" s="578">
        <f>$I$21-SUM($I$31:L31)</f>
        <v>0</v>
      </c>
      <c r="M32" s="578">
        <f>$I$21-SUM($I$31:M31)</f>
        <v>0</v>
      </c>
      <c r="N32" s="578">
        <f>$I$21-SUM($I$31:N31)</f>
        <v>0</v>
      </c>
      <c r="O32" s="578">
        <f>$I$21-SUM($I$31:O31)</f>
        <v>0</v>
      </c>
    </row>
    <row r="33" spans="2:15" ht="17.45" hidden="1" customHeight="1" outlineLevel="1">
      <c r="B33" s="575" t="s">
        <v>506</v>
      </c>
      <c r="C33" s="576">
        <f>C23+C25+C27+C29+C31</f>
        <v>20</v>
      </c>
      <c r="D33" s="576">
        <f t="shared" ref="D33:O33" si="21">D23+D25+D27+D29+D31</f>
        <v>20</v>
      </c>
      <c r="E33" s="576">
        <f t="shared" si="21"/>
        <v>30</v>
      </c>
      <c r="F33" s="576">
        <f t="shared" si="21"/>
        <v>40</v>
      </c>
      <c r="G33" s="576">
        <f t="shared" si="21"/>
        <v>40</v>
      </c>
      <c r="H33" s="576">
        <f t="shared" si="21"/>
        <v>20</v>
      </c>
      <c r="I33" s="576">
        <f t="shared" si="21"/>
        <v>20</v>
      </c>
      <c r="J33" s="576">
        <f t="shared" si="21"/>
        <v>10</v>
      </c>
      <c r="K33" s="576">
        <f t="shared" si="21"/>
        <v>0</v>
      </c>
      <c r="L33" s="576">
        <f t="shared" si="21"/>
        <v>0</v>
      </c>
      <c r="M33" s="576">
        <f t="shared" si="21"/>
        <v>0</v>
      </c>
      <c r="N33" s="576">
        <f t="shared" si="21"/>
        <v>0</v>
      </c>
      <c r="O33" s="576">
        <f t="shared" si="21"/>
        <v>0</v>
      </c>
    </row>
    <row r="34" spans="2:15" ht="17.25" customHeight="1" collapsed="1">
      <c r="B34" s="558" t="s">
        <v>499</v>
      </c>
      <c r="C34" s="559">
        <f>C21/((1+$C$39)^(C3-$C$40))</f>
        <v>0</v>
      </c>
      <c r="D34" s="559">
        <f t="shared" ref="D34:O34" si="22">D21/((1+$C$39)^(D3-$C$40))</f>
        <v>0</v>
      </c>
      <c r="E34" s="559">
        <f t="shared" si="22"/>
        <v>46.550622231111142</v>
      </c>
      <c r="F34" s="559">
        <f t="shared" si="22"/>
        <v>42.318747482828307</v>
      </c>
      <c r="G34" s="559">
        <f t="shared" si="22"/>
        <v>23.082953172451802</v>
      </c>
      <c r="H34" s="559">
        <f t="shared" si="22"/>
        <v>0</v>
      </c>
      <c r="I34" s="559">
        <f t="shared" si="22"/>
        <v>0</v>
      </c>
      <c r="J34" s="559">
        <f t="shared" si="22"/>
        <v>20.232991761477908</v>
      </c>
      <c r="K34" s="559">
        <f t="shared" si="22"/>
        <v>0</v>
      </c>
      <c r="L34" s="559">
        <f t="shared" si="22"/>
        <v>0</v>
      </c>
      <c r="M34" s="559">
        <f t="shared" si="22"/>
        <v>0</v>
      </c>
      <c r="N34" s="559">
        <f t="shared" si="22"/>
        <v>0</v>
      </c>
      <c r="O34" s="559">
        <f t="shared" si="22"/>
        <v>0</v>
      </c>
    </row>
    <row r="35" spans="2:15" ht="17.25" customHeight="1">
      <c r="B35" s="540" t="s">
        <v>496</v>
      </c>
      <c r="C35" s="549">
        <v>100</v>
      </c>
      <c r="D35" s="545"/>
      <c r="E35" s="545"/>
      <c r="F35" s="545"/>
      <c r="G35" s="545"/>
      <c r="H35" s="545"/>
      <c r="I35" s="545"/>
      <c r="J35" s="545"/>
      <c r="K35" s="545"/>
      <c r="L35" s="545"/>
      <c r="M35" s="545"/>
      <c r="N35" s="545"/>
      <c r="O35" s="545"/>
    </row>
    <row r="36" spans="2:15" ht="17.25" customHeight="1">
      <c r="B36" s="564" t="s">
        <v>500</v>
      </c>
      <c r="C36" s="565">
        <f>SUM(C20:O20)-SUM(C34:O34)-C35</f>
        <v>-415.45596500763929</v>
      </c>
      <c r="D36" s="545"/>
      <c r="E36" s="545"/>
      <c r="F36" s="545"/>
      <c r="G36" s="545"/>
      <c r="H36" s="545"/>
      <c r="I36" s="545"/>
      <c r="J36" s="545"/>
      <c r="K36" s="545"/>
      <c r="L36" s="545"/>
      <c r="M36" s="545"/>
      <c r="N36" s="545"/>
      <c r="O36" s="545"/>
    </row>
    <row r="37" spans="2:15" ht="17.25" customHeight="1" thickBot="1">
      <c r="B37" s="555" t="s">
        <v>494</v>
      </c>
      <c r="C37" s="556">
        <f>DCF!P20</f>
        <v>146.274</v>
      </c>
      <c r="D37" s="545"/>
      <c r="E37" s="545"/>
      <c r="F37" s="545"/>
      <c r="G37" s="545"/>
      <c r="H37" s="545"/>
      <c r="I37" s="545"/>
      <c r="J37" s="545"/>
      <c r="K37" s="545"/>
      <c r="L37" s="545"/>
      <c r="M37" s="545"/>
      <c r="N37" s="545"/>
      <c r="O37" s="545"/>
    </row>
    <row r="38" spans="2:15" ht="17.25" customHeight="1" thickBot="1">
      <c r="B38" s="554" t="s">
        <v>495</v>
      </c>
      <c r="C38" s="557">
        <f>C36/C37</f>
        <v>-2.8402584533658701</v>
      </c>
      <c r="D38" s="545"/>
      <c r="E38" s="545"/>
      <c r="F38" s="545"/>
      <c r="G38" s="545"/>
      <c r="H38" s="545"/>
      <c r="I38" s="545"/>
      <c r="J38" s="545"/>
      <c r="K38" s="545"/>
      <c r="L38" s="545"/>
      <c r="M38" s="545"/>
      <c r="N38" s="545"/>
      <c r="O38" s="545"/>
    </row>
    <row r="39" spans="2:15" ht="17.25" customHeight="1">
      <c r="B39" s="540" t="s">
        <v>493</v>
      </c>
      <c r="C39" s="551">
        <v>0.1</v>
      </c>
      <c r="D39" s="545"/>
      <c r="E39" s="545"/>
      <c r="F39" s="545"/>
      <c r="G39" s="545"/>
      <c r="H39" s="545"/>
      <c r="I39" s="545"/>
      <c r="J39" s="545"/>
      <c r="K39" s="545"/>
      <c r="L39" s="545"/>
      <c r="M39" s="545"/>
      <c r="N39" s="545"/>
      <c r="O39" s="545"/>
    </row>
    <row r="40" spans="2:15" ht="17.25" customHeight="1">
      <c r="B40" s="540" t="s">
        <v>363</v>
      </c>
      <c r="C40" s="552">
        <v>2017.25</v>
      </c>
      <c r="D40" s="545"/>
      <c r="E40" s="545"/>
      <c r="F40" s="545"/>
      <c r="G40" s="545"/>
      <c r="H40" s="545"/>
      <c r="I40" s="545"/>
      <c r="J40" s="545"/>
      <c r="K40" s="545"/>
      <c r="L40" s="545"/>
      <c r="M40" s="545"/>
      <c r="N40" s="545"/>
      <c r="O40" s="545"/>
    </row>
    <row r="41" spans="2:15" ht="17.25" customHeight="1" thickBot="1">
      <c r="C41" s="550"/>
      <c r="D41" s="543"/>
      <c r="E41" s="543"/>
      <c r="F41" s="543"/>
      <c r="G41" s="543"/>
      <c r="H41" s="543"/>
      <c r="I41" s="543"/>
      <c r="J41" s="543"/>
      <c r="K41" s="543"/>
      <c r="L41" s="543"/>
    </row>
    <row r="42" spans="2:15" ht="17.25" customHeight="1" thickBot="1">
      <c r="B42" s="561" t="s">
        <v>490</v>
      </c>
      <c r="C42" s="543"/>
      <c r="D42" s="543"/>
      <c r="E42" s="543"/>
      <c r="F42" s="543"/>
      <c r="G42" s="543"/>
      <c r="H42" s="543"/>
      <c r="I42" s="543"/>
      <c r="J42" s="543"/>
      <c r="K42" s="543"/>
      <c r="L42" s="543"/>
    </row>
    <row r="43" spans="2:15" ht="17.25" customHeight="1" thickBot="1">
      <c r="B43" s="560">
        <f>DCF!C23</f>
        <v>2</v>
      </c>
      <c r="E43" s="540" t="s">
        <v>492</v>
      </c>
    </row>
    <row r="44" spans="2:15" ht="17.25" customHeight="1">
      <c r="B44" s="562">
        <v>1</v>
      </c>
      <c r="E44" s="540" t="s">
        <v>491</v>
      </c>
    </row>
    <row r="45" spans="2:15" ht="17.25" customHeight="1">
      <c r="B45" s="562">
        <f>B44+1</f>
        <v>2</v>
      </c>
      <c r="E45" s="540"/>
    </row>
    <row r="46" spans="2:15" ht="17.25" customHeight="1" thickBot="1">
      <c r="B46" s="563">
        <f>B45+1</f>
        <v>3</v>
      </c>
      <c r="E46" s="540"/>
    </row>
  </sheetData>
  <dataValidations disablePrompts="1" count="1">
    <dataValidation type="list" allowBlank="1" showInputMessage="1" showErrorMessage="1" sqref="B43">
      <formula1>$B$44:$B$46</formula1>
    </dataValidation>
  </dataValidations>
  <pageMargins left="0" right="0" top="0" bottom="0" header="0" footer="0"/>
  <pageSetup paperSize="5" orientation="landscape" r:id="rId1"/>
  <ignoredErrors>
    <ignoredError sqref="H12:O12 K9:O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 bestFit="1" customWidth="1"/>
    <col min="2" max="2" width="19.85546875" style="1106"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837</v>
      </c>
      <c r="B1" s="1105">
        <v>6.1</v>
      </c>
    </row>
    <row r="2" spans="1:2">
      <c r="A2" s="1" t="s">
        <v>838</v>
      </c>
      <c r="B2" s="1109">
        <v>43203.507893518516</v>
      </c>
    </row>
    <row r="3" spans="1:2">
      <c r="A3" s="1" t="s">
        <v>839</v>
      </c>
      <c r="B3" s="1106" t="s">
        <v>542</v>
      </c>
    </row>
    <row r="4" spans="1:2">
      <c r="A4" s="1" t="s">
        <v>840</v>
      </c>
      <c r="B4" s="1106" t="s">
        <v>841</v>
      </c>
    </row>
    <row r="5" spans="1:2">
      <c r="A5" s="1" t="s">
        <v>842</v>
      </c>
      <c r="B5" s="1106" t="s">
        <v>843</v>
      </c>
    </row>
    <row r="6" spans="1:2">
      <c r="A6" s="1" t="s">
        <v>844</v>
      </c>
    </row>
    <row r="7" spans="1:2">
      <c r="A7" s="1" t="s">
        <v>2</v>
      </c>
      <c r="B7" s="1106" t="s">
        <v>250</v>
      </c>
    </row>
    <row r="8" spans="1:2">
      <c r="A8" s="1" t="s">
        <v>845</v>
      </c>
      <c r="B8" s="1106" t="s">
        <v>846</v>
      </c>
    </row>
    <row r="9" spans="1:2">
      <c r="A9" s="1" t="s">
        <v>847</v>
      </c>
      <c r="B9" s="1106" t="s">
        <v>884</v>
      </c>
    </row>
    <row r="10" spans="1:2">
      <c r="A10" s="1" t="s">
        <v>848</v>
      </c>
    </row>
    <row r="11" spans="1:2">
      <c r="A11" s="1" t="s">
        <v>849</v>
      </c>
    </row>
    <row r="12" spans="1:2">
      <c r="A12" s="1" t="s">
        <v>850</v>
      </c>
    </row>
    <row r="13" spans="1:2">
      <c r="A13" s="1" t="s">
        <v>851</v>
      </c>
    </row>
    <row r="14" spans="1:2">
      <c r="A14" s="1" t="s">
        <v>852</v>
      </c>
    </row>
    <row r="15" spans="1:2">
      <c r="A15" s="1" t="s">
        <v>853</v>
      </c>
    </row>
    <row r="16" spans="1:2">
      <c r="A16" s="1" t="s">
        <v>854</v>
      </c>
    </row>
    <row r="17" spans="1:4">
      <c r="A17" s="1" t="s">
        <v>855</v>
      </c>
      <c r="B17" s="1106" t="s">
        <v>885</v>
      </c>
    </row>
    <row r="18" spans="1:4">
      <c r="A18" s="1" t="s">
        <v>856</v>
      </c>
      <c r="B18" s="1106" t="s">
        <v>888</v>
      </c>
    </row>
    <row r="19" spans="1:4">
      <c r="A19" s="1" t="s">
        <v>857</v>
      </c>
      <c r="B19" s="1106" t="s">
        <v>312</v>
      </c>
    </row>
    <row r="20" spans="1:4">
      <c r="A20" s="1" t="s">
        <v>858</v>
      </c>
      <c r="B20" s="1107" t="s">
        <v>889</v>
      </c>
    </row>
    <row r="21" spans="1:4">
      <c r="A21" s="1" t="s">
        <v>859</v>
      </c>
      <c r="B21" s="1106" t="s">
        <v>312</v>
      </c>
    </row>
    <row r="22" spans="1:4">
      <c r="A22" s="1" t="s">
        <v>860</v>
      </c>
      <c r="B22" s="1107" t="s">
        <v>342</v>
      </c>
    </row>
    <row r="23" spans="1:4">
      <c r="A23" s="1" t="s">
        <v>239</v>
      </c>
      <c r="B23" s="1105">
        <v>17.3</v>
      </c>
    </row>
    <row r="24" spans="1:4">
      <c r="A24" s="1" t="s">
        <v>238</v>
      </c>
      <c r="B24" s="1106" t="s">
        <v>163</v>
      </c>
      <c r="D24" s="1" t="s">
        <v>0</v>
      </c>
    </row>
    <row r="25" spans="1:4">
      <c r="A25" s="1" t="s">
        <v>861</v>
      </c>
      <c r="B25" s="1106" t="s">
        <v>890</v>
      </c>
    </row>
    <row r="26" spans="1:4">
      <c r="A26" s="1" t="s">
        <v>862</v>
      </c>
      <c r="B26" s="1106">
        <v>0</v>
      </c>
    </row>
    <row r="27" spans="1:4">
      <c r="A27" s="1" t="s">
        <v>863</v>
      </c>
      <c r="B27" s="1106" t="s">
        <v>864</v>
      </c>
    </row>
    <row r="28" spans="1:4">
      <c r="A28" s="1" t="s">
        <v>865</v>
      </c>
      <c r="B28" s="1106" t="s">
        <v>866</v>
      </c>
    </row>
    <row r="29" spans="1:4">
      <c r="A29" s="1" t="s">
        <v>867</v>
      </c>
    </row>
    <row r="30" spans="1:4">
      <c r="A30" s="1" t="s">
        <v>868</v>
      </c>
    </row>
    <row r="31" spans="1:4">
      <c r="A31" s="1" t="s">
        <v>869</v>
      </c>
    </row>
    <row r="32" spans="1:4">
      <c r="A32" s="1" t="s">
        <v>870</v>
      </c>
      <c r="B32" s="1105"/>
    </row>
    <row r="33" spans="1:2">
      <c r="A33" s="1" t="s">
        <v>871</v>
      </c>
      <c r="B33" s="1105"/>
    </row>
    <row r="34" spans="1:2">
      <c r="A34" s="1" t="s">
        <v>872</v>
      </c>
      <c r="B34" s="1105"/>
    </row>
    <row r="35" spans="1:2">
      <c r="A35" s="1" t="s">
        <v>873</v>
      </c>
      <c r="B35" s="1106">
        <v>1000000</v>
      </c>
    </row>
    <row r="36" spans="1:2">
      <c r="A36" s="1" t="s">
        <v>874</v>
      </c>
      <c r="B36" s="1106" t="s">
        <v>886</v>
      </c>
    </row>
    <row r="37" spans="1:2">
      <c r="A37" s="1" t="s">
        <v>875</v>
      </c>
      <c r="B37" s="1106" t="s">
        <v>876</v>
      </c>
    </row>
    <row r="38" spans="1:2">
      <c r="A38" s="1" t="s">
        <v>877</v>
      </c>
      <c r="B38" s="1106" t="s">
        <v>878</v>
      </c>
    </row>
    <row r="39" spans="1:2">
      <c r="A39" s="1" t="s">
        <v>879</v>
      </c>
      <c r="B39" s="1106" t="s">
        <v>887</v>
      </c>
    </row>
    <row r="40" spans="1:2">
      <c r="A40" s="1" t="s">
        <v>880</v>
      </c>
      <c r="B40" s="1106">
        <v>1500004768</v>
      </c>
    </row>
    <row r="41" spans="1:2">
      <c r="A41" s="1" t="s">
        <v>881</v>
      </c>
      <c r="B41" s="1106">
        <v>1</v>
      </c>
    </row>
    <row r="42" spans="1:2">
      <c r="A42" s="1108" t="s">
        <v>882</v>
      </c>
    </row>
    <row r="43" spans="1:2">
      <c r="A43" s="1" t="s">
        <v>883</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110" t="s">
        <v>891</v>
      </c>
    </row>
    <row r="2" spans="1:1">
      <c r="A2" s="1110" t="s">
        <v>896</v>
      </c>
    </row>
    <row r="3" spans="1:1">
      <c r="A3" s="1110" t="s">
        <v>897</v>
      </c>
    </row>
    <row r="4" spans="1:1">
      <c r="A4" s="1110" t="s">
        <v>898</v>
      </c>
    </row>
    <row r="5" spans="1:1">
      <c r="A5" s="1110" t="s">
        <v>899</v>
      </c>
    </row>
    <row r="6" spans="1:1">
      <c r="A6" s="1110" t="s">
        <v>892</v>
      </c>
    </row>
    <row r="7" spans="1:1">
      <c r="A7" s="1110" t="s">
        <v>900</v>
      </c>
    </row>
    <row r="8" spans="1:1">
      <c r="A8" s="1110" t="s">
        <v>901</v>
      </c>
    </row>
    <row r="9" spans="1:1">
      <c r="A9" s="1110" t="s">
        <v>902</v>
      </c>
    </row>
    <row r="10" spans="1:1">
      <c r="A10" s="1110" t="s">
        <v>893</v>
      </c>
    </row>
    <row r="11" spans="1:1">
      <c r="A11" s="1110" t="s">
        <v>903</v>
      </c>
    </row>
    <row r="12" spans="1:1">
      <c r="A12" s="1110" t="s">
        <v>894</v>
      </c>
    </row>
    <row r="13" spans="1:1">
      <c r="A13" s="1110" t="s">
        <v>895</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0cc906f6-4371-4c57-9e1a-b9a9c0ebe425</GUID>
    <SOURCETYPE>Chart</SOURCETYPE>
    <SOURCE_OBJECTNAME>MWA_Risk_Reward</SOURCE_OBJECTNAME>
    <SOURCE_SHEETCODE>MWRSSData</SOURCE_SHEETCODE>
    <SOURCE_SHEETNAME>MWA RR</SOURCE_SHEETNAME>
    <OBJECTTYPE>Native</OBJECTTYPE>
    <SOURCEAPPLICATION>EXCEL_SOURCE</SOURCEAPPLICATION>
    <UPDATEDAT>5/5/2015 8:02:02 PM</UPDATEDAT>
    <SOURCE_ISOUTOFDATE>False</SOURCE_ISOUTOFDATE>
    <SOURCE_WORKBOOKNAME>IRWD_MH.xls</SOURCE_WORKBOOKNAME>
    <SOURCE_WORKBOOKPATH>\\MSAD\ROOT\NA\NY\LIB\ER\HEALTH\Biotech\Harrison\Models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/MSResearch/Content/ExternalAssets/2015-01/Images/YhBQKU2jUah99RNNMAg7g--.png</TARGET_BINARYFULLNAME>
    <TARGET_STORYFULLNAME>/MSResearch/Content/ExternalAssets/2015-01/Sections/20150115_045246_MWA_Risk_Reward.xml</TARGET_STORYFULLNAME>
    <TARGET_UUID>d732db8c-9d00-11e4-9edc-4fa5ec7c1f73</TARGET_UUID>
    <HIDEGRIDLINES>False</HIDEGRIDLINES>
    <EXTRACTSOURCEMODE>CopyToClipboard</EXTRACTSOURCEMODE>
  </Link>
  <Link>
    <GUID>6212001c-8aaa-40a8-8955-015a3e96a257</GUID>
    <SOURCE_ALTADDRESS>$B$4:$Q$57</SOURCE_ALTADDRESS>
    <SOURCETYPE>Table</SOURCETYPE>
    <SOURCE_OBJECTNAME>Linking_Range_18</SOURCE_OBJECTNAME>
    <OBJECTTYPE>Native</OBJECTTYPE>
    <SOURCE_SHEETCODE>Sheet7</SOURCE_SHEETCODE>
    <SOURCE_SHEETNAME>Cash Flow Statement</SOURCE_SHEETNAME>
    <SOURCEAPPLICATION>EXCEL_SOURCE</SOURCEAPPLICATION>
    <UPDATEDAT>5/5/2015 8:02:42 PM</UPDATEDAT>
    <SOURCE_ISOUTOFDATE>False</SOURCE_ISOUTOFDATE>
    <SOURCE_WORKBOOKNAME>IRWD_MH.xls</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/MSResearch/Content/ExternalAssets/2015-01/Images/R8efYe5gyUuIq-CZJvAvhQ--.png</TARGET_BINARYFULLNAME>
    <TARGET_STORYFULLNAME>/MSResearch/Content/ExternalAssets/2015-01/Sections/20150114_012036_Linking_Range_18.xml</TARGET_STORYFULLNAME>
    <TARGET_UUID>091ca340-9c1a-11e4-9edc-4fa5ec7c1f73</TARGET_UUID>
    <LINKSTATUS>Unknown</LINKSTATUS>
    <TRANSPARENTBACKGROUND>False</TRANSPARENTBACKGROUND>
    <TRANSPARENTPLOTAREA>False</TRANSPARENTPLOTAREA>
    <EXTRACTSOURCEMODE>CopyToClipboard</EXTRACTSOURCEMODE>
  </Link>
  <Link>
    <GUID>55a2c801-6b39-4d1c-bd2d-be815b65d092</GUID>
    <SOURCE_ALTADDRESS>$B$4:$Q$47</SOURCE_ALTADDRESS>
    <SOURCETYPE>Table</SOURCETYPE>
    <SOURCE_OBJECTNAME>Linking_Range_17</SOURCE_OBJECTNAME>
    <OBJECTTYPE>Native</OBJECTTYPE>
    <SOURCE_SHEETCODE>Sheet6</SOURCE_SHEETCODE>
    <SOURCE_SHEETNAME>Balance Sheet</SOURCE_SHEETNAME>
    <SOURCEAPPLICATION>EXCEL_SOURCE</SOURCEAPPLICATION>
    <UPDATEDAT>5/5/2015 8:03:28 PM</UPDATEDAT>
    <SOURCE_ISOUTOFDATE>False</SOURCE_ISOUTOFDATE>
    <SOURCE_WORKBOOKNAME>IRWD_MH.xls</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/MSResearch/Content/ExternalAssets/2015-01/Images/MhXbNgy_iaBEQXmS74Erw--.png</TARGET_BINARYFULLNAME>
    <TARGET_STORYFULLNAME>/MSResearch/Content/ExternalAssets/2015-01/Sections/20150114_012009_Linking_Range_17.xml</TARGET_STORYFULLNAME>
    <TARGET_UUID>f92ca930-9c19-11e4-9edc-4fa5ec7c1f73</TARGET_UUID>
    <TRANSPARENTBACKGROUND>False</TRANSPARENTBACKGROUND>
    <TRANSPARENTPLOTAREA>False</TRANSPARENTPLOTAREA>
    <LINKSTATUS>Unknown</LINKSTATUS>
    <EXTRACTSOURCEMODE>CopyToClipboard</EXTRACTSOURCEMODE>
  </Link>
  <Link>
    <GUID>691cb9d9-1c3d-401f-b215-392ada0b7b78</GUID>
    <SOURCE_ALTADDRESS>$B$4:$BM$70</SOURCE_ALTADDRESS>
    <SOURCETYPE>Table</SOURCETYPE>
    <SOURCE_OBJECTNAME>Linking_Range_16</SOURCE_OBJECTNAME>
    <OBJECTTYPE>Native</OBJECTTYPE>
    <SOURCE_SHEETCODE>Sheet4</SOURCE_SHEETCODE>
    <SOURCE_SHEETNAME>Annual</SOURCE_SHEETNAME>
    <SOURCEAPPLICATION>EXCEL_SOURCE</SOURCEAPPLICATION>
    <UPDATEDAT>5/5/2015 8:04:02 PM</UPDATEDAT>
    <SOURCE_ISOUTOFDATE>False</SOURCE_ISOUTOFDATE>
    <SOURCE_WORKBOOKNAME>IRWD_MH.xls</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/MSResearch/Content/ExternalAssets/2015-01/Images/8iB_5Z4yeeZOTcAqN7Vg--.png</TARGET_BINARYFULLNAME>
    <TARGET_STORYFULLNAME>/MSResearch/Content/ExternalAssets/2015-01/Sections/20150114_011951_Linking_Range_16.xml</TARGET_STORYFULLNAME>
    <TARGET_UUID>ee9f4644-9c19-11e4-9edc-4fa5ec7c1f73</TARGET_UUID>
    <LINKSTATUS>Unknown</LINKSTATUS>
    <TRANSPARENTBACKGROUND>False</TRANSPARENTBACKGROUND>
    <TRANSPARENTPLOTAREA>False</TRANSPARENTPLOTAREA>
    <EXTRACTSOURCEMODE>CopyToClipboard</EXTRACTSOURCEMODE>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9E98DB16-C759-4103-931B-E393AB83504B}">
  <ds:schemaRefs>
    <ds:schemaRef ds:uri="thomsonreuters.linking.metadata"/>
  </ds:schemaRefs>
</ds:datastoreItem>
</file>

<file path=customXml/itemProps2.xml><?xml version="1.0" encoding="utf-8"?>
<ds:datastoreItem xmlns:ds="http://schemas.openxmlformats.org/officeDocument/2006/customXml" ds:itemID="{BD8C024A-ED1B-40CB-922C-BBE5225A1B94}">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90</vt:i4>
      </vt:variant>
    </vt:vector>
  </HeadingPairs>
  <TitlesOfParts>
    <vt:vector size="99" baseType="lpstr">
      <vt:lpstr>ImportantDisclosures</vt:lpstr>
      <vt:lpstr>DCF</vt:lpstr>
      <vt:lpstr>IS</vt:lpstr>
      <vt:lpstr>BS</vt:lpstr>
      <vt:lpstr>CF</vt:lpstr>
      <vt:lpstr>Linaclotide</vt:lpstr>
      <vt:lpstr>Zurampic-Duzallo P&amp;L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Linking_3</vt:lpstr>
      <vt:lpstr>Linking_5</vt:lpstr>
      <vt:lpstr>Linking_6</vt:lpstr>
      <vt:lpstr>Linking_7</vt:lpstr>
      <vt:lpstr>Linking_9</vt:lpstr>
      <vt:lpstr>Linking_Range_1</vt:lpstr>
      <vt:lpstr>Linking_Range_12</vt:lpstr>
      <vt:lpstr>Linking_Range_13</vt:lpstr>
      <vt:lpstr>Linking_Range_14</vt:lpstr>
      <vt:lpstr>Linking_Range_16</vt:lpstr>
      <vt:lpstr>Linking_Range_17</vt:lpstr>
      <vt:lpstr>Linking_Range_18</vt:lpstr>
      <vt:lpstr>Linking_Range_2</vt:lpstr>
      <vt:lpstr>Linking_Range_6</vt:lpstr>
      <vt:lpstr>Linking_Range_7</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CF!Print_Area</vt:lpstr>
      <vt:lpstr>DCF!Print_Area</vt:lpstr>
      <vt:lpstr>IS!Print_Area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2010-09-29T19:01:07Z</dcterms:created>
  <dc:creator>Jeremy Joseph</dc:creator>
  <cp:lastModifiedBy>Lebowitz, David (Research)</cp:lastModifiedBy>
  <cp:lastPrinted>2018-02-15T18:41:49Z</cp:lastPrinted>
  <dcterms:modified xsi:type="dcterms:W3CDTF">2018-04-13T16:11:23Z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linkTarget="Prop__Plant___Equip_Net" name="_Plant___Equip_Net" pid="2">
    <vt:lpwstr>#REF!</vt:lpwstr>
  </property>
  <property fmtid="{D5CDD505-2E9C-101B-9397-08002B2CF9AE}" name="LinkingAutoNameNumberLinking_Range_" pid="3">
    <vt:lpwstr>21</vt:lpwstr>
  </property>
  <property fmtid="{D5CDD505-2E9C-101B-9397-08002B2CF9AE}" name="{A44787D4-0540-4523-9961-78E4036D8C6D}" pid="4">
    <vt:lpwstr>{36FB3602-33C3-4181-A1BC-C22FBB895B18}</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761586</vt:lpwstr>
  </property>
  <property fmtid="{D5CDD505-2E9C-101B-9397-08002B2CF9AE}" name="ERModPubCompanyName" pid="8">
    <vt:lpwstr>Ironwood Pharmaceuticals, Inc.</vt:lpwstr>
  </property>
  <property fmtid="{D5CDD505-2E9C-101B-9397-08002B2CF9AE}" name="MSDH34TAG" pid="9">
    <vt:lpwstr>.TEZUF76X5TAHATHESADREYAK-00-INB160+*94600-06=54ea34f6/-3f35/-11e8/-b3f7/-7a79cfe26848,MD=20180413122121/-0400,ZZ=000Z-9731.</vt:lpwstr>
  </property>
</Properties>
</file>